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cc13b941e24c13" /></Relationships>
</file>

<file path=xl/workbook.xml><?xml version="1.0" encoding="utf-8"?>
<x:workbook xmlns:x="http://schemas.openxmlformats.org/spreadsheetml/2006/main">
  <x:sheets>
    <x:sheet xmlns:r="http://schemas.openxmlformats.org/officeDocument/2006/relationships" name="Summary" sheetId="1" r:id="R4a9f4271ec614551"/>
    <x:sheet xmlns:r="http://schemas.openxmlformats.org/officeDocument/2006/relationships" name="Monthly report" sheetId="2" r:id="R63cce25b3d4c4c0f"/>
    <x:sheet xmlns:r="http://schemas.openxmlformats.org/officeDocument/2006/relationships" name="Project report" sheetId="3" r:id="Rb430486f56924b5f"/>
    <x:sheet xmlns:r="http://schemas.openxmlformats.org/officeDocument/2006/relationships" name="Category report" sheetId="4" r:id="R227ce80cdd234da4"/>
    <x:sheet xmlns:r="http://schemas.openxmlformats.org/officeDocument/2006/relationships" name="Instructor payments" sheetId="5" r:id="R101d2ef863814210"/>
    <x:sheet xmlns:r="http://schemas.openxmlformats.org/officeDocument/2006/relationships" name="Original reconciliation" sheetId="6" r:id="R4bfe70809c4e4662"/>
    <x:sheet xmlns:r="http://schemas.openxmlformats.org/officeDocument/2006/relationships" name="Transactions" sheetId="7" r:id="Rd5c3ba573aa249db"/>
    <x:sheet xmlns:r="http://schemas.openxmlformats.org/officeDocument/2006/relationships" name="Invoices" sheetId="8" r:id="R858a50cfac1d461f"/>
    <x:sheet xmlns:r="http://schemas.openxmlformats.org/officeDocument/2006/relationships" name="Review items" sheetId="9" r:id="R3518424ddf3d4f0f"/>
    <x:sheet xmlns:r="http://schemas.openxmlformats.org/officeDocument/2006/relationships" name="Evidence register" sheetId="10" r:id="Re33b57dd606547a8"/>
    <x:sheet xmlns:r="http://schemas.openxmlformats.org/officeDocument/2006/relationships" name="Telegram messages" sheetId="11" r:id="R172e6d085a944565"/>
    <x:sheet xmlns:r="http://schemas.openxmlformats.org/officeDocument/2006/relationships" name="Original records" sheetId="12" r:id="Rae202dfdac2b4cb6"/>
    <x:sheet xmlns:r="http://schemas.openxmlformats.org/officeDocument/2006/relationships" name="Methodology" sheetId="13" r:id="R81e80365f50b4c6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0);&quot;-&quot;"/>
    <x:numFmt numFmtId="202" formatCode="#,##0"/>
  </x:numFmts>
  <x:fonts count="9">
    <x:font>
      <x:sz val="11"/>
      <x:name val="Carlito"/>
    </x:font>
    <x:font>
      <x:sz val="10"/>
      <x:color rgb="FF202B38"/>
      <x:name val="Arial"/>
    </x:font>
    <x:font>
      <x:b/>
      <x:sz val="14"/>
      <x:color rgb="FF20354D"/>
      <x:name val="Arial"/>
    </x:font>
    <x:font>
      <x:b/>
      <x:sz val="10"/>
      <x:color rgb="FFFFFFFF"/>
      <x:name val="Arial"/>
    </x:font>
    <x:font>
      <x:sz val="10"/>
      <x:color rgb="FF0000FF"/>
      <x:name val="Arial"/>
    </x:font>
    <x:font>
      <x:sz val="10"/>
      <x:color rgb="FF000000"/>
      <x:name val="Arial"/>
    </x:font>
    <x:font>
      <x:b/>
      <x:sz val="10"/>
      <x:color rgb="FF202B38"/>
      <x:name val="Arial"/>
    </x:font>
    <x:font>
      <x:b/>
      <x:sz val="11"/>
      <x:name val="Carlito"/>
    </x:font>
    <x:font>
      <x:b/>
      <x:sz val="11"/>
      <x:color rgb="FFFFFFFF"/>
      <x:name val="Carlito"/>
    </x:font>
  </x:fonts>
  <x:fills count="5">
    <x:fill>
      <x:patternFill patternType="none"/>
    </x:fill>
    <x:fill>
      <x:patternFill patternType="gray125"/>
    </x:fill>
    <x:fill>
      <x:patternFill patternType="solid">
        <x:fgColor rgb="FF20354D"/>
      </x:patternFill>
    </x:fill>
    <x:fill>
      <x:patternFill patternType="solid">
        <x:fgColor rgb="FFEDF2F7"/>
      </x:patternFill>
    </x:fill>
    <x:fill>
      <x:patternFill patternType="solid">
        <x:fgColor rgb="FFFFF2CC"/>
      </x:patternFill>
    </x:fill>
  </x:fills>
  <x:borders count="1">
    <x:border>
      <x:left/>
      <x:right/>
      <x:top/>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201" fontId="6" fillId="3" borderId="0" xfId="0" applyNumberFormat="1" applyFont="1" applyFill="1" applyBorder="1" applyAlignment="1">
      <x:alignment vertical="center"/>
    </x:xf>
    <x:xf numFmtId="201" fontId="1" fillId="0" borderId="0" xfId="0" applyNumberFormat="1" applyFont="1" applyFill="1" applyBorder="1" applyAlignment="1">
      <x:alignment horizontal="center" vertical="center"/>
    </x:xf>
    <x:xf numFmtId="201" fontId="6" fillId="3" borderId="0" xfId="0" applyNumberFormat="1" applyFont="1" applyFill="1" applyBorder="1" applyAlignment="1">
      <x:alignment horizontal="center" vertical="center"/>
    </x:xf>
    <x:xf numFmtId="202"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7" fillId="0" borderId="0" xfId="0" applyNumberFormat="1" applyFont="1" applyFill="1" applyBorder="1"/>
    <x:xf numFmtId="0" fontId="0" fillId="0" borderId="0" xfId="0" applyNumberFormat="1" applyFont="1" applyFill="1" applyBorder="1" applyAlignment="1">
      <x:alignment vertical="center" wrapText="1"/>
    </x:xf>
    <x:xf numFmtId="0" fontId="0" fillId="2" borderId="0" xfId="0" applyNumberFormat="1" applyFont="1" applyFill="1" applyBorder="1"/>
    <x:xf numFmtId="0" fontId="8" fillId="2"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201"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cellXfs>
  <x:cellStyles count="1">
    <x:cellStyle name="Normal" xfId="0"/>
  </x:cellStyles>
  <x:dxfs count="1">
    <x:dxf>
      <x:font>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1636ca71f04da3" /><Relationship Type="http://schemas.openxmlformats.org/officeDocument/2006/relationships/theme" Target="/xl/theme/theme1.xml" Id="Rf7d1d074a2a64324" /><Relationship Type="http://schemas.openxmlformats.org/officeDocument/2006/relationships/sharedStrings" Target="/xl/sharedStrings.xml" Id="Rbbeb4ec5467c4f0a" /><Relationship Type="http://schemas.openxmlformats.org/officeDocument/2006/relationships/worksheet" Target="/xl/worksheets/sheet1.xml" Id="R4a9f4271ec614551" /><Relationship Type="http://schemas.openxmlformats.org/officeDocument/2006/relationships/worksheet" Target="/xl/worksheets/sheet2.xml" Id="R63cce25b3d4c4c0f" /><Relationship Type="http://schemas.openxmlformats.org/officeDocument/2006/relationships/worksheet" Target="/xl/worksheets/sheet3.xml" Id="Rb430486f56924b5f" /><Relationship Type="http://schemas.openxmlformats.org/officeDocument/2006/relationships/worksheet" Target="/xl/worksheets/sheet4.xml" Id="R227ce80cdd234da4" /><Relationship Type="http://schemas.openxmlformats.org/officeDocument/2006/relationships/worksheet" Target="/xl/worksheets/sheet5.xml" Id="R101d2ef863814210" /><Relationship Type="http://schemas.openxmlformats.org/officeDocument/2006/relationships/worksheet" Target="/xl/worksheets/sheet6.xml" Id="R4bfe70809c4e4662" /><Relationship Type="http://schemas.openxmlformats.org/officeDocument/2006/relationships/worksheet" Target="/xl/worksheets/sheet7.xml" Id="Rd5c3ba573aa249db" /><Relationship Type="http://schemas.openxmlformats.org/officeDocument/2006/relationships/worksheet" Target="/xl/worksheets/sheet8.xml" Id="R858a50cfac1d461f" /><Relationship Type="http://schemas.openxmlformats.org/officeDocument/2006/relationships/worksheet" Target="/xl/worksheets/sheet9.xml" Id="R3518424ddf3d4f0f" /><Relationship Type="http://schemas.openxmlformats.org/officeDocument/2006/relationships/worksheet" Target="/xl/worksheets/sheet10.xml" Id="Re33b57dd606547a8" /><Relationship Type="http://schemas.openxmlformats.org/officeDocument/2006/relationships/worksheet" Target="/xl/worksheets/sheet11.xml" Id="R172e6d085a944565" /><Relationship Type="http://schemas.openxmlformats.org/officeDocument/2006/relationships/worksheet" Target="/xl/worksheets/sheet12.xml" Id="Rae202dfdac2b4cb6" /><Relationship Type="http://schemas.openxmlformats.org/officeDocument/2006/relationships/worksheet" Target="/xl/worksheets/sheet13.xml" Id="R81e80365f50b4c62" /></Relationships>
</file>

<file path=xl/drawings/_rels/drawing1.xml.rels>&#65279;<?xml version="1.0" encoding="utf-8"?><Relationships xmlns="http://schemas.openxmlformats.org/package/2006/relationships"><Relationship Type="http://schemas.openxmlformats.org/officeDocument/2006/relationships/chart" Target="/xl/drawings/charts/chart1.xml" Id="R87bb17e6ce89425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Monthly cash receipts and payments (toman)</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Receipts (toman)</c:v>
          </c:tx>
          <c:spPr>
            <a:ln xmlns:a="http://schemas.openxmlformats.org/drawingml/2006/main" w="19050">
              <a:solidFill>
                <a:srgbClr val="245A81"/>
              </a:solidFill>
              <a:prstDash val="solid"/>
            </a:ln>
          </c:spPr>
          <c:marker>
            <c:symbol val="none"/>
          </c:marker>
          <c:cat>
            <c:strRef>
              <c:f>'Monthly report'!$A$5:$A$17</c:f>
              <c:strCache>
                <c:ptCount val="0"/>
              </c:strCache>
            </c:strRef>
          </c:cat>
          <c:val>
            <c:numRef>
              <c:f>'Monthly report'!$B$5:$B$17</c:f>
              <c:numCache>
                <c:formatCode>#,##0.0;(#,##0.0);"-"</c:formatCode>
                <c:ptCount val="0"/>
              </c:numCache>
            </c:numRef>
          </c:val>
          <c:smooth val="0"/>
        </c:ser>
        <c:ser>
          <c:idx val="1"/>
          <c:order val="1"/>
          <c:tx>
            <c:v>Payments (toman)</c:v>
          </c:tx>
          <c:spPr>
            <a:ln xmlns:a="http://schemas.openxmlformats.org/drawingml/2006/main" w="19050">
              <a:solidFill>
                <a:srgbClr val="B25E48"/>
              </a:solidFill>
              <a:prstDash val="solid"/>
            </a:ln>
          </c:spPr>
          <c:marker>
            <c:symbol val="none"/>
          </c:marker>
          <c:cat>
            <c:strRef>
              <c:f>'Monthly report'!$A$5:$A$17</c:f>
              <c:strCache>
                <c:ptCount val="0"/>
              </c:strCache>
            </c:strRef>
          </c:cat>
          <c:val>
            <c:numRef>
              <c:f>'Monthly report'!$C$5:$C$17</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m&quot;"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bb17e6ce894254"/>
        </a:graphicData>
      </a:graphic>
    </xdr:graphicFrame>
    <xdr:clientData/>
  </xdr:twoCellAnchor>
</xdr:wsDr>
</file>

<file path=xl/tables/table1.xml><?xml version="1.0" encoding="utf-8"?>
<x:table xmlns:x="http://schemas.openxmlformats.org/spreadsheetml/2006/main" id="2" name="SummaryTable" displayName="SummaryTable" ref="A4:C19" headerRowCount="1" totalsRowCount="0" totalsRowShown="0">
  <x:autoFilter ref="A4:C19"/>
  <x:tableColumns count="3">
    <x:tableColumn id="1" name="Measure"/>
    <x:tableColumn id="2" name="Amount (toman)"/>
    <x:tableColumn id="3" name="Basis"/>
  </x:tableColumns>
  <x:tableStyleInfo name="TableStyleMedium2" showFirstColumn="0" showLastColumn="0" showRowStripes="1" showColumnStripes="0"/>
</x:table>
</file>

<file path=xl/tables/table2.xml><?xml version="1.0" encoding="utf-8"?>
<x:table xmlns:x="http://schemas.openxmlformats.org/spreadsheetml/2006/main" id="3" name="MonthlyreportTable" displayName="MonthlyreportTable" ref="A4:F17" headerRowCount="1" totalsRowCount="0" totalsRowShown="0">
  <x:autoFilter ref="A4:F17"/>
  <x:tableColumns count="6">
    <x:tableColumn id="1" name="Jalali month"/>
    <x:tableColumn id="2" name="Receipts (toman)"/>
    <x:tableColumn id="3" name="Payments (toman)"/>
    <x:tableColumn id="4" name="Net activity (toman)"/>
    <x:tableColumn id="5" name="Cumulative net activity"/>
    <x:tableColumn id="6" name="Review amounts (toman)"/>
  </x:tableColumns>
  <x:tableStyleInfo name="TableStyleMedium2" showFirstColumn="0" showLastColumn="0" showRowStripes="1" showColumnStripes="0"/>
</x:table>
</file>

<file path=xl/tables/table3.xml><?xml version="1.0" encoding="utf-8"?>
<x:table xmlns:x="http://schemas.openxmlformats.org/spreadsheetml/2006/main" id="4" name="ProjectreportTable" displayName="ProjectreportTable" ref="A4:E16" headerRowCount="1" totalsRowCount="0" totalsRowShown="0">
  <x:autoFilter ref="A4:E16"/>
  <x:tableColumns count="5">
    <x:tableColumn id="1" name="Project"/>
    <x:tableColumn id="2" name="Receipts (toman)"/>
    <x:tableColumn id="3" name="Payments (toman)"/>
    <x:tableColumn id="4" name="Net activity (toman)"/>
    <x:tableColumn id="5" name="Review amounts (toman)"/>
  </x:tableColumns>
  <x:tableStyleInfo name="TableStyleMedium2" showFirstColumn="0" showLastColumn="0" showRowStripes="1" showColumnStripes="0"/>
</x:table>
</file>

<file path=xl/tables/table4.xml><?xml version="1.0" encoding="utf-8"?>
<x:table xmlns:x="http://schemas.openxmlformats.org/spreadsheetml/2006/main" id="5" name="CategoryreportTable" displayName="CategoryreportTable" ref="A4:E17" headerRowCount="1" totalsRowCount="0" totalsRowShown="0">
  <x:autoFilter ref="A4:E17"/>
  <x:tableColumns count="5">
    <x:tableColumn id="1" name="Category"/>
    <x:tableColumn id="2" name="Receipts (toman)"/>
    <x:tableColumn id="3" name="Payments (toman)"/>
    <x:tableColumn id="4" name="Net activity (toman)"/>
    <x:tableColumn id="5" name="Review amounts (toman)"/>
  </x:tableColumns>
  <x:tableStyleInfo name="TableStyleMedium2" showFirstColumn="0" showLastColumn="0" showRowStripes="1" showColumnStripes="0"/>
</x:table>
</file>

<file path=xl/tables/table5.xml><?xml version="1.0" encoding="utf-8"?>
<x:table xmlns:x="http://schemas.openxmlformats.org/spreadsheetml/2006/main" id="7" name="InstructorpaymentsTable" displayName="InstructorpaymentsTable" ref="A4:K9" headerRowCount="1" totalsRowCount="0" totalsRowShown="0">
  <x:autoFilter ref="A4:K9"/>
  <x:tableColumns count="11">
    <x:tableColumn id="1" name="Transaction ID"/>
    <x:tableColumn id="2" name="Instructor beneficiary"/>
    <x:tableColumn id="3" name="Bank account payee"/>
    <x:tableColumn id="4" name="Course"/>
    <x:tableColumn id="5" name="Jalali date"/>
    <x:tableColumn id="6" name="Gregorian date"/>
    <x:tableColumn id="7" name="Amount (toman)"/>
    <x:tableColumn id="8" name="User-provided card ending (not printed)"/>
    <x:tableColumn id="9" name="Matching basis"/>
    <x:tableColumn id="10" name="Settlement basis"/>
    <x:tableColumn id="11" name="Source reference"/>
  </x:tableColumns>
  <x:tableStyleInfo name="TableStyleMedium2" showFirstColumn="0" showLastColumn="0" showRowStripes="1" showColumnStripes="0"/>
</x:table>
</file>

<file path=xl/tables/table6.xml><?xml version="1.0" encoding="utf-8"?>
<x:table xmlns:x="http://schemas.openxmlformats.org/spreadsheetml/2006/main" id="6" name="OriginalreconciliationTable" displayName="OriginalreconciliationTable" ref="A4:F47" headerRowCount="1" totalsRowCount="0" totalsRowShown="0">
  <x:autoFilter ref="A4:F47"/>
  <x:tableColumns count="6">
    <x:tableColumn id="1" name="Worksheet"/>
    <x:tableColumn id="2" name="Cell"/>
    <x:tableColumn id="3" name="Original (toman)"/>
    <x:tableColumn id="4" name="Transaction IDs"/>
    <x:tableColumn id="5" name="Disposition"/>
    <x:tableColumn id="6" name="Explanation"/>
  </x:tableColumns>
  <x:tableStyleInfo name="TableStyleMedium2" showFirstColumn="0" showLastColumn="0" showRowStripes="1" showColumnStripes="0"/>
</x:table>
</file>

<file path=xl/tables/table7.xml><?xml version="1.0" encoding="utf-8"?>
<x:table xmlns:x="http://schemas.openxmlformats.org/spreadsheetml/2006/main" id="1" name="TransactionsTable" displayName="TransactionsTable" ref="A4:Y99" headerRowCount="1" totalsRowCount="0" totalsRowShown="0">
  <x:autoFilter ref="A4:Y99"/>
  <x:tableColumns count="25">
    <x:tableColumn id="1" name="ID"/>
    <x:tableColumn id="2" name="Gregorian date"/>
    <x:tableColumn id="3" name="Jalali date"/>
    <x:tableColumn id="4" name="Jalali month"/>
    <x:tableColumn id="5" name="Cash direction"/>
    <x:tableColumn id="6" name="Source amount"/>
    <x:tableColumn id="7" name="Source unit"/>
    <x:tableColumn id="8" name="Amount (toman)"/>
    <x:tableColumn id="9" name="Counterparty"/>
    <x:tableColumn id="10" name="Description"/>
    <x:tableColumn id="11" name="شرح فارسی"/>
    <x:tableColumn id="12" name="Category"/>
    <x:tableColumn id="13" name="Project"/>
    <x:tableColumn id="14" name="Status"/>
    <x:tableColumn id="15" name="Evidence basis"/>
    <x:tableColumn id="16" name="Cash account"/>
    <x:tableColumn id="17" name="Message IDs"/>
    <x:tableColumn id="18" name="Tracking ID"/>
    <x:tableColumn id="19" name="Duplicate of"/>
    <x:tableColumn id="20" name="Review reason"/>
    <x:tableColumn id="21" name="Notes"/>
    <x:tableColumn id="22" name="Source reference"/>
    <x:tableColumn id="23" name="Included receipts"/>
    <x:tableColumn id="24" name="Included payments"/>
    <x:tableColumn id="25" name="Net cash activity"/>
  </x:tableColumns>
  <x:tableStyleInfo name="TableStyleMedium2" showFirstColumn="0" showLastColumn="0" showRowStripes="1" showColumnStripes="0"/>
</x:table>
</file>

<file path=xl/tables/table8.xml><?xml version="1.0" encoding="utf-8"?>
<x:table xmlns:x="http://schemas.openxmlformats.org/spreadsheetml/2006/main" id="8" name="InvoicesTable" displayName="InvoicesTable" ref="A4:K20" headerRowCount="1" totalsRowCount="0" totalsRowShown="0">
  <x:autoFilter ref="A4:K20"/>
  <x:tableColumns count="11">
    <x:tableColumn id="1" name="ID"/>
    <x:tableColumn id="2" name="Jalali date"/>
    <x:tableColumn id="3" name="Supplier"/>
    <x:tableColumn id="4" name="Description"/>
    <x:tableColumn id="5" name="Invoice reference"/>
    <x:tableColumn id="6" name="Gross (toman)"/>
    <x:tableColumn id="7" name="Tax (toman)"/>
    <x:tableColumn id="8" name="Matched transaction IDs"/>
    <x:tableColumn id="9" name="Status"/>
    <x:tableColumn id="10" name="Source reference"/>
    <x:tableColumn id="11" name="Notes"/>
  </x:tableColumns>
  <x:tableStyleInfo name="TableStyleMedium2" showFirstColumn="0" showLastColumn="0" showRowStripes="1" showColumnStripes="0"/>
</x:table>
</file>

<file path=xl/tables/table9.xml><?xml version="1.0" encoding="utf-8"?>
<x:table xmlns:x="http://schemas.openxmlformats.org/spreadsheetml/2006/main" id="9" name="ReviewitemsTable" displayName="ReviewitemsTable" ref="A4:H19" headerRowCount="1" totalsRowCount="0" totalsRowShown="0">
  <x:autoFilter ref="A4:H19"/>
  <x:tableColumns count="8">
    <x:tableColumn id="1" name="Issue ID"/>
    <x:tableColumn id="2" name="Priority"/>
    <x:tableColumn id="3" name="Issue"/>
    <x:tableColumn id="4" name="Description"/>
    <x:tableColumn id="5" name="Amount (toman)"/>
    <x:tableColumn id="6" name="Transaction IDs"/>
    <x:tableColumn id="7" name="Required action"/>
    <x:tableColumn id="8" name="Source reference"/>
  </x:tableColumns>
  <x:tableStyleInfo name="TableStyleMedium2" showFirstColumn="0" showLastColumn="0" showRowStripes="1" showColumnStripes="0"/>
</x:table>
</file>

<file path=xl/tables/table10.xml><?xml version="1.0" encoding="utf-8"?>
<x:table xmlns:x="http://schemas.openxmlformats.org/spreadsheetml/2006/main" id="10" name="EvidenceregisterTable" displayName="EvidenceregisterTable" ref="A4:K82" headerRowCount="1" totalsRowCount="0" totalsRowShown="0">
  <x:autoFilter ref="A4:K82"/>
  <x:tableColumns count="11">
    <x:tableColumn id="1" name="Source ID"/>
    <x:tableColumn id="2" name="Repository file"/>
    <x:tableColumn id="3" name="File type"/>
    <x:tableColumn id="4" name="Bytes"/>
    <x:tableColumn id="5" name="SHA-256"/>
    <x:tableColumn id="6" name="Read status"/>
    <x:tableColumn id="7" name="Ledger IDs"/>
    <x:tableColumn id="8" name="Message IDs"/>
    <x:tableColumn id="9" name="Treatment"/>
    <x:tableColumn id="10" name="Notes"/>
    <x:tableColumn id="11" name="GitHub source snapshot"/>
  </x:tableColumns>
  <x:tableStyleInfo name="TableStyleMedium2" showFirstColumn="0" showLastColumn="0" showRowStripes="1" showColumnStripes="0"/>
</x:table>
</file>

<file path=xl/tables/table11.xml><?xml version="1.0" encoding="utf-8"?>
<x:table xmlns:x="http://schemas.openxmlformats.org/spreadsheetml/2006/main" id="11" name="TelegrammessagesTable" displayName="TelegrammessagesTable" ref="A4:G192" headerRowCount="1" totalsRowCount="0" totalsRowShown="0">
  <x:autoFilter ref="A4:G192"/>
  <x:tableColumns count="7">
    <x:tableColumn id="1" name="Message ID"/>
    <x:tableColumn id="2" name="Timestamp as exported"/>
    <x:tableColumn id="3" name="Sender"/>
    <x:tableColumn id="4" name="Message text"/>
    <x:tableColumn id="5" name="Reply reference"/>
    <x:tableColumn id="6" name="Attachments"/>
    <x:tableColumn id="7" name="Unavailable media"/>
  </x:tableColumns>
  <x:tableStyleInfo name="TableStyleMedium2" showFirstColumn="0" showLastColumn="0" showRowStripes="1" showColumnStripes="0"/>
</x:table>
</file>

<file path=xl/tables/table12.xml><?xml version="1.0" encoding="utf-8"?>
<x:table xmlns:x="http://schemas.openxmlformats.org/spreadsheetml/2006/main" id="12" name="OriginalrecordsTable" displayName="OriginalrecordsTable" ref="A4:E3038" headerRowCount="1" totalsRowCount="0" totalsRowShown="0">
  <x:autoFilter ref="A4:E3038"/>
  <x:tableColumns count="5">
    <x:tableColumn id="1" name="Workbook"/>
    <x:tableColumn id="2" name="Worksheet"/>
    <x:tableColumn id="3" name="Cell"/>
    <x:tableColumn id="4" name="Original value"/>
    <x:tableColumn id="5" name="Original formula as text"/>
  </x:tableColumns>
  <x:tableStyleInfo name="TableStyleMedium2" showFirstColumn="0" showLastColumn="0" showRowStripes="1" showColumnStripes="0"/>
</x:table>
</file>

<file path=xl/tables/table13.xml><?xml version="1.0" encoding="utf-8"?>
<x:table xmlns:x="http://schemas.openxmlformats.org/spreadsheetml/2006/main" id="13" name="MethodologyTable" displayName="MethodologyTable" ref="A4:B30" headerRowCount="1" totalsRowCount="0" totalsRowShown="0">
  <x:autoFilter ref="A4:B30"/>
  <x:tableColumns count="2">
    <x:tableColumn id="1" name="Topic"/>
    <x:tableColumn id="2" name="Poli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ed71cc8aab4345" /></Relationships>
</file>

<file path=xl/worksheets/_rels/sheet2.xml.rels>&#65279;<?xml version="1.0" encoding="utf-8"?><Relationships xmlns="http://schemas.openxmlformats.org/package/2006/relationships"><Relationship Type="http://schemas.openxmlformats.org/officeDocument/2006/relationships/drawing" Target="/xl/drawings/drawing1.xml" Id="R8f0135e3e0584163" /><Relationship Type="http://schemas.openxmlformats.org/officeDocument/2006/relationships/table" Target="/xl/tables/table2.xml" Id="R54ba6036f48843ab" /></Relationships>
</file>

<file path=xl/worksheets/_rels/sheet3.xml.rels>&#65279;<?xml version="1.0" encoding="utf-8"?><Relationships xmlns="http://schemas.openxmlformats.org/package/2006/relationships"><Relationship Type="http://schemas.openxmlformats.org/officeDocument/2006/relationships/table" Target="/xl/tables/table3.xml" Id="R548e1b0b8dbf4a7d" /></Relationships>
</file>

<file path=xl/worksheets/_rels/sheet4.xml.rels>&#65279;<?xml version="1.0" encoding="utf-8"?><Relationships xmlns="http://schemas.openxmlformats.org/package/2006/relationships"><Relationship Type="http://schemas.openxmlformats.org/officeDocument/2006/relationships/table" Target="/xl/tables/table4.xml" Id="R0477bb1193294e00" /></Relationships>
</file>

<file path=xl/worksheets/_rels/sheet5.xml.rels>&#65279;<?xml version="1.0" encoding="utf-8"?><Relationships xmlns="http://schemas.openxmlformats.org/package/2006/relationships"><Relationship Type="http://schemas.openxmlformats.org/officeDocument/2006/relationships/table" Target="/xl/tables/table5.xml" Id="Ree2b4ec7ce2d4059" /></Relationships>
</file>

<file path=xl/worksheets/_rels/sheet6.xml.rels>&#65279;<?xml version="1.0" encoding="utf-8"?><Relationships xmlns="http://schemas.openxmlformats.org/package/2006/relationships"><Relationship Type="http://schemas.openxmlformats.org/officeDocument/2006/relationships/table" Target="/xl/tables/table6.xml" Id="Rfdd9538190054bb5" /></Relationships>
</file>

<file path=xl/worksheets/_rels/sheet7.xml.rels>&#65279;<?xml version="1.0" encoding="utf-8"?><Relationships xmlns="http://schemas.openxmlformats.org/package/2006/relationships"><Relationship Type="http://schemas.openxmlformats.org/officeDocument/2006/relationships/table" Target="/xl/tables/table7.xml" Id="R42ab8608d7634931" /></Relationships>
</file>

<file path=xl/worksheets/_rels/sheet8.xml.rels>&#65279;<?xml version="1.0" encoding="utf-8"?><Relationships xmlns="http://schemas.openxmlformats.org/package/2006/relationships"><Relationship Type="http://schemas.openxmlformats.org/officeDocument/2006/relationships/table" Target="/xl/tables/table8.xml" Id="R44849797a5ce4847" /></Relationships>
</file>

<file path=xl/worksheets/_rels/sheet9.xml.rels>&#65279;<?xml version="1.0" encoding="utf-8"?><Relationships xmlns="http://schemas.openxmlformats.org/package/2006/relationships"><Relationship Type="http://schemas.openxmlformats.org/officeDocument/2006/relationships/table" Target="/xl/tables/table9.xml" Id="Rc9cbf4759baa4eb2" /></Relationships>
</file>

<file path=xl/worksheets/_rels/sheet10.xml.rels>&#65279;<?xml version="1.0" encoding="utf-8"?><Relationships xmlns="http://schemas.openxmlformats.org/package/2006/relationships"><Relationship Type="http://schemas.openxmlformats.org/officeDocument/2006/relationships/table" Target="/xl/tables/table10.xml" Id="R802189b79e394a7a" /></Relationships>
</file>

<file path=xl/worksheets/_rels/sheet11.xml.rels>&#65279;<?xml version="1.0" encoding="utf-8"?><Relationships xmlns="http://schemas.openxmlformats.org/package/2006/relationships"><Relationship Type="http://schemas.openxmlformats.org/officeDocument/2006/relationships/table" Target="/xl/tables/table11.xml" Id="R5f60271f93344373" /></Relationships>
</file>

<file path=xl/worksheets/_rels/sheet12.xml.rels>&#65279;<?xml version="1.0" encoding="utf-8"?><Relationships xmlns="http://schemas.openxmlformats.org/package/2006/relationships"><Relationship Type="http://schemas.openxmlformats.org/officeDocument/2006/relationships/table" Target="/xl/tables/table12.xml" Id="R729c94d5ac7a42bc" /></Relationships>
</file>

<file path=xl/worksheets/_rels/sheet13.xml.rels>&#65279;<?xml version="1.0" encoding="utf-8"?><Relationships xmlns="http://schemas.openxmlformats.org/package/2006/relationships"><Relationship Type="http://schemas.openxmlformats.org/officeDocument/2006/relationships/table" Target="/xl/tables/table13.xml" Id="R00da56e4d26f4d9a" /></Relationships>
</file>

<file path=xl/worksheets/sheet1.xml><?xml version="1.0" encoding="utf-8"?>
<x:worksheet xmlns:x="http://schemas.openxmlformats.org/spreadsheetml/2006/main">
  <x:sheetPr>
    <x:tabColor rgb="FF20354D"/>
  </x:sheetPr>
  <x:sheetViews>
    <x:sheetView showGridLines="0" workbookViewId="0"/>
  </x:sheetViews>
  <x:sheetFormatPr defaultRowHeight="15"/>
  <x:cols>
    <x:col min="1" max="1" width="43" hidden="0" customWidth="1"/>
    <x:col min="2" max="2" width="24" hidden="0" customWidth="1"/>
    <x:col min="3" max="3" width="89" hidden="0" customWidth="1"/>
  </x:cols>
  <x:sheetData>
    <x:row r="1">
      <x:c r="A1" s="1"/>
      <x:c r="B1" s="1"/>
      <x:c r="C1" s="1"/>
    </x:row>
    <x:row r="2" ht="30" customHeight="1">
      <x:c r="A2" s="2" t="str">
        <x:v>Anjoman financial report | 10 October 2026</x:v>
      </x:c>
      <x:c r="B2" s="1"/>
      <x:c r="C2" s="1"/>
    </x:row>
    <x:row r="3">
      <x:c r="A3" s="1"/>
      <x:c r="B3" s="1"/>
      <x:c r="C3" s="1"/>
    </x:row>
    <x:row r="4" ht="32" customHeight="1">
      <x:c r="A4" s="7" t="str">
        <x:v>Measure</x:v>
      </x:c>
      <x:c r="B4" s="7" t="str">
        <x:v>Amount (toman)</x:v>
      </x:c>
      <x:c r="C4" s="7" t="str">
        <x:v>Basis</x:v>
      </x:c>
    </x:row>
    <x:row r="5" ht="27" customHeight="1">
      <x:c r="A5" s="8" t="str">
        <x:v>Supported cash receipts</x:v>
      </x:c>
      <x:c r="B5" s="19" t="n">
        <x:f>SUM('Transactions'!$W$5:$W$99)</x:f>
        <x:v>112552000</x:v>
      </x:c>
      <x:c r="C5" s="8" t="str">
        <x:v>Receipts with status Supported</x:v>
      </x:c>
    </x:row>
    <x:row r="6" ht="27" customHeight="1">
      <x:c r="A6" s="8" t="str">
        <x:v>Supported cash payments</x:v>
      </x:c>
      <x:c r="B6" s="19" t="n">
        <x:f>SUM('Transactions'!$X$5:$X$99)</x:f>
        <x:v>99085195</x:v>
      </x:c>
      <x:c r="C6" s="8" t="str">
        <x:v>Payments with status Supported</x:v>
      </x:c>
    </x:row>
    <x:row r="7" ht="27" customHeight="1">
      <x:c r="A7" s="17" t="str">
        <x:v>Net supported cash activity</x:v>
      </x:c>
      <x:c r="B7" s="20" t="n">
        <x:f>B5-B6</x:f>
        <x:v>13466805</x:v>
      </x:c>
      <x:c r="C7" s="17" t="str">
        <x:v>Receipts less payments; excludes opening balance</x:v>
      </x:c>
    </x:row>
    <x:row r="8" ht="27" customHeight="1">
      <x:c r="A8" s="8" t="str">
        <x:v>Closing bank-reconciled cash</x:v>
      </x:c>
      <x:c r="B8" s="19" t="str">
        <x:f>"Unavailable"</x:f>
        <x:v>Unavailable</x:v>
      </x:c>
      <x:c r="C8" s="8" t="str">
        <x:v>Unavailable: no complete bank statement and personal funds are commingled</x:v>
      </x:c>
    </x:row>
    <x:row r="9" ht="27" customHeight="1">
      <x:c r="A9" s="8" t="str">
        <x:v>Receipts awaiting review</x:v>
      </x:c>
      <x:c r="B9" s="19" t="n">
        <x:f>SUMIFS('Transactions'!$H$5:$H$99,'Transactions'!$N$5:$N$99,"Review",'Transactions'!$E$5:$E$99,"Receipt")</x:f>
        <x:v>0</x:v>
      </x:c>
      <x:c r="C9" s="8" t="str">
        <x:v>Excluded from supported totals</x:v>
      </x:c>
    </x:row>
    <x:row r="10" ht="27" customHeight="1">
      <x:c r="A10" s="8" t="str">
        <x:v>Payments awaiting review</x:v>
      </x:c>
      <x:c r="B10" s="19" t="n">
        <x:f>SUMIFS('Transactions'!$H$5:$H$99,'Transactions'!$N$5:$N$99,"Review",'Transactions'!$E$5:$E$99,"Payment")</x:f>
        <x:v>8334723.9</x:v>
      </x:c>
      <x:c r="C10" s="8" t="str">
        <x:v>Excluded from supported totals</x:v>
      </x:c>
    </x:row>
    <x:row r="11" ht="27" customHeight="1">
      <x:c r="A11" s="8" t="str">
        <x:v>Unclassified amounts awaiting review</x:v>
      </x:c>
      <x:c r="B11" s="19" t="n">
        <x:f>SUMIFS('Transactions'!$H$5:$H$99,'Transactions'!$N$5:$N$99,"Review",'Transactions'!$E$5:$E$99,"Unknown")</x:f>
        <x:v>300000</x:v>
      </x:c>
      <x:c r="C11" s="8" t="str">
        <x:v>Direction unresolved; excluded from totals</x:v>
      </x:c>
    </x:row>
    <x:row r="12" ht="27" customHeight="1">
      <x:c r="A12" s="8" t="str">
        <x:v>Internal transfers</x:v>
      </x:c>
      <x:c r="B12" s="19" t="n">
        <x:f>SUMIFS('Transactions'!$H$5:$H$99,'Transactions'!$E$5:$E$99,"Internal transfer",'Transactions'!$N$5:$N$99,"Supported")</x:f>
        <x:v>0</x:v>
      </x:c>
      <x:c r="C12" s="8" t="str">
        <x:v>Excluded from operating receipts and payments</x:v>
      </x:c>
    </x:row>
    <x:row r="13" ht="27" customHeight="1">
      <x:c r="A13" s="8" t="str">
        <x:v>Unmatched supplier invoices</x:v>
      </x:c>
      <x:c r="B13" s="19" t="n">
        <x:f>SUMIFS('Invoices'!$F$5:$F$20,'Invoices'!$I$5:$I$20,"Unmatched invoice")</x:f>
        <x:v>6416700</x:v>
      </x:c>
      <x:c r="C13" s="8" t="str">
        <x:v>Not assumed paid or automatically booked as a liability</x:v>
      </x:c>
    </x:row>
    <x:row r="14" ht="27" customHeight="1">
      <x:c r="A14" s="8" t="str">
        <x:v>Excluded duplicate candidate amounts</x:v>
      </x:c>
      <x:c r="B14" s="19" t="n">
        <x:f>SUMIFS('Transactions'!$H$5:$H$99,'Transactions'!$N$5:$N$99,"Duplicate")</x:f>
        <x:v>6129375</x:v>
      </x:c>
      <x:c r="C14" s="8" t="str">
        <x:v>Excluded from supported totals</x:v>
      </x:c>
    </x:row>
    <x:row r="15" ht="27" customHeight="1">
      <x:c r="A15" s="8" t="str">
        <x:v>Supported transaction count</x:v>
      </x:c>
      <x:c r="B15" s="21" t="n">
        <x:f>COUNTIFS('Transactions'!$N$5:$N$99,"Supported",'Transactions'!$E$5:$E$99,"Receipt")+COUNTIFS('Transactions'!$N$5:$N$99,"Supported",'Transactions'!$E$5:$E$99,"Payment")</x:f>
        <x:v>66</x:v>
      </x:c>
      <x:c r="C15" s="8" t="str">
        <x:v>Number of Supported receipt/payment records</x:v>
      </x:c>
    </x:row>
    <x:row r="16" ht="27" customHeight="1">
      <x:c r="A16" s="8" t="str">
        <x:v>Review transaction count</x:v>
      </x:c>
      <x:c r="B16" s="21" t="n">
        <x:f>COUNTIFS('Transactions'!$N$5:$N$99,"Review")</x:f>
        <x:v>21</x:v>
      </x:c>
      <x:c r="C16" s="8" t="str">
        <x:v>Number of ledger records marked Review</x:v>
      </x:c>
    </x:row>
    <x:row r="17" ht="27" customHeight="1">
      <x:c r="A17" s="8" t="str">
        <x:v>Source files reviewed</x:v>
      </x:c>
      <x:c r="B17" s="21" t="n">
        <x:f>78</x:f>
        <x:v>78</x:v>
      </x:c>
      <x:c r="C17" s="8" t="str">
        <x:v>Two workbooks, Telegram messages, full images, PDFs and text reports</x:v>
      </x:c>
    </x:row>
    <x:row r="18" ht="27" customHeight="1">
      <x:c r="A18" s="8" t="str">
        <x:v>Telegram messages reviewed</x:v>
      </x:c>
      <x:c r="B18" s="21" t="n">
        <x:f>188</x:f>
        <x:v>188</x:v>
      </x:c>
      <x:c r="C18" s="8" t="str">
        <x:v>Includes service messages and unavailable-media notices</x:v>
      </x:c>
    </x:row>
    <x:row r="19" ht="27" customHeight="1">
      <x:c r="A19" s="8" t="str">
        <x:v>Opening association cash</x:v>
      </x:c>
      <x:c r="B19" s="22" t="str">
        <x:f>"Unavailable"</x:f>
        <x:v>Unavailable</x:v>
      </x:c>
      <x:c r="C19" s="8" t="str">
        <x:v>Unavailable: cannot infer from commingled custodian balance</x:v>
      </x:c>
    </x:row>
    <x:row r="22">
      <x:c r="A22" s="24" t="str">
        <x:v>Reporting basis</x:v>
      </x:c>
    </x:row>
    <x:row r="23">
      <x:c r="A23" s="25" t="str">
        <x:v>Reconstructed cash receipts and payments. Supported includes ledger-only items where clearly labeled. This is not an audited set of accrual financial statements.</x:v>
      </x:c>
      <x:c r="B23" s="25"/>
      <x:c r="C23" s="25"/>
    </x:row>
    <x:row r="24">
      <x:c r="A24" s="25"/>
      <x:c r="B24" s="25"/>
      <x:c r="C24" s="25"/>
    </x:row>
    <x:row r="25">
      <x:c r="A25" s="25"/>
      <x:c r="B25" s="25"/>
      <x:c r="C25" s="25"/>
    </x:row>
    <x:row r="27">
      <x:c r="A27" s="27" t="str">
        <x:v>Receipt composition</x:v>
      </x:c>
      <x:c r="B27" s="27" t="str">
        <x:v>Amount (toman)</x:v>
      </x:c>
      <x:c r="C27" s="27" t="str">
        <x:v>Basis</x:v>
      </x:c>
    </x:row>
    <x:row r="28" ht="15" hidden="0" customHeight="1">
      <x:c r="A28" s="29" t="str">
        <x:v>Former-board handover</x:v>
      </x:c>
      <x:c r="B28" s="30" t="n">
        <x:f>SUMIFS('Transactions'!$W$5:$W$99,'Transactions'!$L$5:$L$99,"Opening funds")</x:f>
        <x:v>11000000</x:v>
      </x:c>
      <x:c r="C28" s="29" t="str">
        <x:v>Opening funds transferred during the period; not operating revenue</x:v>
      </x:c>
    </x:row>
    <x:row r="29" ht="15" hidden="0" customHeight="1">
      <x:c r="A29" s="29" t="str">
        <x:v>Other supported receipts</x:v>
      </x:c>
      <x:c r="B29" s="30" t="n">
        <x:f>B5-B28</x:f>
        <x:v>101552000</x:v>
      </x:c>
      <x:c r="C29" s="29" t="str">
        <x:v>Includes donations and ledger-derived event/course receipts</x:v>
      </x:c>
    </x:row>
    <x:row r="30" ht="15" hidden="0" customHeight="1">
      <x:c r="A30" s="29" t="str">
        <x:v>Ledger-only event / Yalda receipts</x:v>
      </x:c>
      <x:c r="B30" s="30" t="n">
        <x:v>38790000</x:v>
      </x:c>
      <x:c r="C30" s="29" t="str">
        <x:v>Included from original ledger / treasurer statement; bank deposit evidence pending</x:v>
      </x:c>
    </x:row>
    <x:row r="32">
      <x:c r="A32" s="27" t="str">
        <x:v>Summer School 1405</x:v>
      </x:c>
      <x:c r="B32" s="27" t="str">
        <x:v>Matched amount / count</x:v>
      </x:c>
      <x:c r="C32" s="27" t="str">
        <x:v>User-confirmed allocation</x:v>
      </x:c>
    </x:row>
    <x:row r="33" ht="15" hidden="0" customHeight="1">
      <x:c r="A33" s="29" t="str">
        <x:v>Instructor fees identified</x:v>
      </x:c>
      <x:c r="B33" s="30" t="n">
        <x:v>11500000</x:v>
      </x:c>
      <x:c r="C33" s="29" t="str">
        <x:v>Five payments identified; user stated six, remaining payment unassigned</x:v>
      </x:c>
    </x:row>
    <x:row r="34" ht="15" hidden="0" customHeight="1">
      <x:c r="A34" s="29" t="str">
        <x:v>Intro-event sticker packs</x:v>
      </x:c>
      <x:c r="B34" s="30" t="n">
        <x:v>950000</x:v>
      </x:c>
      <x:c r="C34" s="29" t="str">
        <x:v>Zahra Amiri payment; excluded from instructor fees</x:v>
      </x:c>
    </x:row>
  </x:sheetData>
  <x:mergeCells>
    <x:mergeCell ref="A2:C2"/>
    <x:mergeCell ref="A23:C25"/>
  </x:mergeCells>
  <x:pageMargins left="0.7" right="0.7" top="0.75" bottom="0.75" header="0.3" footer="0.3"/>
  <x:tableParts count="1">
    <x:tablePart xmlns:r="http://schemas.openxmlformats.org/officeDocument/2006/relationships" r:id="Rc9ed71cc8aab4345"/>
  </x:tableParts>
</x:worksheet>
</file>

<file path=xl/worksheets/sheet2.xml><?xml version="1.0" encoding="utf-8"?>
<x:worksheet xmlns:x="http://schemas.openxmlformats.org/spreadsheetml/2006/main">
  <x:sheetPr>
    <x:tabColor rgb="FF20354D"/>
  </x:sheetPr>
  <x:sheetViews>
    <x:sheetView showGridLines="0" workbookViewId="0"/>
  </x:sheetViews>
  <x:sheetFormatPr defaultRowHeight="15"/>
  <x:cols>
    <x:col min="1" max="1" width="19" hidden="0" customWidth="1"/>
    <x:col min="2" max="2" width="23" hidden="0" customWidth="1"/>
    <x:col min="3" max="3" width="23" hidden="0" customWidth="1"/>
    <x:col min="4" max="4" width="23" hidden="0" customWidth="1"/>
    <x:col min="5" max="5" width="25" hidden="0" customWidth="1"/>
    <x:col min="6" max="6" width="25" hidden="0" customWidth="1"/>
  </x:cols>
  <x:sheetData>
    <x:row r="1">
      <x:c r="A1" s="1"/>
      <x:c r="B1" s="1"/>
      <x:c r="C1" s="1"/>
      <x:c r="D1" s="1"/>
      <x:c r="E1" s="1"/>
      <x:c r="F1" s="1"/>
    </x:row>
    <x:row r="2" ht="30" customHeight="1">
      <x:c r="A2" s="2" t="str">
        <x:v>Monthly cash activity | Jalali calendar</x:v>
      </x:c>
      <x:c r="B2" s="1"/>
      <x:c r="C2" s="1"/>
      <x:c r="D2" s="1"/>
      <x:c r="E2" s="1"/>
      <x:c r="F2" s="1"/>
    </x:row>
    <x:row r="3">
      <x:c r="A3" s="1"/>
      <x:c r="B3" s="1"/>
      <x:c r="C3" s="1"/>
      <x:c r="D3" s="1"/>
      <x:c r="E3" s="1"/>
      <x:c r="F3" s="1"/>
    </x:row>
    <x:row r="4" ht="32" customHeight="1">
      <x:c r="A4" s="7" t="str">
        <x:v>Jalali month</x:v>
      </x:c>
      <x:c r="B4" s="7" t="str">
        <x:v>Receipts (toman)</x:v>
      </x:c>
      <x:c r="C4" s="7" t="str">
        <x:v>Payments (toman)</x:v>
      </x:c>
      <x:c r="D4" s="7" t="str">
        <x:v>Net activity (toman)</x:v>
      </x:c>
      <x:c r="E4" s="7" t="str">
        <x:v>Cumulative net activity</x:v>
      </x:c>
      <x:c r="F4" s="7" t="str">
        <x:v>Review amounts (toman)</x:v>
      </x:c>
    </x:row>
    <x:row r="5" ht="27" customHeight="1">
      <x:c r="A5" s="8" t="str">
        <x:v>1404/04</x:v>
      </x:c>
      <x:c r="B5" s="10" t="n">
        <x:f>SUMIFS('Transactions'!$W$5:$W$99,'Transactions'!$D$5:$D$99,A5)</x:f>
        <x:v>0</x:v>
      </x:c>
      <x:c r="C5" s="10" t="n">
        <x:f>SUMIFS('Transactions'!$X$5:$X$99,'Transactions'!$D$5:$D$99,A5)</x:f>
        <x:v>400000</x:v>
      </x:c>
      <x:c r="D5" s="10" t="n">
        <x:f>B5-C5</x:f>
        <x:v>-400000</x:v>
      </x:c>
      <x:c r="E5" s="10" t="n">
        <x:f>SUM($D$5:D5)</x:f>
        <x:v>-400000</x:v>
      </x:c>
      <x:c r="F5" s="10" t="n">
        <x:f>SUMIFS('Transactions'!$H$5:$H$99,'Transactions'!$D$5:$D$99,A5,'Transactions'!$N$5:$N$99,"Review")</x:f>
        <x:v>0</x:v>
      </x:c>
    </x:row>
    <x:row r="6" ht="27" customHeight="1">
      <x:c r="A6" s="8" t="str">
        <x:v>1404/05</x:v>
      </x:c>
      <x:c r="B6" s="10" t="n">
        <x:f>SUMIFS('Transactions'!$W$5:$W$99,'Transactions'!$D$5:$D$99,A6)</x:f>
        <x:v>33642000</x:v>
      </x:c>
      <x:c r="C6" s="10" t="n">
        <x:f>SUMIFS('Transactions'!$X$5:$X$99,'Transactions'!$D$5:$D$99,A6)</x:f>
        <x:v>13250900</x:v>
      </x:c>
      <x:c r="D6" s="10" t="n">
        <x:f>B6-C6</x:f>
        <x:v>20391100</x:v>
      </x:c>
      <x:c r="E6" s="10" t="n">
        <x:f>SUM($D$5:D6)</x:f>
        <x:v>19991100</x:v>
      </x:c>
      <x:c r="F6" s="10" t="n">
        <x:f>SUMIFS('Transactions'!$H$5:$H$99,'Transactions'!$D$5:$D$99,A6,'Transactions'!$N$5:$N$99,"Review")</x:f>
        <x:v>400000</x:v>
      </x:c>
    </x:row>
    <x:row r="7" ht="27" customHeight="1">
      <x:c r="A7" s="8" t="str">
        <x:v>1404/06</x:v>
      </x:c>
      <x:c r="B7" s="10" t="n">
        <x:f>SUMIFS('Transactions'!$W$5:$W$99,'Transactions'!$D$5:$D$99,A7)</x:f>
        <x:v>4920000</x:v>
      </x:c>
      <x:c r="C7" s="10" t="n">
        <x:f>SUMIFS('Transactions'!$X$5:$X$99,'Transactions'!$D$5:$D$99,A7)</x:f>
        <x:v>3155000</x:v>
      </x:c>
      <x:c r="D7" s="10" t="n">
        <x:f>B7-C7</x:f>
        <x:v>1765000</x:v>
      </x:c>
      <x:c r="E7" s="10" t="n">
        <x:f>SUM($D$5:D7)</x:f>
        <x:v>21756100</x:v>
      </x:c>
      <x:c r="F7" s="10" t="n">
        <x:f>SUMIFS('Transactions'!$H$5:$H$99,'Transactions'!$D$5:$D$99,A7,'Transactions'!$N$5:$N$99,"Review")</x:f>
        <x:v>0</x:v>
      </x:c>
    </x:row>
    <x:row r="8" ht="27" customHeight="1">
      <x:c r="A8" s="8" t="str">
        <x:v>1404/07</x:v>
      </x:c>
      <x:c r="B8" s="10" t="n">
        <x:f>SUMIFS('Transactions'!$W$5:$W$99,'Transactions'!$D$5:$D$99,A8)</x:f>
        <x:v>500000</x:v>
      </x:c>
      <x:c r="C8" s="10" t="n">
        <x:f>SUMIFS('Transactions'!$X$5:$X$99,'Transactions'!$D$5:$D$99,A8)</x:f>
        <x:v>2845225</x:v>
      </x:c>
      <x:c r="D8" s="10" t="n">
        <x:f>B8-C8</x:f>
        <x:v>-2345225</x:v>
      </x:c>
      <x:c r="E8" s="10" t="n">
        <x:f>SUM($D$5:D8)</x:f>
        <x:v>19410875</x:v>
      </x:c>
      <x:c r="F8" s="10" t="n">
        <x:f>SUMIFS('Transactions'!$H$5:$H$99,'Transactions'!$D$5:$D$99,A8,'Transactions'!$N$5:$N$99,"Review")</x:f>
        <x:v>0</x:v>
      </x:c>
    </x:row>
    <x:row r="9" ht="27" customHeight="1">
      <x:c r="A9" s="8" t="str">
        <x:v>1404/08</x:v>
      </x:c>
      <x:c r="B9" s="10" t="n">
        <x:f>SUMIFS('Transactions'!$W$5:$W$99,'Transactions'!$D$5:$D$99,A9)</x:f>
        <x:v>11000000</x:v>
      </x:c>
      <x:c r="C9" s="10" t="n">
        <x:f>SUMIFS('Transactions'!$X$5:$X$99,'Transactions'!$D$5:$D$99,A9)</x:f>
        <x:v>10103700</x:v>
      </x:c>
      <x:c r="D9" s="10" t="n">
        <x:f>B9-C9</x:f>
        <x:v>896300</x:v>
      </x:c>
      <x:c r="E9" s="10" t="n">
        <x:f>SUM($D$5:D9)</x:f>
        <x:v>20307175</x:v>
      </x:c>
      <x:c r="F9" s="10" t="n">
        <x:f>SUMIFS('Transactions'!$H$5:$H$99,'Transactions'!$D$5:$D$99,A9,'Transactions'!$N$5:$N$99,"Review")</x:f>
        <x:v>313000</x:v>
      </x:c>
    </x:row>
    <x:row r="10" ht="27" customHeight="1">
      <x:c r="A10" s="8" t="str">
        <x:v>1404/09</x:v>
      </x:c>
      <x:c r="B10" s="10" t="n">
        <x:f>SUMIFS('Transactions'!$W$5:$W$99,'Transactions'!$D$5:$D$99,A10)</x:f>
        <x:v>23000000</x:v>
      </x:c>
      <x:c r="C10" s="10" t="n">
        <x:f>SUMIFS('Transactions'!$X$5:$X$99,'Transactions'!$D$5:$D$99,A10)</x:f>
        <x:v>1020000</x:v>
      </x:c>
      <x:c r="D10" s="10" t="n">
        <x:f>B10-C10</x:f>
        <x:v>21980000</x:v>
      </x:c>
      <x:c r="E10" s="10" t="n">
        <x:f>SUM($D$5:D10)</x:f>
        <x:v>42287175</x:v>
      </x:c>
      <x:c r="F10" s="10" t="n">
        <x:f>SUMIFS('Transactions'!$H$5:$H$99,'Transactions'!$D$5:$D$99,A10,'Transactions'!$N$5:$N$99,"Review")</x:f>
        <x:v>0</x:v>
      </x:c>
    </x:row>
    <x:row r="11" ht="27" customHeight="1">
      <x:c r="A11" s="8" t="str">
        <x:v>1404/10</x:v>
      </x:c>
      <x:c r="B11" s="10" t="n">
        <x:f>SUMIFS('Transactions'!$W$5:$W$99,'Transactions'!$D$5:$D$99,A11)</x:f>
        <x:v>16490000</x:v>
      </x:c>
      <x:c r="C11" s="10" t="n">
        <x:f>SUMIFS('Transactions'!$X$5:$X$99,'Transactions'!$D$5:$D$99,A11)</x:f>
        <x:v>2317000</x:v>
      </x:c>
      <x:c r="D11" s="10" t="n">
        <x:f>B11-C11</x:f>
        <x:v>14173000</x:v>
      </x:c>
      <x:c r="E11" s="10" t="n">
        <x:f>SUM($D$5:D11)</x:f>
        <x:v>56460175</x:v>
      </x:c>
      <x:c r="F11" s="10" t="n">
        <x:f>SUMIFS('Transactions'!$H$5:$H$99,'Transactions'!$D$5:$D$99,A11,'Transactions'!$N$5:$N$99,"Review")</x:f>
        <x:v>7921723.9</x:v>
      </x:c>
    </x:row>
    <x:row r="12" ht="27" customHeight="1">
      <x:c r="A12" s="8" t="str">
        <x:v>1404/12</x:v>
      </x:c>
      <x:c r="B12" s="10" t="n">
        <x:f>SUMIFS('Transactions'!$W$5:$W$99,'Transactions'!$D$5:$D$99,A12)</x:f>
        <x:v>0</x:v>
      </x:c>
      <x:c r="C12" s="10" t="n">
        <x:f>SUMIFS('Transactions'!$X$5:$X$99,'Transactions'!$D$5:$D$99,A12)</x:f>
        <x:v>1801220</x:v>
      </x:c>
      <x:c r="D12" s="10" t="n">
        <x:f>B12-C12</x:f>
        <x:v>-1801220</x:v>
      </x:c>
      <x:c r="E12" s="10" t="n">
        <x:f>SUM($D$5:D12)</x:f>
        <x:v>54658955</x:v>
      </x:c>
      <x:c r="F12" s="10" t="n">
        <x:f>SUMIFS('Transactions'!$H$5:$H$99,'Transactions'!$D$5:$D$99,A12,'Transactions'!$N$5:$N$99,"Review")</x:f>
        <x:v>0</x:v>
      </x:c>
    </x:row>
    <x:row r="13" ht="27" customHeight="1">
      <x:c r="A13" s="8" t="str">
        <x:v>1405/02</x:v>
      </x:c>
      <x:c r="B13" s="10" t="n">
        <x:f>SUMIFS('Transactions'!$W$5:$W$99,'Transactions'!$D$5:$D$99,A13)</x:f>
        <x:v>0</x:v>
      </x:c>
      <x:c r="C13" s="10" t="n">
        <x:f>SUMIFS('Transactions'!$X$5:$X$99,'Transactions'!$D$5:$D$99,A13)</x:f>
        <x:v>4050000</x:v>
      </x:c>
      <x:c r="D13" s="10" t="n">
        <x:f>B13-C13</x:f>
        <x:v>-4050000</x:v>
      </x:c>
      <x:c r="E13" s="10" t="n">
        <x:f>SUM($D$5:D13)</x:f>
        <x:v>50608955</x:v>
      </x:c>
      <x:c r="F13" s="10" t="n">
        <x:f>SUMIFS('Transactions'!$H$5:$H$99,'Transactions'!$D$5:$D$99,A13,'Transactions'!$N$5:$N$99,"Review")</x:f>
        <x:v>0</x:v>
      </x:c>
    </x:row>
    <x:row r="14" ht="27" customHeight="1">
      <x:c r="A14" s="8" t="str">
        <x:v>1405/05</x:v>
      </x:c>
      <x:c r="B14" s="10" t="n">
        <x:f>SUMIFS('Transactions'!$W$5:$W$99,'Transactions'!$D$5:$D$99,A14)</x:f>
        <x:v>0</x:v>
      </x:c>
      <x:c r="C14" s="10" t="n">
        <x:f>SUMIFS('Transactions'!$X$5:$X$99,'Transactions'!$D$5:$D$99,A14)</x:f>
        <x:v>11217000</x:v>
      </x:c>
      <x:c r="D14" s="10" t="n">
        <x:f>B14-C14</x:f>
        <x:v>-11217000</x:v>
      </x:c>
      <x:c r="E14" s="10" t="n">
        <x:f>SUM($D$5:D14)</x:f>
        <x:v>39391955</x:v>
      </x:c>
      <x:c r="F14" s="10" t="n">
        <x:f>SUMIFS('Transactions'!$H$5:$H$99,'Transactions'!$D$5:$D$99,A14,'Transactions'!$N$5:$N$99,"Review")</x:f>
        <x:v>0</x:v>
      </x:c>
    </x:row>
    <x:row r="15" ht="27" customHeight="1">
      <x:c r="A15" s="8" t="str">
        <x:v>1405/06</x:v>
      </x:c>
      <x:c r="B15" s="10" t="n">
        <x:f>SUMIFS('Transactions'!$W$5:$W$99,'Transactions'!$D$5:$D$99,A15)</x:f>
        <x:v>0</x:v>
      </x:c>
      <x:c r="C15" s="10" t="n">
        <x:f>SUMIFS('Transactions'!$X$5:$X$99,'Transactions'!$D$5:$D$99,A15)</x:f>
        <x:v>9150000</x:v>
      </x:c>
      <x:c r="D15" s="10" t="n">
        <x:f>B15-C15</x:f>
        <x:v>-9150000</x:v>
      </x:c>
      <x:c r="E15" s="10" t="n">
        <x:f>SUM($D$5:D15)</x:f>
        <x:v>30241955</x:v>
      </x:c>
      <x:c r="F15" s="10" t="n">
        <x:f>SUMIFS('Transactions'!$H$5:$H$99,'Transactions'!$D$5:$D$99,A15,'Transactions'!$N$5:$N$99,"Review")</x:f>
        <x:v>0</x:v>
      </x:c>
    </x:row>
    <x:row r="16" ht="27" customHeight="1">
      <x:c r="A16" s="8" t="str">
        <x:v>1405/07</x:v>
      </x:c>
      <x:c r="B16" s="10" t="n">
        <x:f>SUMIFS('Transactions'!$W$5:$W$99,'Transactions'!$D$5:$D$99,A16)</x:f>
        <x:v>23000000</x:v>
      </x:c>
      <x:c r="C16" s="10" t="n">
        <x:f>SUMIFS('Transactions'!$X$5:$X$99,'Transactions'!$D$5:$D$99,A16)</x:f>
        <x:v>39775150</x:v>
      </x:c>
      <x:c r="D16" s="10" t="n">
        <x:f>B16-C16</x:f>
        <x:v>-16775150</x:v>
      </x:c>
      <x:c r="E16" s="10" t="n">
        <x:f>SUM($D$5:D16)</x:f>
        <x:v>13466805</x:v>
      </x:c>
      <x:c r="F16" s="10" t="n">
        <x:f>SUMIFS('Transactions'!$H$5:$H$99,'Transactions'!$D$5:$D$99,A16,'Transactions'!$N$5:$N$99,"Review")</x:f>
        <x:v>0</x:v>
      </x:c>
    </x:row>
    <x:row r="17" ht="27" customHeight="1">
      <x:c r="A17" s="8" t="str">
        <x:v>Undated</x:v>
      </x:c>
      <x:c r="B17" s="10" t="n">
        <x:f>SUMIFS('Transactions'!$W$5:$W$99,'Transactions'!$D$5:$D$99,A17)</x:f>
        <x:v>0</x:v>
      </x:c>
      <x:c r="C17" s="10" t="n">
        <x:f>SUMIFS('Transactions'!$X$5:$X$99,'Transactions'!$D$5:$D$99,A17)</x:f>
        <x:v>0</x:v>
      </x:c>
      <x:c r="D17" s="10" t="n">
        <x:f>B17-C17</x:f>
        <x:v>0</x:v>
      </x:c>
      <x:c r="E17" s="10" t="n">
        <x:f>SUM($D$5:D17)</x:f>
        <x:v>13466805</x:v>
      </x:c>
      <x:c r="F17" s="10" t="n">
        <x:f>SUMIFS('Transactions'!$H$5:$H$99,'Transactions'!$D$5:$D$99,A17,'Transactions'!$N$5:$N$99,"Review")</x:f>
        <x:v>0</x:v>
      </x:c>
    </x:row>
  </x:sheetData>
  <x:mergeCells>
    <x:mergeCell ref="A2:F2"/>
  </x:mergeCells>
  <x:pageMargins left="0.7" right="0.7" top="0.75" bottom="0.75" header="0.3" footer="0.3"/>
  <x:drawing xmlns:r="http://schemas.openxmlformats.org/officeDocument/2006/relationships" r:id="R8f0135e3e0584163"/>
  <x:tableParts count="1">
    <x:tablePart xmlns:r="http://schemas.openxmlformats.org/officeDocument/2006/relationships" r:id="R54ba6036f48843ab"/>
  </x:tableParts>
</x:worksheet>
</file>

<file path=xl/worksheets/sheet3.xml><?xml version="1.0" encoding="utf-8"?>
<x:worksheet xmlns:x="http://schemas.openxmlformats.org/spreadsheetml/2006/main">
  <x:sheetPr>
    <x:tabColor rgb="FF20354D"/>
  </x:sheetPr>
  <x:sheetViews>
    <x:sheetView showGridLines="0" workbookViewId="0"/>
  </x:sheetViews>
  <x:sheetFormatPr defaultRowHeight="15"/>
  <x:cols>
    <x:col min="1" max="1" width="45" hidden="0" customWidth="1"/>
    <x:col min="2" max="2" width="24" hidden="0" customWidth="1"/>
    <x:col min="3" max="3" width="24" hidden="0" customWidth="1"/>
    <x:col min="4" max="4" width="25" hidden="0" customWidth="1"/>
    <x:col min="5" max="5" width="25" hidden="0" customWidth="1"/>
  </x:cols>
  <x:sheetData>
    <x:row r="1">
      <x:c r="A1" s="1"/>
      <x:c r="B1" s="1"/>
      <x:c r="C1" s="1"/>
      <x:c r="D1" s="1"/>
      <x:c r="E1" s="1"/>
    </x:row>
    <x:row r="2" ht="30" customHeight="1">
      <x:c r="A2" s="2" t="str">
        <x:v>Project cash activity | not accrual profitability</x:v>
      </x:c>
      <x:c r="B2" s="1"/>
      <x:c r="C2" s="1"/>
      <x:c r="D2" s="1"/>
      <x:c r="E2" s="1"/>
    </x:row>
    <x:row r="3">
      <x:c r="A3" s="1"/>
      <x:c r="B3" s="1"/>
      <x:c r="C3" s="1"/>
      <x:c r="D3" s="1"/>
      <x:c r="E3" s="1"/>
    </x:row>
    <x:row r="4" ht="32" customHeight="1">
      <x:c r="A4" s="7" t="str">
        <x:v>Project</x:v>
      </x:c>
      <x:c r="B4" s="7" t="str">
        <x:v>Receipts (toman)</x:v>
      </x:c>
      <x:c r="C4" s="7" t="str">
        <x:v>Payments (toman)</x:v>
      </x:c>
      <x:c r="D4" s="7" t="str">
        <x:v>Net activity (toman)</x:v>
      </x:c>
      <x:c r="E4" s="7" t="str">
        <x:v>Review amounts (toman)</x:v>
      </x:c>
    </x:row>
    <x:row r="5" ht="27" customHeight="1">
      <x:c r="A5" s="8" t="str">
        <x:v>Association operations</x:v>
      </x:c>
      <x:c r="B5" s="10" t="n">
        <x:f>SUMIFS('Transactions'!$W$5:$W$99,'Transactions'!$M$5:$M$99,A5)</x:f>
        <x:v>34000000</x:v>
      </x:c>
      <x:c r="C5" s="10" t="n">
        <x:f>SUMIFS('Transactions'!$X$5:$X$99,'Transactions'!$M$5:$M$99,A5)</x:f>
        <x:v>3084700</x:v>
      </x:c>
      <x:c r="D5" s="10" t="n">
        <x:f>B5-C5</x:f>
        <x:v>30915300</x:v>
      </x:c>
      <x:c r="E5" s="10" t="n">
        <x:f>SUMIFS('Transactions'!$H$5:$H$99,'Transactions'!$M$5:$M$99,A5,'Transactions'!$N$5:$N$99,"Review")</x:f>
        <x:v>13000</x:v>
      </x:c>
    </x:row>
    <x:row r="6" ht="27" customHeight="1">
      <x:c r="A6" s="8" t="str">
        <x:v>Booths 1404</x:v>
      </x:c>
      <x:c r="B6" s="10" t="n">
        <x:f>SUMIFS('Transactions'!$W$5:$W$99,'Transactions'!$M$5:$M$99,A6)</x:f>
        <x:v>0</x:v>
      </x:c>
      <x:c r="C6" s="10" t="n">
        <x:f>SUMIFS('Transactions'!$X$5:$X$99,'Transactions'!$M$5:$M$99,A6)</x:f>
        <x:v>1995000</x:v>
      </x:c>
      <x:c r="D6" s="10" t="n">
        <x:f>B6-C6</x:f>
        <x:v>-1995000</x:v>
      </x:c>
      <x:c r="E6" s="10" t="n">
        <x:f>SUMIFS('Transactions'!$H$5:$H$99,'Transactions'!$M$5:$M$99,A6,'Transactions'!$N$5:$N$99,"Review")</x:f>
        <x:v>0</x:v>
      </x:c>
    </x:row>
    <x:row r="7" ht="27" customHeight="1">
      <x:c r="A7" s="8" t="str">
        <x:v>Freshman Party 1404</x:v>
      </x:c>
      <x:c r="B7" s="10" t="n">
        <x:f>SUMIFS('Transactions'!$W$5:$W$99,'Transactions'!$M$5:$M$99,A7)</x:f>
        <x:v>0</x:v>
      </x:c>
      <x:c r="C7" s="10" t="n">
        <x:f>SUMIFS('Transactions'!$X$5:$X$99,'Transactions'!$M$5:$M$99,A7)</x:f>
        <x:v>5774000</x:v>
      </x:c>
      <x:c r="D7" s="10" t="n">
        <x:f>B7-C7</x:f>
        <x:v>-5774000</x:v>
      </x:c>
      <x:c r="E7" s="10" t="n">
        <x:f>SUMIFS('Transactions'!$H$5:$H$99,'Transactions'!$M$5:$M$99,A7,'Transactions'!$N$5:$N$99,"Review")</x:f>
        <x:v>300000</x:v>
      </x:c>
    </x:row>
    <x:row r="8" ht="27" customHeight="1">
      <x:c r="A8" s="8" t="str">
        <x:v>Intro Event 1404</x:v>
      </x:c>
      <x:c r="B8" s="10" t="n">
        <x:f>SUMIFS('Transactions'!$W$5:$W$99,'Transactions'!$M$5:$M$99,A8)</x:f>
        <x:v>4920000</x:v>
      </x:c>
      <x:c r="C8" s="10" t="n">
        <x:f>SUMIFS('Transactions'!$X$5:$X$99,'Transactions'!$M$5:$M$99,A8)</x:f>
        <x:v>3155000</x:v>
      </x:c>
      <x:c r="D8" s="10" t="n">
        <x:f>B8-C8</x:f>
        <x:v>1765000</x:v>
      </x:c>
      <x:c r="E8" s="10" t="n">
        <x:f>SUMIFS('Transactions'!$H$5:$H$99,'Transactions'!$M$5:$M$99,A8,'Transactions'!$N$5:$N$99,"Review")</x:f>
        <x:v>0</x:v>
      </x:c>
    </x:row>
    <x:row r="9" ht="27" customHeight="1">
      <x:c r="A9" s="8" t="str">
        <x:v>Intro Event 1405</x:v>
      </x:c>
      <x:c r="B9" s="10" t="n">
        <x:f>SUMIFS('Transactions'!$W$5:$W$99,'Transactions'!$M$5:$M$99,A9)</x:f>
        <x:v>23000000</x:v>
      </x:c>
      <x:c r="C9" s="10" t="n">
        <x:f>SUMIFS('Transactions'!$X$5:$X$99,'Transactions'!$M$5:$M$99,A9)</x:f>
        <x:v>5950000</x:v>
      </x:c>
      <x:c r="D9" s="10" t="n">
        <x:f>B9-C9</x:f>
        <x:v>17050000</x:v>
      </x:c>
      <x:c r="E9" s="10" t="n">
        <x:f>SUMIFS('Transactions'!$H$5:$H$99,'Transactions'!$M$5:$M$99,A9,'Transactions'!$N$5:$N$99,"Review")</x:f>
        <x:v>0</x:v>
      </x:c>
    </x:row>
    <x:row r="10" ht="27" customHeight="1">
      <x:c r="A10" s="8" t="str">
        <x:v>Professors assembly Mehr</x:v>
      </x:c>
      <x:c r="B10" s="10" t="n">
        <x:f>SUMIFS('Transactions'!$W$5:$W$99,'Transactions'!$M$5:$M$99,A10)</x:f>
        <x:v>500000</x:v>
      </x:c>
      <x:c r="C10" s="10" t="n">
        <x:f>SUMIFS('Transactions'!$X$5:$X$99,'Transactions'!$M$5:$M$99,A10)</x:f>
        <x:v>1142375</x:v>
      </x:c>
      <x:c r="D10" s="10" t="n">
        <x:f>B10-C10</x:f>
        <x:v>-642375</x:v>
      </x:c>
      <x:c r="E10" s="10" t="n">
        <x:f>SUMIFS('Transactions'!$H$5:$H$99,'Transactions'!$M$5:$M$99,A10,'Transactions'!$N$5:$N$99,"Review")</x:f>
        <x:v>0</x:v>
      </x:c>
    </x:row>
    <x:row r="11" ht="27" customHeight="1">
      <x:c r="A11" s="8" t="str">
        <x:v>Summer School 1404</x:v>
      </x:c>
      <x:c r="B11" s="10" t="n">
        <x:f>SUMIFS('Transactions'!$W$5:$W$99,'Transactions'!$M$5:$M$99,A11)</x:f>
        <x:v>33642000</x:v>
      </x:c>
      <x:c r="C11" s="10" t="n">
        <x:f>SUMIFS('Transactions'!$X$5:$X$99,'Transactions'!$M$5:$M$99,A11)</x:f>
        <x:v>12900900</x:v>
      </x:c>
      <x:c r="D11" s="10" t="n">
        <x:f>B11-C11</x:f>
        <x:v>20741100</x:v>
      </x:c>
      <x:c r="E11" s="10" t="n">
        <x:f>SUMIFS('Transactions'!$H$5:$H$99,'Transactions'!$M$5:$M$99,A11,'Transactions'!$N$5:$N$99,"Review")</x:f>
        <x:v>400000</x:v>
      </x:c>
    </x:row>
    <x:row r="12" ht="27" customHeight="1">
      <x:c r="A12" s="8" t="str">
        <x:v>Summer School 1405</x:v>
      </x:c>
      <x:c r="B12" s="10" t="n">
        <x:f>SUMIFS('Transactions'!$W$5:$W$99,'Transactions'!$M$5:$M$99,A12)</x:f>
        <x:v>0</x:v>
      </x:c>
      <x:c r="C12" s="10" t="n">
        <x:f>SUMIFS('Transactions'!$X$5:$X$99,'Transactions'!$M$5:$M$99,A12)</x:f>
        <x:v>11500000</x:v>
      </x:c>
      <x:c r="D12" s="10" t="n">
        <x:f>B12-C12</x:f>
        <x:v>-11500000</x:v>
      </x:c>
      <x:c r="E12" s="10" t="n">
        <x:f>SUMIFS('Transactions'!$H$5:$H$99,'Transactions'!$M$5:$M$99,A12,'Transactions'!$N$5:$N$99,"Review")</x:f>
        <x:v>0</x:v>
      </x:c>
    </x:row>
    <x:row r="13" ht="27" customHeight="1">
      <x:c r="A13" s="8" t="str">
        <x:v>Tea &amp; Physics society</x:v>
      </x:c>
      <x:c r="B13" s="10" t="n">
        <x:f>SUMIFS('Transactions'!$W$5:$W$99,'Transactions'!$M$5:$M$99,A13)</x:f>
        <x:v>0</x:v>
      </x:c>
      <x:c r="C13" s="10" t="n">
        <x:f>SUMIFS('Transactions'!$X$5:$X$99,'Transactions'!$M$5:$M$99,A13)</x:f>
        <x:v>1702850</x:v>
      </x:c>
      <x:c r="D13" s="10" t="n">
        <x:f>B13-C13</x:f>
        <x:v>-1702850</x:v>
      </x:c>
      <x:c r="E13" s="10" t="n">
        <x:f>SUMIFS('Transactions'!$H$5:$H$99,'Transactions'!$M$5:$M$99,A13,'Transactions'!$N$5:$N$99,"Review")</x:f>
        <x:v>0</x:v>
      </x:c>
    </x:row>
    <x:row r="14" ht="27" customHeight="1">
      <x:c r="A14" s="8" t="str">
        <x:v>Unassigned</x:v>
      </x:c>
      <x:c r="B14" s="10" t="n">
        <x:f>SUMIFS('Transactions'!$W$5:$W$99,'Transactions'!$M$5:$M$99,A14)</x:f>
        <x:v>0</x:v>
      </x:c>
      <x:c r="C14" s="10" t="n">
        <x:f>SUMIFS('Transactions'!$X$5:$X$99,'Transactions'!$M$5:$M$99,A14)</x:f>
        <x:v>45513370</x:v>
      </x:c>
      <x:c r="D14" s="10" t="n">
        <x:f>B14-C14</x:f>
        <x:v>-45513370</x:v>
      </x:c>
      <x:c r="E14" s="10" t="n">
        <x:f>SUMIFS('Transactions'!$H$5:$H$99,'Transactions'!$M$5:$M$99,A14,'Transactions'!$N$5:$N$99,"Review")</x:f>
        <x:v>0</x:v>
      </x:c>
    </x:row>
    <x:row r="15" ht="27" customHeight="1">
      <x:c r="A15" s="8" t="str">
        <x:v>Unknown (likely 1405 summer school)</x:v>
      </x:c>
      <x:c r="B15" s="10" t="n">
        <x:f>SUMIFS('Transactions'!$W$5:$W$99,'Transactions'!$M$5:$M$99,A15)</x:f>
        <x:v>0</x:v>
      </x:c>
      <x:c r="C15" s="10" t="n">
        <x:f>SUMIFS('Transactions'!$X$5:$X$99,'Transactions'!$M$5:$M$99,A15)</x:f>
        <x:v>0</x:v>
      </x:c>
      <x:c r="D15" s="10" t="n">
        <x:f>B15-C15</x:f>
        <x:v>0</x:v>
      </x:c>
      <x:c r="E15" s="10" t="n">
        <x:f>SUMIFS('Transactions'!$H$5:$H$99,'Transactions'!$M$5:$M$99,A15,'Transactions'!$N$5:$N$99,"Review")</x:f>
        <x:v>0</x:v>
      </x:c>
    </x:row>
    <x:row r="16" ht="27" customHeight="1">
      <x:c r="A16" s="8" t="str">
        <x:v>Yalda 1404</x:v>
      </x:c>
      <x:c r="B16" s="10" t="n">
        <x:f>SUMIFS('Transactions'!$W$5:$W$99,'Transactions'!$M$5:$M$99,A16)</x:f>
        <x:v>16490000</x:v>
      </x:c>
      <x:c r="C16" s="10" t="n">
        <x:f>SUMIFS('Transactions'!$X$5:$X$99,'Transactions'!$M$5:$M$99,A16)</x:f>
        <x:v>6367000</x:v>
      </x:c>
      <x:c r="D16" s="10" t="n">
        <x:f>B16-C16</x:f>
        <x:v>10123000</x:v>
      </x:c>
      <x:c r="E16" s="10" t="n">
        <x:f>SUMIFS('Transactions'!$H$5:$H$99,'Transactions'!$M$5:$M$99,A16,'Transactions'!$N$5:$N$99,"Review")</x:f>
        <x:v>7921723.9</x:v>
      </x:c>
    </x:row>
  </x:sheetData>
  <x:mergeCells>
    <x:mergeCell ref="A2:E2"/>
  </x:mergeCells>
  <x:pageMargins left="0.7" right="0.7" top="0.75" bottom="0.75" header="0.3" footer="0.3"/>
  <x:tableParts count="1">
    <x:tablePart xmlns:r="http://schemas.openxmlformats.org/officeDocument/2006/relationships" r:id="R548e1b0b8dbf4a7d"/>
  </x:tableParts>
</x:worksheet>
</file>

<file path=xl/worksheets/sheet4.xml><?xml version="1.0" encoding="utf-8"?>
<x:worksheet xmlns:x="http://schemas.openxmlformats.org/spreadsheetml/2006/main">
  <x:sheetPr>
    <x:tabColor rgb="FFEDF2F7"/>
  </x:sheetPr>
  <x:sheetViews>
    <x:sheetView showGridLines="0" workbookViewId="0"/>
  </x:sheetViews>
  <x:sheetFormatPr defaultRowHeight="15"/>
  <x:cols>
    <x:col min="1" max="1" width="35" hidden="0" customWidth="1"/>
    <x:col min="2" max="2" width="24" hidden="0" customWidth="1"/>
    <x:col min="3" max="3" width="24" hidden="0" customWidth="1"/>
    <x:col min="4" max="4" width="25" hidden="0" customWidth="1"/>
    <x:col min="5" max="5" width="25" hidden="0" customWidth="1"/>
  </x:cols>
  <x:sheetData>
    <x:row r="1">
      <x:c r="A1" s="1"/>
      <x:c r="B1" s="1"/>
      <x:c r="C1" s="1"/>
      <x:c r="D1" s="1"/>
      <x:c r="E1" s="1"/>
    </x:row>
    <x:row r="2" ht="30" customHeight="1">
      <x:c r="A2" s="2" t="str">
        <x:v>Cash receipts and payments by category</x:v>
      </x:c>
      <x:c r="B2" s="1"/>
      <x:c r="C2" s="1"/>
      <x:c r="D2" s="1"/>
      <x:c r="E2" s="1"/>
    </x:row>
    <x:row r="3">
      <x:c r="A3" s="1"/>
      <x:c r="B3" s="1"/>
      <x:c r="C3" s="1"/>
      <x:c r="D3" s="1"/>
      <x:c r="E3" s="1"/>
    </x:row>
    <x:row r="4" ht="32" customHeight="1">
      <x:c r="A4" s="7" t="str">
        <x:v>Category</x:v>
      </x:c>
      <x:c r="B4" s="7" t="str">
        <x:v>Receipts (toman)</x:v>
      </x:c>
      <x:c r="C4" s="7" t="str">
        <x:v>Payments (toman)</x:v>
      </x:c>
      <x:c r="D4" s="7" t="str">
        <x:v>Net activity (toman)</x:v>
      </x:c>
      <x:c r="E4" s="7" t="str">
        <x:v>Review amounts (toman)</x:v>
      </x:c>
    </x:row>
    <x:row r="5" ht="27" customHeight="1">
      <x:c r="A5" s="8" t="str">
        <x:v>Advertising</x:v>
      </x:c>
      <x:c r="B5" s="10" t="n">
        <x:f>SUMIFS('Transactions'!$W$5:$W$99,'Transactions'!$L$5:$L$99,A5)</x:f>
        <x:v>0</x:v>
      </x:c>
      <x:c r="C5" s="10" t="n">
        <x:f>SUMIFS('Transactions'!$X$5:$X$99,'Transactions'!$L$5:$L$99,A5)</x:f>
        <x:v>400000</x:v>
      </x:c>
      <x:c r="D5" s="10" t="n">
        <x:f>B5-C5</x:f>
        <x:v>-400000</x:v>
      </x:c>
      <x:c r="E5" s="10" t="n">
        <x:f>SUMIFS('Transactions'!$H$5:$H$99,'Transactions'!$L$5:$L$99,A5,'Transactions'!$N$5:$N$99,"Review")</x:f>
        <x:v>400000</x:v>
      </x:c>
    </x:row>
    <x:row r="6" ht="27" customHeight="1">
      <x:c r="A6" s="8" t="str">
        <x:v>Bank fees</x:v>
      </x:c>
      <x:c r="B6" s="10" t="n">
        <x:f>SUMIFS('Transactions'!$W$5:$W$99,'Transactions'!$L$5:$L$99,A6)</x:f>
        <x:v>0</x:v>
      </x:c>
      <x:c r="C6" s="10" t="n">
        <x:f>SUMIFS('Transactions'!$X$5:$X$99,'Transactions'!$L$5:$L$99,A6)</x:f>
        <x:v>900</x:v>
      </x:c>
      <x:c r="D6" s="10" t="n">
        <x:f>B6-C6</x:f>
        <x:v>-900</x:v>
      </x:c>
      <x:c r="E6" s="10" t="n">
        <x:f>SUMIFS('Transactions'!$H$5:$H$99,'Transactions'!$L$5:$L$99,A6,'Transactions'!$N$5:$N$99,"Review")</x:f>
        <x:v>0</x:v>
      </x:c>
    </x:row>
    <x:row r="7" ht="27" customHeight="1">
      <x:c r="A7" s="8" t="str">
        <x:v>Course fees</x:v>
      </x:c>
      <x:c r="B7" s="10" t="n">
        <x:f>SUMIFS('Transactions'!$W$5:$W$99,'Transactions'!$L$5:$L$99,A7)</x:f>
        <x:v>33642000</x:v>
      </x:c>
      <x:c r="C7" s="10" t="n">
        <x:f>SUMIFS('Transactions'!$X$5:$X$99,'Transactions'!$L$5:$L$99,A7)</x:f>
        <x:v>0</x:v>
      </x:c>
      <x:c r="D7" s="10" t="n">
        <x:f>B7-C7</x:f>
        <x:v>33642000</x:v>
      </x:c>
      <x:c r="E7" s="10" t="n">
        <x:f>SUMIFS('Transactions'!$H$5:$H$99,'Transactions'!$L$5:$L$99,A7,'Transactions'!$N$5:$N$99,"Review")</x:f>
        <x:v>0</x:v>
      </x:c>
    </x:row>
    <x:row r="8" ht="27" customHeight="1">
      <x:c r="A8" s="8" t="str">
        <x:v>Donations</x:v>
      </x:c>
      <x:c r="B8" s="10" t="n">
        <x:f>SUMIFS('Transactions'!$W$5:$W$99,'Transactions'!$L$5:$L$99,A8)</x:f>
        <x:v>39990000</x:v>
      </x:c>
      <x:c r="C8" s="10" t="n">
        <x:f>SUMIFS('Transactions'!$X$5:$X$99,'Transactions'!$L$5:$L$99,A8)</x:f>
        <x:v>0</x:v>
      </x:c>
      <x:c r="D8" s="10" t="n">
        <x:f>B8-C8</x:f>
        <x:v>39990000</x:v>
      </x:c>
      <x:c r="E8" s="10" t="n">
        <x:f>SUMIFS('Transactions'!$H$5:$H$99,'Transactions'!$L$5:$L$99,A8,'Transactions'!$N$5:$N$99,"Review")</x:f>
        <x:v>0</x:v>
      </x:c>
    </x:row>
    <x:row r="9" ht="27" customHeight="1">
      <x:c r="A9" s="8" t="str">
        <x:v>Equipment</x:v>
      </x:c>
      <x:c r="B9" s="10" t="n">
        <x:f>SUMIFS('Transactions'!$W$5:$W$99,'Transactions'!$L$5:$L$99,A9)</x:f>
        <x:v>0</x:v>
      </x:c>
      <x:c r="C9" s="10" t="n">
        <x:f>SUMIFS('Transactions'!$X$5:$X$99,'Transactions'!$L$5:$L$99,A9)</x:f>
        <x:v>3545000</x:v>
      </x:c>
      <x:c r="D9" s="10" t="n">
        <x:f>B9-C9</x:f>
        <x:v>-3545000</x:v>
      </x:c>
      <x:c r="E9" s="10" t="n">
        <x:f>SUMIFS('Transactions'!$H$5:$H$99,'Transactions'!$L$5:$L$99,A9,'Transactions'!$N$5:$N$99,"Review")</x:f>
        <x:v>0</x:v>
      </x:c>
    </x:row>
    <x:row r="10" ht="27" customHeight="1">
      <x:c r="A10" s="8" t="str">
        <x:v>Events</x:v>
      </x:c>
      <x:c r="B10" s="10" t="n">
        <x:f>SUMIFS('Transactions'!$W$5:$W$99,'Transactions'!$L$5:$L$99,A10)</x:f>
        <x:v>27920000</x:v>
      </x:c>
      <x:c r="C10" s="10" t="n">
        <x:f>SUMIFS('Transactions'!$X$5:$X$99,'Transactions'!$L$5:$L$99,A10)</x:f>
        <x:v>20196000</x:v>
      </x:c>
      <x:c r="D10" s="10" t="n">
        <x:f>B10-C10</x:f>
        <x:v>7724000</x:v>
      </x:c>
      <x:c r="E10" s="10" t="n">
        <x:f>SUMIFS('Transactions'!$H$5:$H$99,'Transactions'!$L$5:$L$99,A10,'Transactions'!$N$5:$N$99,"Review")</x:f>
        <x:v>7921723.9</x:v>
      </x:c>
    </x:row>
    <x:row r="11" ht="27" customHeight="1">
      <x:c r="A11" s="8" t="str">
        <x:v>Hospitality</x:v>
      </x:c>
      <x:c r="B11" s="10" t="n">
        <x:f>SUMIFS('Transactions'!$W$5:$W$99,'Transactions'!$L$5:$L$99,A11)</x:f>
        <x:v>0</x:v>
      </x:c>
      <x:c r="C11" s="10" t="n">
        <x:f>SUMIFS('Transactions'!$X$5:$X$99,'Transactions'!$L$5:$L$99,A11)</x:f>
        <x:v>12978125</x:v>
      </x:c>
      <x:c r="D11" s="10" t="n">
        <x:f>B11-C11</x:f>
        <x:v>-12978125</x:v>
      </x:c>
      <x:c r="E11" s="10" t="n">
        <x:f>SUMIFS('Transactions'!$H$5:$H$99,'Transactions'!$L$5:$L$99,A11,'Transactions'!$N$5:$N$99,"Review")</x:f>
        <x:v>0</x:v>
      </x:c>
    </x:row>
    <x:row r="12" ht="27" customHeight="1">
      <x:c r="A12" s="8" t="str">
        <x:v>Opening funds</x:v>
      </x:c>
      <x:c r="B12" s="10" t="n">
        <x:f>SUMIFS('Transactions'!$W$5:$W$99,'Transactions'!$L$5:$L$99,A12)</x:f>
        <x:v>11000000</x:v>
      </x:c>
      <x:c r="C12" s="10" t="n">
        <x:f>SUMIFS('Transactions'!$X$5:$X$99,'Transactions'!$L$5:$L$99,A12)</x:f>
        <x:v>0</x:v>
      </x:c>
      <x:c r="D12" s="10" t="n">
        <x:f>B12-C12</x:f>
        <x:v>11000000</x:v>
      </x:c>
      <x:c r="E12" s="10" t="n">
        <x:f>SUMIFS('Transactions'!$H$5:$H$99,'Transactions'!$L$5:$L$99,A12,'Transactions'!$N$5:$N$99,"Review")</x:f>
        <x:v>0</x:v>
      </x:c>
    </x:row>
    <x:row r="13" ht="27" customHeight="1">
      <x:c r="A13" s="8" t="str">
        <x:v>Printing</x:v>
      </x:c>
      <x:c r="B13" s="10" t="n">
        <x:f>SUMIFS('Transactions'!$W$5:$W$99,'Transactions'!$L$5:$L$99,A13)</x:f>
        <x:v>0</x:v>
      </x:c>
      <x:c r="C13" s="10" t="n">
        <x:f>SUMIFS('Transactions'!$X$5:$X$99,'Transactions'!$L$5:$L$99,A13)</x:f>
        <x:v>193600</x:v>
      </x:c>
      <x:c r="D13" s="10" t="n">
        <x:f>B13-C13</x:f>
        <x:v>-193600</x:v>
      </x:c>
      <x:c r="E13" s="10" t="n">
        <x:f>SUMIFS('Transactions'!$H$5:$H$99,'Transactions'!$L$5:$L$99,A13,'Transactions'!$N$5:$N$99,"Review")</x:f>
        <x:v>13000</x:v>
      </x:c>
    </x:row>
    <x:row r="14" ht="27" customHeight="1">
      <x:c r="A14" s="8" t="str">
        <x:v>Supplies</x:v>
      </x:c>
      <x:c r="B14" s="10" t="n">
        <x:f>SUMIFS('Transactions'!$W$5:$W$99,'Transactions'!$L$5:$L$99,A14)</x:f>
        <x:v>0</x:v>
      </x:c>
      <x:c r="C14" s="10" t="n">
        <x:f>SUMIFS('Transactions'!$X$5:$X$99,'Transactions'!$L$5:$L$99,A14)</x:f>
        <x:v>2246100</x:v>
      </x:c>
      <x:c r="D14" s="10" t="n">
        <x:f>B14-C14</x:f>
        <x:v>-2246100</x:v>
      </x:c>
      <x:c r="E14" s="10" t="n">
        <x:f>SUMIFS('Transactions'!$H$5:$H$99,'Transactions'!$L$5:$L$99,A14,'Transactions'!$N$5:$N$99,"Review")</x:f>
        <x:v>0</x:v>
      </x:c>
    </x:row>
    <x:row r="15" ht="27" customHeight="1">
      <x:c r="A15" s="8" t="str">
        <x:v>Teaching</x:v>
      </x:c>
      <x:c r="B15" s="10" t="n">
        <x:f>SUMIFS('Transactions'!$W$5:$W$99,'Transactions'!$L$5:$L$99,A15)</x:f>
        <x:v>0</x:v>
      </x:c>
      <x:c r="C15" s="10" t="n">
        <x:f>SUMIFS('Transactions'!$X$5:$X$99,'Transactions'!$L$5:$L$99,A15)</x:f>
        <x:v>24000000</x:v>
      </x:c>
      <x:c r="D15" s="10" t="n">
        <x:f>B15-C15</x:f>
        <x:v>-24000000</x:v>
      </x:c>
      <x:c r="E15" s="10" t="n">
        <x:f>SUMIFS('Transactions'!$H$5:$H$99,'Transactions'!$L$5:$L$99,A15,'Transactions'!$N$5:$N$99,"Review")</x:f>
        <x:v>0</x:v>
      </x:c>
    </x:row>
    <x:row r="16" ht="27" customHeight="1">
      <x:c r="A16" s="8" t="str">
        <x:v>Transfers</x:v>
      </x:c>
      <x:c r="B16" s="10" t="n">
        <x:f>SUMIFS('Transactions'!$W$5:$W$99,'Transactions'!$L$5:$L$99,A16)</x:f>
        <x:v>0</x:v>
      </x:c>
      <x:c r="C16" s="10" t="n">
        <x:f>SUMIFS('Transactions'!$X$5:$X$99,'Transactions'!$L$5:$L$99,A16)</x:f>
        <x:v>0</x:v>
      </x:c>
      <x:c r="D16" s="10" t="n">
        <x:f>B16-C16</x:f>
        <x:v>0</x:v>
      </x:c>
      <x:c r="E16" s="10" t="n">
        <x:f>SUMIFS('Transactions'!$H$5:$H$99,'Transactions'!$L$5:$L$99,A16,'Transactions'!$N$5:$N$99,"Review")</x:f>
        <x:v>0</x:v>
      </x:c>
    </x:row>
    <x:row r="17" ht="27" customHeight="1">
      <x:c r="A17" s="8" t="str">
        <x:v>Unclassified</x:v>
      </x:c>
      <x:c r="B17" s="10" t="n">
        <x:f>SUMIFS('Transactions'!$W$5:$W$99,'Transactions'!$L$5:$L$99,A17)</x:f>
        <x:v>0</x:v>
      </x:c>
      <x:c r="C17" s="10" t="n">
        <x:f>SUMIFS('Transactions'!$X$5:$X$99,'Transactions'!$L$5:$L$99,A17)</x:f>
        <x:v>35525470</x:v>
      </x:c>
      <x:c r="D17" s="10" t="n">
        <x:f>B17-C17</x:f>
        <x:v>-35525470</x:v>
      </x:c>
      <x:c r="E17" s="10" t="n">
        <x:f>SUMIFS('Transactions'!$H$5:$H$99,'Transactions'!$L$5:$L$99,A17,'Transactions'!$N$5:$N$99,"Review")</x:f>
        <x:v>300000</x:v>
      </x:c>
    </x:row>
  </x:sheetData>
  <x:mergeCells>
    <x:mergeCell ref="A2:E2"/>
  </x:mergeCells>
  <x:pageMargins left="0.7" right="0.7" top="0.75" bottom="0.75" header="0.3" footer="0.3"/>
  <x:tableParts count="1">
    <x:tablePart xmlns:r="http://schemas.openxmlformats.org/officeDocument/2006/relationships" r:id="R0477bb1193294e00"/>
  </x:tableParts>
</x:worksheet>
</file>

<file path=xl/worksheets/sheet5.xml><?xml version="1.0" encoding="utf-8"?>
<x:worksheet xmlns:x="http://schemas.openxmlformats.org/spreadsheetml/2006/main">
  <x:sheetPr>
    <x:tabColor rgb="FFEDF2F7"/>
  </x:sheetPr>
  <x:sheetViews>
    <x:sheetView showGridLines="0" workbookViewId="0"/>
  </x:sheetViews>
  <x:sheetFormatPr defaultRowHeight="15"/>
  <x:cols>
    <x:col min="1" max="1" width="20" hidden="0" customWidth="1"/>
    <x:col min="2" max="2" width="38" hidden="0" customWidth="1"/>
    <x:col min="3" max="3" width="42" hidden="0" customWidth="1"/>
    <x:col min="4" max="4" width="43" hidden="0" customWidth="1"/>
    <x:col min="5" max="5" width="18" hidden="0" customWidth="1"/>
    <x:col min="6" max="6" width="18" hidden="0" customWidth="1"/>
    <x:col min="7" max="7" width="25" hidden="0" customWidth="1"/>
    <x:col min="8" max="8" width="24" hidden="0" customWidth="1"/>
    <x:col min="9" max="9" width="100" hidden="0" customWidth="1"/>
    <x:col min="10" max="10" width="85" hidden="0" customWidth="1"/>
    <x:col min="11" max="11" width="100" hidden="0" customWidth="1"/>
  </x:cols>
  <x:sheetData>
    <x:row r="1" ht="15" hidden="0" customHeight="1">
      <x:c r="A1" s="33"/>
      <x:c r="B1" s="33"/>
      <x:c r="C1" s="33"/>
      <x:c r="D1" s="33"/>
      <x:c r="E1" s="33"/>
      <x:c r="F1" s="33"/>
      <x:c r="G1" s="33"/>
      <x:c r="H1" s="33"/>
      <x:c r="I1" s="33"/>
      <x:c r="J1" s="33"/>
      <x:c r="K1" s="33"/>
    </x:row>
    <x:row r="2" ht="16.799999237060547" hidden="0" customHeight="1">
      <x:c r="A2" s="34" t="str">
        <x:v>Summer School 1405 instructor payments | five of six identified</x:v>
      </x:c>
      <x:c r="B2" s="33"/>
      <x:c r="C2" s="33"/>
      <x:c r="D2" s="33"/>
      <x:c r="E2" s="33"/>
      <x:c r="F2" s="33"/>
      <x:c r="G2" s="33"/>
      <x:c r="H2" s="33"/>
      <x:c r="I2" s="33"/>
      <x:c r="J2" s="33"/>
      <x:c r="K2" s="33"/>
    </x:row>
    <x:row r="3" ht="15" hidden="0" customHeight="1">
      <x:c r="A3" s="33"/>
      <x:c r="B3" s="33"/>
      <x:c r="C3" s="33"/>
      <x:c r="D3" s="33"/>
      <x:c r="E3" s="33"/>
      <x:c r="F3" s="33"/>
      <x:c r="G3" s="33"/>
      <x:c r="H3" s="33"/>
      <x:c r="I3" s="33"/>
      <x:c r="J3" s="33"/>
      <x:c r="K3" s="33"/>
    </x:row>
    <x:row r="4" ht="24" hidden="0" customHeight="1">
      <x:c r="A4" s="7" t="str">
        <x:v>Transaction ID</x:v>
      </x:c>
      <x:c r="B4" s="7" t="str">
        <x:v>Instructor beneficiary</x:v>
      </x:c>
      <x:c r="C4" s="7" t="str">
        <x:v>Bank account payee</x:v>
      </x:c>
      <x:c r="D4" s="7" t="str">
        <x:v>Course</x:v>
      </x:c>
      <x:c r="E4" s="7" t="str">
        <x:v>Jalali date</x:v>
      </x:c>
      <x:c r="F4" s="7" t="str">
        <x:v>Gregorian date</x:v>
      </x:c>
      <x:c r="G4" s="7" t="str">
        <x:v>Amount (toman)</x:v>
      </x:c>
      <x:c r="H4" s="7" t="str">
        <x:v>User-provided card ending (not printed)</x:v>
      </x:c>
      <x:c r="I4" s="7" t="str">
        <x:v>Matching basis</x:v>
      </x:c>
      <x:c r="J4" s="7" t="str">
        <x:v>Settlement basis</x:v>
      </x:c>
      <x:c r="K4" s="7" t="str">
        <x:v>Source reference</x:v>
      </x:c>
    </x:row>
    <x:row r="5" ht="24" hidden="0" customHeight="1">
      <x:c r="A5" s="31" t="str">
        <x:v>TX0083</x:v>
      </x:c>
      <x:c r="B5" s="31" t="str">
        <x:v>زهرا صالح کوشالی</x:v>
      </x:c>
      <x:c r="C5" s="31" t="str">
        <x:v>زهرا صالح کوشالی</x:v>
      </x:c>
      <x:c r="D5" s="31" t="str">
        <x:v>Course not specified</x:v>
      </x:c>
      <x:c r="E5" s="31" t="str">
        <x:v>1405/06/30</x:v>
      </x:c>
      <x:c r="F5" s="31" t="str">
        <x:v>2026-09-21</x:v>
      </x:c>
      <x:c r="G5" s="35" t="n">
        <x:v>600000</x:v>
      </x:c>
      <x:c r="H5" s="36" t="str">
        <x:v>6104</x:v>
      </x:c>
      <x:c r="I5" s="31" t="str">
        <x:v>Exact normalized recipient name; source is IBAN/Pol, not a card transfer.</x:v>
      </x:c>
      <x:c r="J5" s="31" t="str">
        <x:v>User confirmation; original provisional notice preserved</x:v>
      </x:c>
      <x:c r="K5" s="31" t="str">
        <x:v>recipts/photo_1_2026-10-10_11-09-04.jpg
reports/2026-10-10/user_confirmation_2026-10-10.json</x:v>
      </x:c>
    </x:row>
    <x:row r="6" ht="24" hidden="0" customHeight="1">
      <x:c r="A6" s="31" t="str">
        <x:v>TX0084</x:v>
      </x:c>
      <x:c r="B6" s="31" t="str">
        <x:v>رضا فرهادی</x:v>
      </x:c>
      <x:c r="C6" s="31" t="str">
        <x:v>رضا فرهادی</x:v>
      </x:c>
      <x:c r="D6" s="31" t="str">
        <x:v>Course not specified</x:v>
      </x:c>
      <x:c r="E6" s="31" t="str">
        <x:v>1405/06/30</x:v>
      </x:c>
      <x:c r="F6" s="31" t="str">
        <x:v>2026-09-21</x:v>
      </x:c>
      <x:c r="G6" s="35" t="n">
        <x:v>1200000</x:v>
      </x:c>
      <x:c r="H6" s="36" t="str">
        <x:v>2692</x:v>
      </x:c>
      <x:c r="I6" s="31" t="str">
        <x:v>Exact normalized recipient name; source is IBAN/Pol transfer.</x:v>
      </x:c>
      <x:c r="J6" s="31" t="str">
        <x:v>User confirmation; original provisional notice preserved</x:v>
      </x:c>
      <x:c r="K6" s="31" t="str">
        <x:v>recipts/photo_2_2026-10-10_11-09-04.jpg
reports/2026-10-10/user_confirmation_2026-10-10.json</x:v>
      </x:c>
    </x:row>
    <x:row r="7" ht="24" hidden="0" customHeight="1">
      <x:c r="A7" s="31" t="str">
        <x:v>TX0085</x:v>
      </x:c>
      <x:c r="B7" s="31" t="str">
        <x:v>ابوالفضل احمدی</x:v>
      </x:c>
      <x:c r="C7" s="31" t="str">
        <x:v>علیرضا کچویی محقق یعقوبی</x:v>
      </x:c>
      <x:c r="D7" s="31" t="str">
        <x:v>LaTeX and API</x:v>
      </x:c>
      <x:c r="E7" s="31" t="str">
        <x:v>1405/06/30</x:v>
      </x:c>
      <x:c r="F7" s="31" t="str">
        <x:v>2026-09-21</x:v>
      </x:c>
      <x:c r="G7" s="35" t="n">
        <x:v>2400000</x:v>
      </x:c>
      <x:c r="H7" s="36" t="str"/>
      <x:c r="I7" s="31" t="str">
        <x:v>Explicit user confirmation that payment to Alireza was instructor fee for Abolfazl.</x:v>
      </x:c>
      <x:c r="J7" s="31" t="str">
        <x:v>Receipt and user confirmation</x:v>
      </x:c>
      <x:c r="K7" s="31" t="str">
        <x:v>recipts/photo_3_2026-10-10_11-09-04.jpg
reports/2026-10-10/user_confirmation_2026-10-10.json</x:v>
      </x:c>
    </x:row>
    <x:row r="8" ht="24" hidden="0" customHeight="1">
      <x:c r="A8" s="31" t="str">
        <x:v>TX0086</x:v>
      </x:c>
      <x:c r="B8" s="31" t="str">
        <x:v>بهاره خویش خواه</x:v>
      </x:c>
      <x:c r="C8" s="31" t="str">
        <x:v>بهاره خویش‌خواه</x:v>
      </x:c>
      <x:c r="D8" s="31" t="str">
        <x:v>Physical simulation with Python</x:v>
      </x:c>
      <x:c r="E8" s="31" t="str">
        <x:v>1405/07/01</x:v>
      </x:c>
      <x:c r="F8" s="31" t="str">
        <x:v>2026-09-23</x:v>
      </x:c>
      <x:c r="G8" s="35" t="n">
        <x:v>4700000</x:v>
      </x:c>
      <x:c r="H8" s="36" t="str">
        <x:v>5740</x:v>
      </x:c>
      <x:c r="I8" s="31" t="str">
        <x:v>Exact normalized recipient name and stated amount. Receipt is an IBAN/Paya transfer, so the supplied card is corroborative contact detail, not an exact on-document card match.</x:v>
      </x:c>
      <x:c r="J8" s="31" t="str">
        <x:v>Receipt and user confirmation</x:v>
      </x:c>
      <x:c r="K8" s="31" t="str">
        <x:v>recipts/photo_7_2026-10-10_11-09-04.jpg
reports/2026-10-10/user_confirmation_2026-10-10.json</x:v>
      </x:c>
    </x:row>
    <x:row r="9" ht="24" hidden="0" customHeight="1">
      <x:c r="A9" s="31" t="str">
        <x:v>TX0087</x:v>
      </x:c>
      <x:c r="B9" s="31" t="str">
        <x:v>ایلیا اصغریان دهکردی</x:v>
      </x:c>
      <x:c r="C9" s="31" t="str">
        <x:v>ایلیا اصغریان دهکردی</x:v>
      </x:c>
      <x:c r="D9" s="31" t="str">
        <x:v>Course not specified</x:v>
      </x:c>
      <x:c r="E9" s="31" t="str">
        <x:v>1405/07/01</x:v>
      </x:c>
      <x:c r="F9" s="31" t="str">
        <x:v>2026-09-23</x:v>
      </x:c>
      <x:c r="G9" s="35" t="n">
        <x:v>2600000</x:v>
      </x:c>
      <x:c r="H9" s="36" t="str">
        <x:v>6676</x:v>
      </x:c>
      <x:c r="I9" s="31" t="str">
        <x:v>Exact normalized recipient name; Blu-to-Blu transfer to IBAN. Card supplied by user, not printed on receipt.</x:v>
      </x:c>
      <x:c r="J9" s="31" t="str">
        <x:v>Receipt and user confirmation</x:v>
      </x:c>
      <x:c r="K9" s="31" t="str">
        <x:v>recipts/photo_8_2026-10-10_11-09-04.jpg
reports/2026-10-10/user_confirmation_2026-10-10.json</x:v>
      </x:c>
    </x:row>
    <x:row r="10" ht="15" hidden="0" customHeight="1">
      <x:c r="A10" s="29"/>
      <x:c r="B10" s="29"/>
      <x:c r="C10" s="29"/>
      <x:c r="D10" s="29"/>
      <x:c r="E10" s="29"/>
      <x:c r="F10" s="29"/>
      <x:c r="G10" s="29"/>
      <x:c r="H10" s="29"/>
      <x:c r="I10" s="29"/>
      <x:c r="J10" s="29"/>
      <x:c r="K10" s="29"/>
    </x:row>
    <x:row r="11" ht="15" hidden="0" customHeight="1">
      <x:c r="A11" s="29"/>
      <x:c r="B11" s="29"/>
      <x:c r="C11" s="29"/>
      <x:c r="D11" s="29"/>
      <x:c r="E11" s="29"/>
      <x:c r="F11" s="29"/>
      <x:c r="G11" s="29"/>
      <x:c r="H11" s="29"/>
      <x:c r="I11" s="29"/>
      <x:c r="J11" s="29"/>
      <x:c r="K11" s="29"/>
    </x:row>
    <x:row r="12" ht="15" hidden="0" customHeight="1">
      <x:c r="A12" s="32" t="str">
        <x:v>Sixth instructor payment: not yet identified; already-recorded folder payments must not be duplicated.</x:v>
      </x:c>
      <x:c r="B12" s="32"/>
      <x:c r="C12" s="32"/>
      <x:c r="D12" s="32"/>
      <x:c r="E12" s="32"/>
      <x:c r="F12" s="32"/>
      <x:c r="G12" s="29"/>
      <x:c r="H12" s="29"/>
      <x:c r="I12" s="29"/>
      <x:c r="J12" s="29"/>
      <x:c r="K12" s="29"/>
    </x:row>
    <x:row r="13" ht="15" hidden="0" customHeight="1">
      <x:c r="A13" s="32"/>
      <x:c r="B13" s="32"/>
      <x:c r="C13" s="32"/>
      <x:c r="D13" s="32"/>
      <x:c r="E13" s="32"/>
      <x:c r="F13" s="32"/>
      <x:c r="G13" s="29"/>
      <x:c r="H13" s="29"/>
      <x:c r="I13" s="29"/>
      <x:c r="J13" s="29"/>
      <x:c r="K13" s="29"/>
    </x:row>
    <x:row r="14" ht="15" hidden="0" customHeight="1">
      <x:c r="A14" s="32"/>
      <x:c r="B14" s="32"/>
      <x:c r="C14" s="32"/>
      <x:c r="D14" s="32"/>
      <x:c r="E14" s="32"/>
      <x:c r="F14" s="32"/>
      <x:c r="G14" s="29"/>
      <x:c r="H14" s="29"/>
      <x:c r="I14" s="29"/>
      <x:c r="J14" s="29"/>
      <x:c r="K14" s="29"/>
    </x:row>
  </x:sheetData>
  <x:mergeCells>
    <x:mergeCell ref="A2:F2"/>
    <x:mergeCell ref="A12:F14"/>
  </x:mergeCells>
  <x:pageMargins left="0.7" right="0.7" top="0.75" bottom="0.75" header="0.3" footer="0.3"/>
  <x:tableParts count="1">
    <x:tablePart xmlns:r="http://schemas.openxmlformats.org/officeDocument/2006/relationships" r:id="Ree2b4ec7ce2d4059"/>
  </x:tableParts>
</x:worksheet>
</file>

<file path=xl/worksheets/sheet6.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24" hidden="0" customWidth="1"/>
    <x:col min="2" max="2" width="14" hidden="0" customWidth="1"/>
    <x:col min="3" max="3" width="24" hidden="0" customWidth="1"/>
    <x:col min="4" max="4" width="30" hidden="0" customWidth="1"/>
    <x:col min="5" max="5" width="22" hidden="0" customWidth="1"/>
    <x:col min="6" max="6" width="110" hidden="0" customWidth="1"/>
  </x:cols>
  <x:sheetData>
    <x:row r="1" ht="15" hidden="0" customHeight="1">
      <x:c r="A1" s="33"/>
      <x:c r="B1" s="33"/>
      <x:c r="C1" s="33"/>
      <x:c r="D1" s="33"/>
      <x:c r="E1" s="33"/>
      <x:c r="F1" s="33"/>
    </x:row>
    <x:row r="2" ht="16.799999237060547" hidden="0" customHeight="1">
      <x:c r="A2" s="34" t="str">
        <x:v>Original ledger rows reconciled to evidence</x:v>
      </x:c>
      <x:c r="B2" s="33"/>
      <x:c r="C2" s="33"/>
      <x:c r="D2" s="33"/>
      <x:c r="E2" s="33"/>
      <x:c r="F2" s="33"/>
    </x:row>
    <x:row r="3" ht="15" hidden="0" customHeight="1">
      <x:c r="A3" s="33"/>
      <x:c r="B3" s="33"/>
      <x:c r="C3" s="33"/>
      <x:c r="D3" s="33"/>
      <x:c r="E3" s="33"/>
      <x:c r="F3" s="33"/>
    </x:row>
    <x:row r="4" ht="15" hidden="0" customHeight="1">
      <x:c r="A4" s="7" t="str">
        <x:v>Worksheet</x:v>
      </x:c>
      <x:c r="B4" s="7" t="str">
        <x:v>Cell</x:v>
      </x:c>
      <x:c r="C4" s="7" t="str">
        <x:v>Original (toman)</x:v>
      </x:c>
      <x:c r="D4" s="7" t="str">
        <x:v>Transaction IDs</x:v>
      </x:c>
      <x:c r="E4" s="7" t="str">
        <x:v>Disposition</x:v>
      </x:c>
      <x:c r="F4" s="7" t="str">
        <x:v>Explanation</x:v>
      </x:c>
    </x:row>
    <x:row r="5" ht="15" hidden="0" customHeight="1">
      <x:c r="A5" s="31" t="str">
        <x:v>مجموع</x:v>
      </x:c>
      <x:c r="B5" s="31" t="str">
        <x:v>B3</x:v>
      </x:c>
      <x:c r="C5" s="35" t="n">
        <x:v>33642000</x:v>
      </x:c>
      <x:c r="D5" s="31" t="str">
        <x:v>TX0001</x:v>
      </x:c>
      <x:c r="E5" s="31" t="str">
        <x:v>Retained</x:v>
      </x:c>
      <x:c r="F5" s="31" t="str">
        <x:v>Ledger-derived. Course reports corroborate to within 1,000.</x:v>
      </x:c>
    </x:row>
    <x:row r="6" ht="15" hidden="0" customHeight="1">
      <x:c r="A6" s="31" t="str">
        <x:v>مجموع</x:v>
      </x:c>
      <x:c r="B6" s="31" t="str">
        <x:v>D2</x:v>
      </x:c>
      <x:c r="C6" s="35" t="n">
        <x:v>3500000</x:v>
      </x:c>
      <x:c r="D6" s="31" t="str">
        <x:v>TX0003</x:v>
      </x:c>
      <x:c r="E6" s="31" t="str">
        <x:v>Retained</x:v>
      </x:c>
      <x:c r="F6" s="31" t="str">
        <x:v>Receipt.</x:v>
      </x:c>
    </x:row>
    <x:row r="7" ht="15" hidden="0" customHeight="1">
      <x:c r="A7" s="31" t="str">
        <x:v>مجموع</x:v>
      </x:c>
      <x:c r="B7" s="31" t="str">
        <x:v>D3</x:v>
      </x:c>
      <x:c r="C7" s="35" t="n">
        <x:v>3000000</x:v>
      </x:c>
      <x:c r="D7" s="31" t="str">
        <x:v>TX0002</x:v>
      </x:c>
      <x:c r="E7" s="31" t="str">
        <x:v>Retained</x:v>
      </x:c>
      <x:c r="F7" s="31" t="str">
        <x:v>Receipt.</x:v>
      </x:c>
    </x:row>
    <x:row r="8" ht="15" hidden="0" customHeight="1">
      <x:c r="A8" s="31" t="str">
        <x:v>مجموع</x:v>
      </x:c>
      <x:c r="B8" s="31" t="str">
        <x:v>D4</x:v>
      </x:c>
      <x:c r="C8" s="35" t="n">
        <x:v>3700000</x:v>
      </x:c>
      <x:c r="D8" s="31" t="str">
        <x:v>TX0004</x:v>
      </x:c>
      <x:c r="E8" s="31" t="str">
        <x:v>Retained</x:v>
      </x:c>
      <x:c r="F8" s="31" t="str">
        <x:v>Receipt and SMS.</x:v>
      </x:c>
    </x:row>
    <x:row r="9" ht="15" hidden="0" customHeight="1">
      <x:c r="A9" s="31" t="str">
        <x:v>مجموع</x:v>
      </x:c>
      <x:c r="B9" s="31" t="str">
        <x:v>D5</x:v>
      </x:c>
      <x:c r="C9" s="35" t="n">
        <x:v>500000</x:v>
      </x:c>
      <x:c r="D9" s="31" t="str">
        <x:v>TX0005</x:v>
      </x:c>
      <x:c r="E9" s="31" t="str">
        <x:v>Retained</x:v>
      </x:c>
      <x:c r="F9" s="31" t="str">
        <x:v>Receipt.</x:v>
      </x:c>
    </x:row>
    <x:row r="10" ht="15" hidden="0" customHeight="1">
      <x:c r="A10" s="31" t="str">
        <x:v>مجموع</x:v>
      </x:c>
      <x:c r="B10" s="31" t="str">
        <x:v>D6</x:v>
      </x:c>
      <x:c r="C10" s="35" t="n">
        <x:v>600000</x:v>
      </x:c>
      <x:c r="D10" s="31" t="str">
        <x:v>TX0006</x:v>
      </x:c>
      <x:c r="E10" s="31" t="str">
        <x:v>Retained</x:v>
      </x:c>
      <x:c r="F10" s="31" t="str">
        <x:v>Receipt.</x:v>
      </x:c>
    </x:row>
    <x:row r="11" ht="15" hidden="0" customHeight="1">
      <x:c r="A11" s="31" t="str">
        <x:v>مجموع</x:v>
      </x:c>
      <x:c r="B11" s="31" t="str">
        <x:v>D7</x:v>
      </x:c>
      <x:c r="C11" s="35" t="n">
        <x:v>600000</x:v>
      </x:c>
      <x:c r="D11" s="31" t="str">
        <x:v>TX0007, TX0008</x:v>
      </x:c>
      <x:c r="E11" s="31" t="str">
        <x:v>Corrected</x:v>
      </x:c>
      <x:c r="F11" s="31" t="str">
        <x:v>Plus a separate 900 toman fee.</x:v>
      </x:c>
    </x:row>
    <x:row r="12" ht="15" hidden="0" customHeight="1">
      <x:c r="A12" s="31" t="str">
        <x:v>مجموع</x:v>
      </x:c>
      <x:c r="B12" s="31" t="str">
        <x:v>D8</x:v>
      </x:c>
      <x:c r="C12" s="35" t="n">
        <x:v>300000</x:v>
      </x:c>
      <x:c r="D12" s="31" t="str">
        <x:v>TX0011</x:v>
      </x:c>
      <x:c r="E12" s="31" t="str">
        <x:v>Retained</x:v>
      </x:c>
      <x:c r="F12" s="31" t="str">
        <x:v>Receipt.</x:v>
      </x:c>
    </x:row>
    <x:row r="13" ht="15" hidden="0" customHeight="1">
      <x:c r="A13" s="31" t="str">
        <x:v>مجموع</x:v>
      </x:c>
      <x:c r="B13" s="31" t="str">
        <x:v>D9</x:v>
      </x:c>
      <x:c r="C13" s="35" t="n">
        <x:v>400000</x:v>
      </x:c>
      <x:c r="D13" s="31" t="str">
        <x:v>TX0009</x:v>
      </x:c>
      <x:c r="E13" s="31" t="str">
        <x:v>Retained</x:v>
      </x:c>
      <x:c r="F13" s="31" t="str">
        <x:v>Receipt.</x:v>
      </x:c>
    </x:row>
    <x:row r="14" ht="15" hidden="0" customHeight="1">
      <x:c r="A14" s="31" t="str">
        <x:v>مجموع</x:v>
      </x:c>
      <x:c r="B14" s="31" t="str">
        <x:v>D10</x:v>
      </x:c>
      <x:c r="C14" s="35" t="n">
        <x:v>300000</x:v>
      </x:c>
      <x:c r="D14" s="31" t="str">
        <x:v>TX0012</x:v>
      </x:c>
      <x:c r="E14" s="31" t="str">
        <x:v>Retained</x:v>
      </x:c>
      <x:c r="F14" s="31" t="str">
        <x:v>Receipt.</x:v>
      </x:c>
    </x:row>
    <x:row r="15" ht="15" hidden="0" customHeight="1">
      <x:c r="A15" s="31" t="str">
        <x:v>مجموع</x:v>
      </x:c>
      <x:c r="B15" s="31" t="str">
        <x:v>D11</x:v>
      </x:c>
      <x:c r="C15" s="35" t="n">
        <x:v>750000</x:v>
      </x:c>
      <x:c r="D15" s="31" t="str">
        <x:v>TX0013</x:v>
      </x:c>
      <x:c r="E15" s="31" t="str">
        <x:v>Retained</x:v>
      </x:c>
      <x:c r="F15" s="31" t="str">
        <x:v>Ledger-derived only.</x:v>
      </x:c>
    </x:row>
    <x:row r="16" ht="15" hidden="0" customHeight="1">
      <x:c r="A16" s="31" t="str">
        <x:v>مجموع</x:v>
      </x:c>
      <x:c r="B16" s="31" t="str">
        <x:v>D12</x:v>
      </x:c>
      <x:c r="C16" s="35" t="n">
        <x:v>400000</x:v>
      </x:c>
      <x:c r="D16" s="31" t="str">
        <x:v>TX0010</x:v>
      </x:c>
      <x:c r="E16" s="31" t="str">
        <x:v>Review</x:v>
      </x:c>
      <x:c r="F16" s="31" t="str">
        <x:v>Probable duplicate of D9.</x:v>
      </x:c>
    </x:row>
    <x:row r="17" ht="15" hidden="0" customHeight="1">
      <x:c r="A17" s="31" t="str">
        <x:v>مجموع</x:v>
      </x:c>
      <x:c r="B17" s="31" t="str">
        <x:v>B15</x:v>
      </x:c>
      <x:c r="C17" s="35" t="n">
        <x:v>4920000</x:v>
      </x:c>
      <x:c r="D17" s="31" t="str">
        <x:v>TX0014</x:v>
      </x:c>
      <x:c r="E17" s="31" t="str">
        <x:v>Retained</x:v>
      </x:c>
      <x:c r="F17" s="31" t="str">
        <x:v>Gross. The net transfer (TX0018) is internal.</x:v>
      </x:c>
    </x:row>
    <x:row r="18" ht="15" hidden="0" customHeight="1">
      <x:c r="A18" s="31" t="str">
        <x:v>مجموع</x:v>
      </x:c>
      <x:c r="B18" s="31" t="str">
        <x:v>D15</x:v>
      </x:c>
      <x:c r="C18" s="35" t="n">
        <x:v>100000</x:v>
      </x:c>
      <x:c r="D18" s="31" t="str">
        <x:v>TX0015</x:v>
      </x:c>
      <x:c r="E18" s="31" t="str">
        <x:v>Retained</x:v>
      </x:c>
      <x:c r="F18" s="31" t="str">
        <x:v>Receipt.</x:v>
      </x:c>
    </x:row>
    <x:row r="19" ht="15" hidden="0" customHeight="1">
      <x:c r="A19" s="31" t="str">
        <x:v>مجموع</x:v>
      </x:c>
      <x:c r="B19" s="31" t="str">
        <x:v>D16</x:v>
      </x:c>
      <x:c r="C19" s="35" t="n">
        <x:v>2866000</x:v>
      </x:c>
      <x:c r="D19" s="31" t="str">
        <x:v>TX0016</x:v>
      </x:c>
      <x:c r="E19" s="31" t="str">
        <x:v>Retained</x:v>
      </x:c>
      <x:c r="F19" s="31" t="str">
        <x:v>Ledger-derived.</x:v>
      </x:c>
    </x:row>
    <x:row r="20" ht="15" hidden="0" customHeight="1">
      <x:c r="A20" s="31" t="str">
        <x:v>مجموع</x:v>
      </x:c>
      <x:c r="B20" s="31" t="str">
        <x:v>D17</x:v>
      </x:c>
      <x:c r="C20" s="35" t="n">
        <x:v>189000</x:v>
      </x:c>
      <x:c r="D20" s="31" t="str">
        <x:v>TX0017</x:v>
      </x:c>
      <x:c r="E20" s="31" t="str">
        <x:v>Retained</x:v>
      </x:c>
      <x:c r="F20" s="31" t="str">
        <x:v>Ledger-derived.</x:v>
      </x:c>
    </x:row>
    <x:row r="21" ht="15" hidden="0" customHeight="1">
      <x:c r="A21" s="31" t="str">
        <x:v>مجموع</x:v>
      </x:c>
      <x:c r="B21" s="31" t="str">
        <x:v>B19</x:v>
      </x:c>
      <x:c r="C21" s="35" t="n">
        <x:v>500000</x:v>
      </x:c>
      <x:c r="D21" s="31" t="str">
        <x:v>TX0019</x:v>
      </x:c>
      <x:c r="E21" s="31" t="str">
        <x:v>Retained</x:v>
      </x:c>
      <x:c r="F21" s="31" t="str">
        <x:v>Receipt.</x:v>
      </x:c>
    </x:row>
    <x:row r="22" ht="15" hidden="0" customHeight="1">
      <x:c r="A22" s="31" t="str">
        <x:v>مجموع</x:v>
      </x:c>
      <x:c r="B22" s="31" t="str">
        <x:v>D19</x:v>
      </x:c>
      <x:c r="C22" s="35" t="n">
        <x:v>90000</x:v>
      </x:c>
      <x:c r="D22" s="31" t="str">
        <x:v>TX0020</x:v>
      </x:c>
      <x:c r="E22" s="31" t="str">
        <x:v>Retained</x:v>
      </x:c>
      <x:c r="F22" s="31" t="str">
        <x:v>Receipt.</x:v>
      </x:c>
    </x:row>
    <x:row r="23" ht="15" hidden="0" customHeight="1">
      <x:c r="A23" s="31" t="str">
        <x:v>مجموع</x:v>
      </x:c>
      <x:c r="B23" s="31" t="str">
        <x:v>D20</x:v>
      </x:c>
      <x:c r="C23" s="35" t="n">
        <x:v>1052375</x:v>
      </x:c>
      <x:c r="D23" s="31" t="str">
        <x:v>TX0024</x:v>
      </x:c>
      <x:c r="E23" s="31" t="str">
        <x:v>Retained</x:v>
      </x:c>
      <x:c r="F23" s="31" t="str">
        <x:v>Receipt.</x:v>
      </x:c>
    </x:row>
    <x:row r="24" ht="15" hidden="0" customHeight="1">
      <x:c r="A24" s="31" t="str">
        <x:v>مجموع</x:v>
      </x:c>
      <x:c r="B24" s="31" t="str">
        <x:v>D21</x:v>
      </x:c>
      <x:c r="C24" s="35" t="n">
        <x:v>790000</x:v>
      </x:c>
      <x:c r="D24" s="31" t="str">
        <x:v>TX0021</x:v>
      </x:c>
      <x:c r="E24" s="31" t="str">
        <x:v>Retained</x:v>
      </x:c>
      <x:c r="F24" s="31" t="str">
        <x:v>Receipt.</x:v>
      </x:c>
    </x:row>
    <x:row r="25" ht="15" hidden="0" customHeight="1">
      <x:c r="A25" s="31" t="str">
        <x:v>مجموع</x:v>
      </x:c>
      <x:c r="B25" s="31" t="str">
        <x:v>D22</x:v>
      </x:c>
      <x:c r="C25" s="35" t="n">
        <x:v>912850</x:v>
      </x:c>
      <x:c r="D25" s="31" t="str">
        <x:v>TX0023</x:v>
      </x:c>
      <x:c r="E25" s="31" t="str">
        <x:v>Retained</x:v>
      </x:c>
      <x:c r="F25" s="31" t="str">
        <x:v>Receipt.</x:v>
      </x:c>
    </x:row>
    <x:row r="26" ht="15" hidden="0" customHeight="1">
      <x:c r="A26" s="31" t="str">
        <x:v>مجموع</x:v>
      </x:c>
      <x:c r="B26" s="31" t="str">
        <x:v>D23</x:v>
      </x:c>
      <x:c r="C26" s="35" t="n">
        <x:v>1052375</x:v>
      </x:c>
      <x:c r="D26" s="31" t="str">
        <x:v>TX0025</x:v>
      </x:c>
      <x:c r="E26" s="31" t="str">
        <x:v>Duplicate</x:v>
      </x:c>
      <x:c r="F26" s="31" t="str">
        <x:v>Same pastry as D20.</x:v>
      </x:c>
    </x:row>
    <x:row r="27" ht="15" hidden="0" customHeight="1">
      <x:c r="A27" s="31" t="str">
        <x:v>مجموع</x:v>
      </x:c>
      <x:c r="B27" s="31" t="str">
        <x:v>B25</x:v>
      </x:c>
      <x:c r="C27" s="35" t="n">
        <x:v>11000000</x:v>
      </x:c>
      <x:c r="D27" s="31" t="str">
        <x:v>TX0026, TX0027</x:v>
      </x:c>
      <x:c r="E27" s="31" t="str">
        <x:v>Reclassified</x:v>
      </x:c>
      <x:c r="F27" s="31" t="str">
        <x:v>Split into 10m+1m. Opening funds, not income.</x:v>
      </x:c>
    </x:row>
    <x:row r="28" ht="15" hidden="0" customHeight="1">
      <x:c r="A28" s="31" t="str">
        <x:v>مجموع</x:v>
      </x:c>
      <x:c r="B28" s="31" t="str">
        <x:v>D25</x:v>
      </x:c>
      <x:c r="C28" s="35" t="n">
        <x:v>725000</x:v>
      </x:c>
      <x:c r="D28" s="31" t="str">
        <x:v>TX0032</x:v>
      </x:c>
      <x:c r="E28" s="31" t="str">
        <x:v>Retained</x:v>
      </x:c>
      <x:c r="F28" s="31" t="str">
        <x:v>Receipt and invoice.</x:v>
      </x:c>
    </x:row>
    <x:row r="29" ht="15" hidden="0" customHeight="1">
      <x:c r="A29" s="31" t="str">
        <x:v>مجموع</x:v>
      </x:c>
      <x:c r="B29" s="31" t="str">
        <x:v>D26</x:v>
      </x:c>
      <x:c r="C29" s="35" t="n">
        <x:v>120000</x:v>
      </x:c>
      <x:c r="D29" s="31" t="str">
        <x:v>TX0037</x:v>
      </x:c>
      <x:c r="E29" s="31" t="str">
        <x:v>Retained</x:v>
      </x:c>
      <x:c r="F29" s="31" t="str">
        <x:v>Receipt.</x:v>
      </x:c>
    </x:row>
    <x:row r="30" ht="15" hidden="0" customHeight="1">
      <x:c r="A30" s="31" t="str">
        <x:v>مجموع</x:v>
      </x:c>
      <x:c r="B30" s="31" t="str">
        <x:v>D27</x:v>
      </x:c>
      <x:c r="C30" s="35" t="n">
        <x:v>1310000</x:v>
      </x:c>
      <x:c r="D30" s="31" t="str">
        <x:v>TX0038</x:v>
      </x:c>
      <x:c r="E30" s="31" t="str">
        <x:v>Retained</x:v>
      </x:c>
      <x:c r="F30" s="31" t="str">
        <x:v>Receipt.</x:v>
      </x:c>
    </x:row>
    <x:row r="31" ht="15" hidden="0" customHeight="1">
      <x:c r="A31" s="31" t="str">
        <x:v>مجموع</x:v>
      </x:c>
      <x:c r="B31" s="31" t="str">
        <x:v>D28</x:v>
      </x:c>
      <x:c r="C31" s="35" t="n">
        <x:v>4344000</x:v>
      </x:c>
      <x:c r="D31" s="31" t="str">
        <x:v>TX0033, TX0034, TX0035</x:v>
      </x:c>
      <x:c r="E31" s="31" t="str">
        <x:v>Retained</x:v>
      </x:c>
      <x:c r="F31" s="31" t="str">
        <x:v>Split into three purchases.</x:v>
      </x:c>
    </x:row>
    <x:row r="32" ht="15" hidden="0" customHeight="1">
      <x:c r="A32" s="31" t="str">
        <x:v>مجموع</x:v>
      </x:c>
      <x:c r="B32" s="31" t="str">
        <x:v>D29</x:v>
      </x:c>
      <x:c r="C32" s="35" t="n">
        <x:v>300000</x:v>
      </x:c>
      <x:c r="D32" s="31" t="str">
        <x:v>TX0036</x:v>
      </x:c>
      <x:c r="E32" s="31" t="str">
        <x:v>Review</x:v>
      </x:c>
      <x:c r="F32" s="31" t="str">
        <x:v>Direction unresolved.</x:v>
      </x:c>
    </x:row>
    <x:row r="33" ht="15" hidden="0" customHeight="1">
      <x:c r="A33" s="31" t="str">
        <x:v>مجموع</x:v>
      </x:c>
      <x:c r="B33" s="31" t="str">
        <x:v>D30</x:v>
      </x:c>
      <x:c r="C33" s="35" t="n">
        <x:v>70000</x:v>
      </x:c>
      <x:c r="D33" s="31" t="str">
        <x:v>TX0028</x:v>
      </x:c>
      <x:c r="E33" s="31" t="str">
        <x:v>Retained</x:v>
      </x:c>
      <x:c r="F33" s="31" t="str">
        <x:v>Receipt.</x:v>
      </x:c>
    </x:row>
    <x:row r="34" ht="15" hidden="0" customHeight="1">
      <x:c r="A34" s="31" t="str">
        <x:v>مجموع</x:v>
      </x:c>
      <x:c r="B34" s="31" t="str">
        <x:v>D31</x:v>
      </x:c>
      <x:c r="C34" s="35" t="n">
        <x:v>310000</x:v>
      </x:c>
      <x:c r="D34" s="31" t="str">
        <x:v>TX0029</x:v>
      </x:c>
      <x:c r="E34" s="31" t="str">
        <x:v>Retained</x:v>
      </x:c>
      <x:c r="F34" s="31" t="str">
        <x:v>Message line.</x:v>
      </x:c>
    </x:row>
    <x:row r="35" ht="15" hidden="0" customHeight="1">
      <x:c r="A35" s="31" t="str">
        <x:v>مجموع</x:v>
      </x:c>
      <x:c r="B35" s="31" t="str">
        <x:v>D32</x:v>
      </x:c>
      <x:c r="C35" s="35" t="n">
        <x:v>1760000</x:v>
      </x:c>
      <x:c r="D35" s="31" t="str">
        <x:v>TX0030</x:v>
      </x:c>
      <x:c r="E35" s="31" t="str">
        <x:v>Retained</x:v>
      </x:c>
      <x:c r="F35" s="31" t="str">
        <x:v>Message line.</x:v>
      </x:c>
    </x:row>
    <x:row r="36" ht="15" hidden="0" customHeight="1">
      <x:c r="A36" s="31" t="str">
        <x:v>مجموع</x:v>
      </x:c>
      <x:c r="B36" s="31" t="str">
        <x:v>D33</x:v>
      </x:c>
      <x:c r="C36" s="35" t="n">
        <x:v>230000</x:v>
      </x:c>
      <x:c r="D36" s="31" t="str">
        <x:v>TX0031</x:v>
      </x:c>
      <x:c r="E36" s="31" t="str">
        <x:v>Corrected</x:v>
      </x:c>
      <x:c r="F36" s="31" t="str">
        <x:v>Receipt shows 235,000.</x:v>
      </x:c>
    </x:row>
    <x:row r="37" ht="15" hidden="0" customHeight="1">
      <x:c r="A37" s="31" t="str">
        <x:v>مجموع</x:v>
      </x:c>
      <x:c r="B37" s="31" t="str">
        <x:v>D34</x:v>
      </x:c>
      <x:c r="C37" s="35" t="n">
        <x:v>1226100</x:v>
      </x:c>
      <x:c r="D37" s="31" t="str">
        <x:v>TX0039</x:v>
      </x:c>
      <x:c r="E37" s="31" t="str">
        <x:v>Retained</x:v>
      </x:c>
      <x:c r="F37" s="31" t="str">
        <x:v>Message line.</x:v>
      </x:c>
    </x:row>
    <x:row r="38" ht="15" hidden="0" customHeight="1">
      <x:c r="A38" s="31" t="str">
        <x:v>مجموع</x:v>
      </x:c>
      <x:c r="B38" s="31" t="str">
        <x:v>D35</x:v>
      </x:c>
      <x:c r="C38" s="35" t="n">
        <x:v>2300</x:v>
      </x:c>
      <x:c r="D38" s="31" t="str">
        <x:v>TX0040</x:v>
      </x:c>
      <x:c r="E38" s="31" t="str">
        <x:v>Retained</x:v>
      </x:c>
      <x:c r="F38" s="31" t="str">
        <x:v>Message line.</x:v>
      </x:c>
    </x:row>
    <x:row r="39" ht="15" hidden="0" customHeight="1">
      <x:c r="A39" s="31" t="str">
        <x:v>مجموع</x:v>
      </x:c>
      <x:c r="B39" s="31" t="str">
        <x:v>D36</x:v>
      </x:c>
      <x:c r="C39" s="35" t="n">
        <x:v>1300</x:v>
      </x:c>
      <x:c r="D39" s="31" t="str">
        <x:v>TX0041</x:v>
      </x:c>
      <x:c r="E39" s="31" t="str">
        <x:v>Retained</x:v>
      </x:c>
      <x:c r="F39" s="31" t="str">
        <x:v>Message line.</x:v>
      </x:c>
    </x:row>
    <x:row r="40" ht="15" hidden="0" customHeight="1">
      <x:c r="A40" s="31" t="str">
        <x:v>مجموع</x:v>
      </x:c>
      <x:c r="B40" s="31" t="str">
        <x:v>B38</x:v>
      </x:c>
      <x:c r="C40" s="35" t="n">
        <x:v>10000000</x:v>
      </x:c>
      <x:c r="D40" s="31" t="str">
        <x:v>TX0044</x:v>
      </x:c>
      <x:c r="E40" s="31" t="str">
        <x:v>Retained</x:v>
      </x:c>
      <x:c r="F40" s="31" t="str">
        <x:v>Receipt, undated.</x:v>
      </x:c>
    </x:row>
    <x:row r="41" ht="15" hidden="0" customHeight="1">
      <x:c r="A41" s="31" t="str">
        <x:v>مجموع</x:v>
      </x:c>
      <x:c r="B41" s="31" t="str">
        <x:v>B39</x:v>
      </x:c>
      <x:c r="C41" s="35" t="n">
        <x:v>7000000</x:v>
      </x:c>
      <x:c r="D41" s="31" t="str">
        <x:v>TX0045</x:v>
      </x:c>
      <x:c r="E41" s="31" t="str">
        <x:v>Retained</x:v>
      </x:c>
      <x:c r="F41" s="31" t="str">
        <x:v>Ledger-derived only.</x:v>
      </x:c>
    </x:row>
    <x:row r="42" ht="15" hidden="0" customHeight="1">
      <x:c r="A42" s="31" t="str">
        <x:v>مجموع</x:v>
      </x:c>
      <x:c r="B42" s="31" t="str">
        <x:v>B40</x:v>
      </x:c>
      <x:c r="C42" s="35" t="n">
        <x:v>6000000</x:v>
      </x:c>
      <x:c r="D42" s="31" t="str">
        <x:v>TX0046</x:v>
      </x:c>
      <x:c r="E42" s="31" t="str">
        <x:v>Retained</x:v>
      </x:c>
      <x:c r="F42" s="31" t="str">
        <x:v>Receipt dated 1404/09/28. The sender-side fee of 2,500 is not an association expense.</x:v>
      </x:c>
    </x:row>
    <x:row r="43" ht="24" hidden="0" customHeight="1">
      <x:c r="A43" s="31" t="str">
        <x:v>مجموع</x:v>
      </x:c>
      <x:c r="B43" s="31" t="str">
        <x:v>B42</x:v>
      </x:c>
      <x:c r="C43" s="35" t="n">
        <x:v>15790000</x:v>
      </x:c>
      <x:c r="D43" s="31" t="str">
        <x:v>TX0047</x:v>
      </x:c>
      <x:c r="E43" s="31" t="str">
        <x:v>Retained</x:v>
      </x:c>
      <x:c r="F43" s="31" t="str">
        <x:v>Treasurer's total (message116, message121). The Sepah SMS lines do not sum to this figure. The 10,003,780 withdrawal (TX0049) is not income. Retained on disclosed original-ledger/treasurer-statement basis; bank deposit corroboration is pending.</x:v>
      </x:c>
    </x:row>
    <x:row r="44" ht="15" hidden="0" customHeight="1">
      <x:c r="A44" s="31" t="str">
        <x:v>مجموع</x:v>
      </x:c>
      <x:c r="B44" s="31" t="str">
        <x:v>D42</x:v>
      </x:c>
      <x:c r="C44" s="35" t="n">
        <x:v>2137000</x:v>
      </x:c>
      <x:c r="D44" s="31" t="str">
        <x:v>TX0050</x:v>
      </x:c>
      <x:c r="E44" s="31" t="str">
        <x:v>Retained</x:v>
      </x:c>
      <x:c r="F44" s="31" t="str">
        <x:v>Receipt for the Bardia reimbursement. TX0051 is a duplicate image. Volunteer slips TX0052-TX0055 are supporting detail and are not added.</x:v>
      </x:c>
    </x:row>
    <x:row r="45" ht="15" hidden="0" customHeight="1">
      <x:c r="A45" s="31" t="str">
        <x:v>مجموع</x:v>
      </x:c>
      <x:c r="B45" s="31" t="str">
        <x:v>B43</x:v>
      </x:c>
      <x:c r="C45" s="35" t="n">
        <x:v>700000</x:v>
      </x:c>
      <x:c r="D45" s="31" t="str">
        <x:v>TX0048</x:v>
      </x:c>
      <x:c r="E45" s="31" t="str">
        <x:v>Retained</x:v>
      </x:c>
      <x:c r="F45" s="31" t="str">
        <x:v>Message-stated cash. Custody of the physical cash is not evidenced.</x:v>
      </x:c>
    </x:row>
    <x:row r="46" ht="24" hidden="0" customHeight="1">
      <x:c r="A46" s="31" t="str">
        <x:v>مجموع</x:v>
      </x:c>
      <x:c r="B46" s="31" t="str">
        <x:v>B45</x:v>
      </x:c>
      <x:c r="C46" s="35" t="n">
        <x:v>23000000</x:v>
      </x:c>
      <x:c r="D46" s="31" t="str">
        <x:v>TX0093</x:v>
      </x:c>
      <x:c r="E46" s="31" t="str">
        <x:v>Retained</x:v>
      </x:c>
      <x:c r="F46" s="31" t="str">
        <x:v>Ledger-derived. The platform gross of 27,235,000 (TX0094) is not additive. A settlement bridge is pending (ISS004). Retained on disclosed original-ledger/treasurer-statement basis; bank deposit corroboration is pending.</x:v>
      </x:c>
    </x:row>
    <x:row r="47" ht="15" hidden="0" customHeight="1">
      <x:c r="A47" s="31" t="str">
        <x:v>مجموع</x:v>
      </x:c>
      <x:c r="B47" s="31" t="str">
        <x:v>D45</x:v>
      </x:c>
      <x:c r="C47" s="35" t="n">
        <x:v>5000000</x:v>
      </x:c>
      <x:c r="D47" s="31" t="str">
        <x:v>TX0095</x:v>
      </x:c>
      <x:c r="E47" s="31" t="str">
        <x:v>Retained</x:v>
      </x:c>
      <x:c r="F47" s="31" t="str">
        <x:v>Ledger-derived only. Round amount, no receipt.</x:v>
      </x:c>
    </x:row>
  </x:sheetData>
  <x:mergeCells>
    <x:mergeCell ref="A2:F2"/>
  </x:mergeCells>
  <x:pageMargins left="0.7" right="0.7" top="0.75" bottom="0.75" header="0.3" footer="0.3"/>
  <x:tableParts count="1">
    <x:tablePart xmlns:r="http://schemas.openxmlformats.org/officeDocument/2006/relationships" r:id="Rfdd9538190054bb5"/>
  </x:tableParts>
</x:worksheet>
</file>

<file path=xl/worksheets/sheet7.xml><?xml version="1.0" encoding="utf-8"?>
<x:worksheet xmlns:x="http://schemas.openxmlformats.org/spreadsheetml/2006/main">
  <x:sheetPr>
    <x:tabColor rgb="FFEDF2F7"/>
  </x:sheetPr>
  <x:sheetViews>
    <x:sheetView showGridLines="0" workbookViewId="0">
      <x:pane xSplit="1" ySplit="4" topLeftCell="B5" activePane="bottomRight" state="frozen"/>
    </x:sheetView>
  </x:sheetViews>
  <x:sheetFormatPr defaultRowHeight="15"/>
  <x:cols>
    <x:col min="1" max="1" width="12" hidden="0" customWidth="1"/>
    <x:col min="2" max="2" width="14" hidden="0" customWidth="1"/>
    <x:col min="3" max="3" width="14" hidden="0" customWidth="1"/>
    <x:col min="4" max="4" width="14" hidden="0" customWidth="1"/>
    <x:col min="5" max="5" width="18" hidden="0" customWidth="1"/>
    <x:col min="6" max="6" width="17" hidden="0" customWidth="1"/>
    <x:col min="7" max="7" width="12" hidden="0" customWidth="1"/>
    <x:col min="8" max="8" width="19" hidden="0" customWidth="1"/>
    <x:col min="9" max="9" width="30" hidden="0" customWidth="1"/>
    <x:col min="10" max="10" width="58" hidden="0" customWidth="1"/>
    <x:col min="11" max="11" width="58" hidden="0" customWidth="1"/>
    <x:col min="12" max="12" width="22" hidden="0" customWidth="1"/>
    <x:col min="13" max="13" width="32" hidden="0" customWidth="1"/>
    <x:col min="14" max="14" width="18" hidden="0" customWidth="1"/>
    <x:col min="15" max="15" width="24" hidden="0" customWidth="1"/>
    <x:col min="16" max="16" width="25" hidden="0" customWidth="1"/>
    <x:col min="17" max="17" width="24" hidden="0" customWidth="1"/>
    <x:col min="18" max="18" width="26" hidden="0" customWidth="1"/>
    <x:col min="19" max="19" width="15" hidden="0" customWidth="1"/>
    <x:col min="20" max="20" width="70" hidden="0" customWidth="1"/>
    <x:col min="21" max="21" width="80" hidden="0" customWidth="1"/>
    <x:col min="22" max="22" width="85" hidden="0" customWidth="1"/>
    <x:col min="23" max="23" width="20" hidden="0" customWidth="1"/>
    <x:col min="24" max="24" width="20" hidden="0" customWidth="1"/>
    <x:col min="25" max="25" width="2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row>
    <x:row r="2" ht="30" customHeight="1">
      <x:c r="A2" s="2" t="str">
        <x:v>Association transaction ledger | all amounts in toman</x:v>
      </x:c>
      <x:c r="B2" s="1"/>
      <x:c r="C2" s="1"/>
      <x:c r="D2" s="1"/>
      <x:c r="E2" s="1"/>
      <x:c r="F2" s="1"/>
      <x:c r="G2" s="1"/>
      <x:c r="H2" s="1"/>
      <x:c r="I2" s="1"/>
      <x:c r="J2" s="1"/>
      <x:c r="K2" s="1"/>
      <x:c r="L2" s="1"/>
      <x:c r="M2" s="1"/>
      <x:c r="N2" s="1"/>
      <x:c r="O2" s="1"/>
      <x:c r="P2" s="1"/>
      <x:c r="Q2" s="1"/>
      <x:c r="R2" s="1"/>
      <x:c r="S2" s="1"/>
      <x:c r="T2" s="1"/>
      <x:c r="U2" s="1"/>
      <x:c r="V2" s="1"/>
      <x:c r="W2" s="1"/>
      <x:c r="X2" s="1"/>
      <x:c r="Y2" s="1"/>
    </x:row>
    <x:row r="3">
      <x:c r="A3" s="1"/>
      <x:c r="B3" s="1"/>
      <x:c r="C3" s="1"/>
      <x:c r="D3" s="1"/>
      <x:c r="E3" s="1"/>
      <x:c r="F3" s="1"/>
      <x:c r="G3" s="1"/>
      <x:c r="H3" s="1"/>
      <x:c r="I3" s="1"/>
      <x:c r="J3" s="1"/>
      <x:c r="K3" s="1"/>
      <x:c r="L3" s="1"/>
      <x:c r="M3" s="1"/>
      <x:c r="N3" s="1"/>
      <x:c r="O3" s="1"/>
      <x:c r="P3" s="1"/>
      <x:c r="Q3" s="1"/>
      <x:c r="R3" s="1"/>
      <x:c r="S3" s="1"/>
      <x:c r="T3" s="1"/>
      <x:c r="U3" s="1"/>
      <x:c r="V3" s="1"/>
      <x:c r="W3" s="1"/>
      <x:c r="X3" s="1"/>
      <x:c r="Y3" s="1"/>
    </x:row>
    <x:row r="4" ht="32" customHeight="1">
      <x:c r="A4" s="7" t="str">
        <x:v>ID</x:v>
      </x:c>
      <x:c r="B4" s="7" t="str">
        <x:v>Gregorian date</x:v>
      </x:c>
      <x:c r="C4" s="7" t="str">
        <x:v>Jalali date</x:v>
      </x:c>
      <x:c r="D4" s="7" t="str">
        <x:v>Jalali month</x:v>
      </x:c>
      <x:c r="E4" s="7" t="str">
        <x:v>Cash direction</x:v>
      </x:c>
      <x:c r="F4" s="7" t="str">
        <x:v>Source amount</x:v>
      </x:c>
      <x:c r="G4" s="7" t="str">
        <x:v>Source unit</x:v>
      </x:c>
      <x:c r="H4" s="7" t="str">
        <x:v>Amount (toman)</x:v>
      </x:c>
      <x:c r="I4" s="7" t="str">
        <x:v>Counterparty</x:v>
      </x:c>
      <x:c r="J4" s="7" t="str">
        <x:v>Description</x:v>
      </x:c>
      <x:c r="K4" s="7" t="str">
        <x:v>شرح فارسی</x:v>
      </x:c>
      <x:c r="L4" s="7" t="str">
        <x:v>Category</x:v>
      </x:c>
      <x:c r="M4" s="7" t="str">
        <x:v>Project</x:v>
      </x:c>
      <x:c r="N4" s="7" t="str">
        <x:v>Status</x:v>
      </x:c>
      <x:c r="O4" s="7" t="str">
        <x:v>Evidence basis</x:v>
      </x:c>
      <x:c r="P4" s="7" t="str">
        <x:v>Cash account</x:v>
      </x:c>
      <x:c r="Q4" s="7" t="str">
        <x:v>Message IDs</x:v>
      </x:c>
      <x:c r="R4" s="7" t="str">
        <x:v>Tracking ID</x:v>
      </x:c>
      <x:c r="S4" s="7" t="str">
        <x:v>Duplicate of</x:v>
      </x:c>
      <x:c r="T4" s="7" t="str">
        <x:v>Review reason</x:v>
      </x:c>
      <x:c r="U4" s="7" t="str">
        <x:v>Notes</x:v>
      </x:c>
      <x:c r="V4" s="7" t="str">
        <x:v>Source reference</x:v>
      </x:c>
      <x:c r="W4" s="7" t="str">
        <x:v>Included receipts</x:v>
      </x:c>
      <x:c r="X4" s="7" t="str">
        <x:v>Included payments</x:v>
      </x:c>
      <x:c r="Y4" s="7" t="str">
        <x:v>Net cash activity</x:v>
      </x:c>
    </x:row>
    <x:row r="5" ht="60" hidden="0" customHeight="1">
      <x:c r="A5" s="8" t="str">
        <x:v>TX0001</x:v>
      </x:c>
      <x:c r="B5" s="9"/>
      <x:c r="C5" s="8"/>
      <x:c r="D5" s="8" t="str">
        <x:v>1404/05</x:v>
      </x:c>
      <x:c r="E5" s="8" t="str">
        <x:v>Receipt</x:v>
      </x:c>
      <x:c r="F5" s="11" t="n">
        <x:v>33642000</x:v>
      </x:c>
      <x:c r="G5" s="12" t="str">
        <x:v>toman</x:v>
      </x:c>
      <x:c r="H5" s="11" t="n">
        <x:v>33642000</x:v>
      </x:c>
      <x:c r="I5" s="8" t="str">
        <x:v>Summer-school students (aggregate)</x:v>
      </x:c>
      <x:c r="J5" s="31" t="str">
        <x:v>Summer school registration receipts, aggregate</x:v>
      </x:c>
      <x:c r="K5" s="31" t="str">
        <x:v>درآمد ثبت‌نام مدرسه تابستانه</x:v>
      </x:c>
      <x:c r="L5" s="8" t="str">
        <x:v>Course fees</x:v>
      </x:c>
      <x:c r="M5" s="8" t="str">
        <x:v>Summer School 1404</x:v>
      </x:c>
      <x:c r="N5" s="8" t="str">
        <x:v>Supported</x:v>
      </x:c>
      <x:c r="O5" s="8" t="str">
        <x:v>Original ledger</x:v>
      </x:c>
      <x:c r="P5" s="8" t="str">
        <x:v>SHAHR-8966</x:v>
      </x:c>
      <x:c r="Q5" s="8" t="str">
        <x:v>message6, message7, message8</x:v>
      </x:c>
      <x:c r="R5" s="8"/>
      <x:c r="S5" s="8"/>
      <x:c r="T5" s="31" t="str">
        <x:v>No bank deposit evidence.</x:v>
      </x:c>
      <x:c r="U5" s="31" t="str">
        <x:v>Ledger-derived. The refined workbook names Sohrab Maleki as counterparty; that is wrong. Course reports total 11,601+12,261+9,781=33,643 (apparently thousand toman), 1,000 toman above the ledger.</x:v>
      </x:c>
      <x:c r="V5" s="31" t="str">
        <x:v>Anjoman accounting.xlsx#مجموع!B3
Anjoman accounting.xlsx#مرداد!B2
telegram export/files/report_Python.txt
telegram export/files/report_LaTeX.txt
telegram export/files/report_Mathematica.txt</x:v>
      </x:c>
      <x:c r="W5" s="13" t="n">
        <x:f>IF(AND(N5="Supported",E5="Receipt",ISNUMBER(H5)),H5,0)</x:f>
        <x:v>33642000</x:v>
      </x:c>
      <x:c r="X5" s="13" t="n">
        <x:f>IF(AND(N5="Supported",E5="Payment",ISNUMBER(H5)),H5,0)</x:f>
        <x:v>0</x:v>
      </x:c>
      <x:c r="Y5" s="13" t="n">
        <x:f>W5-X5</x:f>
        <x:v>33642000</x:v>
      </x:c>
    </x:row>
    <x:row r="6" ht="24" hidden="0" customHeight="1">
      <x:c r="A6" s="8" t="str">
        <x:v>TX0002</x:v>
      </x:c>
      <x:c r="B6" s="9" t="d">
        <x:v>2025-07-24T00:00:00.000Z</x:v>
      </x:c>
      <x:c r="C6" s="8" t="str">
        <x:v>1404/05/02</x:v>
      </x:c>
      <x:c r="D6" s="8" t="str">
        <x:v>1404/05</x:v>
      </x:c>
      <x:c r="E6" s="8" t="str">
        <x:v>Payment</x:v>
      </x:c>
      <x:c r="F6" s="11" t="n">
        <x:v>30000000</x:v>
      </x:c>
      <x:c r="G6" s="12" t="str">
        <x:v>rial</x:v>
      </x:c>
      <x:c r="H6" s="11" t="n">
        <x:v>3000000</x:v>
      </x:c>
      <x:c r="I6" s="8" t="str">
        <x:v>سهراب ملکی</x:v>
      </x:c>
      <x:c r="J6" s="31" t="str">
        <x:v>Mathematica instructor fee, full settlement</x:v>
      </x:c>
      <x:c r="K6" s="31" t="str">
        <x:v>حق‌الزحمه کامل مدرس Mathematica</x:v>
      </x:c>
      <x:c r="L6" s="8" t="str">
        <x:v>Teaching</x:v>
      </x:c>
      <x:c r="M6" s="8" t="str">
        <x:v>Summer School 1404</x:v>
      </x:c>
      <x:c r="N6" s="8" t="str">
        <x:v>Supported</x:v>
      </x:c>
      <x:c r="O6" s="8" t="str">
        <x:v>Receipt and message</x:v>
      </x:c>
      <x:c r="P6" s="8" t="str">
        <x:v>SHAHR-8966</x:v>
      </x:c>
      <x:c r="Q6" s="8" t="str">
        <x:v>message25, message12</x:v>
      </x:c>
      <x:c r="R6" s="8" t="str">
        <x:v>130034187178</x:v>
      </x:c>
      <x:c r="S6" s="8"/>
      <x:c r="T6" s="31" t="str"/>
      <x:c r="U6" s="31" t="str">
        <x:v>message12 computed 2,934; rounding to 100k (message14) gives 2,900, but 3,000 was paid.</x:v>
      </x:c>
      <x:c r="V6" s="31" t="str">
        <x:v>telegram export/photos/photo_1@24-07-2025_21-00-16.jpg
Anjoman accounting.xlsx#مجموع!D3</x:v>
      </x:c>
      <x:c r="W6" s="13" t="n">
        <x:f>IF(AND(N6="Supported",E6="Receipt",ISNUMBER(H6)),H6,0)</x:f>
        <x:v>0</x:v>
      </x:c>
      <x:c r="X6" s="13" t="n">
        <x:f>IF(AND(N6="Supported",E6="Payment",ISNUMBER(H6)),H6,0)</x:f>
        <x:v>3000000</x:v>
      </x:c>
      <x:c r="Y6" s="13" t="n">
        <x:f>W6-X6</x:f>
        <x:v>-3000000</x:v>
      </x:c>
    </x:row>
    <x:row r="7" ht="24" hidden="0" customHeight="1">
      <x:c r="A7" s="8" t="str">
        <x:v>TX0003</x:v>
      </x:c>
      <x:c r="B7" s="9" t="d">
        <x:v>2025-07-24T00:00:00.000Z</x:v>
      </x:c>
      <x:c r="C7" s="8" t="str">
        <x:v>1404/05/02</x:v>
      </x:c>
      <x:c r="D7" s="8" t="str">
        <x:v>1404/05</x:v>
      </x:c>
      <x:c r="E7" s="8" t="str">
        <x:v>Payment</x:v>
      </x:c>
      <x:c r="F7" s="11" t="n">
        <x:v>35000000</x:v>
      </x:c>
      <x:c r="G7" s="12" t="str">
        <x:v>rial</x:v>
      </x:c>
      <x:c r="H7" s="11" t="n">
        <x:v>3500000</x:v>
      </x:c>
      <x:c r="I7" s="8" t="str">
        <x:v>امیرمحمد جوشقانی</x:v>
      </x:c>
      <x:c r="J7" s="31" t="str">
        <x:v>Python instructor fee</x:v>
      </x:c>
      <x:c r="K7" s="31" t="str">
        <x:v>حق‌الزحمه کامل مدرس پایتون</x:v>
      </x:c>
      <x:c r="L7" s="8" t="str">
        <x:v>Teaching</x:v>
      </x:c>
      <x:c r="M7" s="8" t="str">
        <x:v>Summer School 1404</x:v>
      </x:c>
      <x:c r="N7" s="8" t="str">
        <x:v>Supported</x:v>
      </x:c>
      <x:c r="O7" s="8" t="str">
        <x:v>Receipt and message</x:v>
      </x:c>
      <x:c r="P7" s="8" t="str">
        <x:v>SHAHR-8966</x:v>
      </x:c>
      <x:c r="Q7" s="8" t="str">
        <x:v>message26, message10</x:v>
      </x:c>
      <x:c r="R7" s="8" t="str">
        <x:v>130034190881</x:v>
      </x:c>
      <x:c r="S7" s="8"/>
      <x:c r="T7" s="31" t="str"/>
      <x:c r="U7" s="31" t="str">
        <x:v>Computed 3,480 in message10, rounded to 3,500.</x:v>
      </x:c>
      <x:c r="V7" s="31" t="str">
        <x:v>telegram export/photos/photo_2@24-07-2025_21-00-17.jpg
Anjoman accounting.xlsx#مجموع!D2</x:v>
      </x:c>
      <x:c r="W7" s="13" t="n">
        <x:f>IF(AND(N7="Supported",E7="Receipt",ISNUMBER(H7)),H7,0)</x:f>
        <x:v>0</x:v>
      </x:c>
      <x:c r="X7" s="13" t="n">
        <x:f>IF(AND(N7="Supported",E7="Payment",ISNUMBER(H7)),H7,0)</x:f>
        <x:v>3500000</x:v>
      </x:c>
      <x:c r="Y7" s="13" t="n">
        <x:f>W7-X7</x:f>
        <x:v>-3500000</x:v>
      </x:c>
    </x:row>
    <x:row r="8" ht="36" hidden="0" customHeight="1">
      <x:c r="A8" s="8" t="str">
        <x:v>TX0004</x:v>
      </x:c>
      <x:c r="B8" s="9" t="d">
        <x:v>2025-07-24T00:00:00.000Z</x:v>
      </x:c>
      <x:c r="C8" s="8" t="str">
        <x:v>1404/05/02</x:v>
      </x:c>
      <x:c r="D8" s="8" t="str">
        <x:v>1404/05</x:v>
      </x:c>
      <x:c r="E8" s="8" t="str">
        <x:v>Payment</x:v>
      </x:c>
      <x:c r="F8" s="11" t="n">
        <x:v>37000000</x:v>
      </x:c>
      <x:c r="G8" s="12" t="str">
        <x:v>rial</x:v>
      </x:c>
      <x:c r="H8" s="11" t="n">
        <x:v>3700000</x:v>
      </x:c>
      <x:c r="I8" s="8" t="str">
        <x:v>متین جوکارتنگ کرمی</x:v>
      </x:c>
      <x:c r="J8" s="31" t="str">
        <x:v>LaTeX instructor fee, Pol transfer</x:v>
      </x:c>
      <x:c r="K8" s="31" t="str">
        <x:v>حق‌الزحمه کامل مدرس لتک (پل، تادیه دیون)</x:v>
      </x:c>
      <x:c r="L8" s="8" t="str">
        <x:v>Teaching</x:v>
      </x:c>
      <x:c r="M8" s="8" t="str">
        <x:v>Summer School 1404</x:v>
      </x:c>
      <x:c r="N8" s="8" t="str">
        <x:v>Supported</x:v>
      </x:c>
      <x:c r="O8" s="8" t="str">
        <x:v>Receipt and message</x:v>
      </x:c>
      <x:c r="P8" s="8" t="str">
        <x:v>SHAHR-8966</x:v>
      </x:c>
      <x:c r="Q8" s="8" t="str">
        <x:v>message27, message28, message13</x:v>
      </x:c>
      <x:c r="R8" s="8" t="str">
        <x:v>140405020613114740052</x:v>
      </x:c>
      <x:c r="S8" s="8"/>
      <x:c r="T8" s="31" t="str"/>
      <x:c r="U8" s="31" t="str">
        <x:v>The SMS in message28 is the same transaction (balance after 230,203,965 rial). It is counted once.</x:v>
      </x:c>
      <x:c r="V8" s="31" t="str">
        <x:v>telegram export/photos/photo_3@24-07-2025_21-02-51.jpg
telegram export/messages.html#message28
Anjoman accounting.xlsx#مجموع!D4</x:v>
      </x:c>
      <x:c r="W8" s="13" t="n">
        <x:f>IF(AND(N8="Supported",E8="Receipt",ISNUMBER(H8)),H8,0)</x:f>
        <x:v>0</x:v>
      </x:c>
      <x:c r="X8" s="13" t="n">
        <x:f>IF(AND(N8="Supported",E8="Payment",ISNUMBER(H8)),H8,0)</x:f>
        <x:v>3700000</x:v>
      </x:c>
      <x:c r="Y8" s="13" t="n">
        <x:f>W8-X8</x:f>
        <x:v>-3700000</x:v>
      </x:c>
    </x:row>
    <x:row r="9" ht="24" hidden="0" customHeight="1">
      <x:c r="A9" s="8" t="str">
        <x:v>TX0005</x:v>
      </x:c>
      <x:c r="B9" s="9" t="d">
        <x:v>2025-07-25T00:00:00.000Z</x:v>
      </x:c>
      <x:c r="C9" s="8" t="str">
        <x:v>1404/05/03</x:v>
      </x:c>
      <x:c r="D9" s="8" t="str">
        <x:v>1404/05</x:v>
      </x:c>
      <x:c r="E9" s="8" t="str">
        <x:v>Payment</x:v>
      </x:c>
      <x:c r="F9" s="11" t="n">
        <x:v>5000000</x:v>
      </x:c>
      <x:c r="G9" s="12" t="str">
        <x:v>rial</x:v>
      </x:c>
      <x:c r="H9" s="11" t="n">
        <x:v>500000</x:v>
      </x:c>
      <x:c r="I9" s="8" t="str">
        <x:v>ابراهیم خسروانی</x:v>
      </x:c>
      <x:c r="J9" s="31" t="str">
        <x:v>TA, forms and sheet fee</x:v>
      </x:c>
      <x:c r="K9" s="31" t="str">
        <x:v>حق‌الزحمه TA، فرم و شیت</x:v>
      </x:c>
      <x:c r="L9" s="8" t="str">
        <x:v>Teaching</x:v>
      </x:c>
      <x:c r="M9" s="8" t="str">
        <x:v>Summer School 1404</x:v>
      </x:c>
      <x:c r="N9" s="8" t="str">
        <x:v>Supported</x:v>
      </x:c>
      <x:c r="O9" s="8" t="str">
        <x:v>Receipt and message</x:v>
      </x:c>
      <x:c r="P9" s="8" t="str">
        <x:v>SHAHR-8966</x:v>
      </x:c>
      <x:c r="Q9" s="8" t="str">
        <x:v>message29</x:v>
      </x:c>
      <x:c r="R9" s="8" t="str">
        <x:v>130034551287</x:v>
      </x:c>
      <x:c r="S9" s="8"/>
      <x:c r="T9" s="31" t="str"/>
      <x:c r="U9" s="31" t="str"/>
      <x:c r="V9" s="31" t="str">
        <x:v>telegram export/photos/photo_4@25-07-2025_04-04-24.jpg
Anjoman accounting.xlsx#مجموع!D5</x:v>
      </x:c>
      <x:c r="W9" s="13" t="n">
        <x:f>IF(AND(N9="Supported",E9="Receipt",ISNUMBER(H9)),H9,0)</x:f>
        <x:v>0</x:v>
      </x:c>
      <x:c r="X9" s="13" t="n">
        <x:f>IF(AND(N9="Supported",E9="Payment",ISNUMBER(H9)),H9,0)</x:f>
        <x:v>500000</x:v>
      </x:c>
      <x:c r="Y9" s="13" t="n">
        <x:f>W9-X9</x:f>
        <x:v>-500000</x:v>
      </x:c>
    </x:row>
    <x:row r="10" ht="24" hidden="0" customHeight="1">
      <x:c r="A10" s="8" t="str">
        <x:v>TX0006</x:v>
      </x:c>
      <x:c r="B10" s="9" t="d">
        <x:v>2025-07-25T00:00:00.000Z</x:v>
      </x:c>
      <x:c r="C10" s="8" t="str">
        <x:v>1404/05/03</x:v>
      </x:c>
      <x:c r="D10" s="8" t="str">
        <x:v>1404/05</x:v>
      </x:c>
      <x:c r="E10" s="8" t="str">
        <x:v>Payment</x:v>
      </x:c>
      <x:c r="F10" s="11" t="n">
        <x:v>6000000</x:v>
      </x:c>
      <x:c r="G10" s="12" t="str">
        <x:v>rial</x:v>
      </x:c>
      <x:c r="H10" s="11" t="n">
        <x:v>600000</x:v>
      </x:c>
      <x:c r="I10" s="8" t="str">
        <x:v>سپهر طلائی</x:v>
      </x:c>
      <x:c r="J10" s="31" t="str">
        <x:v>Registration support and Python TA fee</x:v>
      </x:c>
      <x:c r="K10" s="31" t="str">
        <x:v>حق‌الزحمه ثبت‌نام و TA پایتون</x:v>
      </x:c>
      <x:c r="L10" s="8" t="str">
        <x:v>Teaching</x:v>
      </x:c>
      <x:c r="M10" s="8" t="str">
        <x:v>Summer School 1404</x:v>
      </x:c>
      <x:c r="N10" s="8" t="str">
        <x:v>Supported</x:v>
      </x:c>
      <x:c r="O10" s="8" t="str">
        <x:v>Receipt and message</x:v>
      </x:c>
      <x:c r="P10" s="8" t="str">
        <x:v>SHAHR-8966</x:v>
      </x:c>
      <x:c r="Q10" s="8" t="str">
        <x:v>message30</x:v>
      </x:c>
      <x:c r="R10" s="8" t="str">
        <x:v>130034536896</x:v>
      </x:c>
      <x:c r="S10" s="8"/>
      <x:c r="T10" s="31" t="str"/>
      <x:c r="U10" s="31" t="str">
        <x:v>No SMS is available, so any transfer fee is unknown.</x:v>
      </x:c>
      <x:c r="V10" s="31" t="str">
        <x:v>telegram export/photos/photo_5@25-07-2025_04-08-41.jpg
Anjoman accounting.xlsx#مجموع!D6</x:v>
      </x:c>
      <x:c r="W10" s="13" t="n">
        <x:f>IF(AND(N10="Supported",E10="Receipt",ISNUMBER(H10)),H10,0)</x:f>
        <x:v>0</x:v>
      </x:c>
      <x:c r="X10" s="13" t="n">
        <x:f>IF(AND(N10="Supported",E10="Payment",ISNUMBER(H10)),H10,0)</x:f>
        <x:v>600000</x:v>
      </x:c>
      <x:c r="Y10" s="13" t="n">
        <x:f>W10-X10</x:f>
        <x:v>-600000</x:v>
      </x:c>
    </x:row>
    <x:row r="11" ht="36" hidden="0" customHeight="1">
      <x:c r="A11" s="8" t="str">
        <x:v>TX0007</x:v>
      </x:c>
      <x:c r="B11" s="9" t="d">
        <x:v>2025-07-25T00:00:00.000Z</x:v>
      </x:c>
      <x:c r="C11" s="8" t="str">
        <x:v>1404/05/03</x:v>
      </x:c>
      <x:c r="D11" s="8" t="str">
        <x:v>1404/05</x:v>
      </x:c>
      <x:c r="E11" s="8" t="str">
        <x:v>Payment</x:v>
      </x:c>
      <x:c r="F11" s="11" t="n">
        <x:v>6000000</x:v>
      </x:c>
      <x:c r="G11" s="12" t="str">
        <x:v>rial</x:v>
      </x:c>
      <x:c r="H11" s="11" t="n">
        <x:v>600000</x:v>
      </x:c>
      <x:c r="I11" s="8" t="str">
        <x:v>محمدامین عزیزی</x:v>
      </x:c>
      <x:c r="J11" s="31" t="str">
        <x:v>Registration, accounting and Python TA fee</x:v>
      </x:c>
      <x:c r="K11" s="31" t="str">
        <x:v>حق‌الزحمه ثبت‌نام، حسابداری و TA پایتون</x:v>
      </x:c>
      <x:c r="L11" s="8" t="str">
        <x:v>Teaching</x:v>
      </x:c>
      <x:c r="M11" s="8" t="str">
        <x:v>Summer School 1404</x:v>
      </x:c>
      <x:c r="N11" s="8" t="str">
        <x:v>Supported</x:v>
      </x:c>
      <x:c r="O11" s="8" t="str">
        <x:v>Receipt and message</x:v>
      </x:c>
      <x:c r="P11" s="8" t="str">
        <x:v>SHAHR-8966</x:v>
      </x:c>
      <x:c r="Q11" s="8" t="str">
        <x:v>message31, message32, message33, message34</x:v>
      </x:c>
      <x:c r="R11" s="8" t="str">
        <x:v>130035112458</x:v>
      </x:c>
      <x:c r="S11" s="8"/>
      <x:c r="T11" s="31" t="str"/>
      <x:c r="U11" s="31" t="str">
        <x:v>The SMS shows a 6,009,000 rial debit, which is principal plus fee (see TX0008).</x:v>
      </x:c>
      <x:c r="V11" s="31" t="str">
        <x:v>telegram export/photos/photo_6@25-07-2025_15-53-39.jpg
telegram export/messages.html#message32
Anjoman accounting.xlsx#مجموع!D7</x:v>
      </x:c>
      <x:c r="W11" s="13" t="n">
        <x:f>IF(AND(N11="Supported",E11="Receipt",ISNUMBER(H11)),H11,0)</x:f>
        <x:v>0</x:v>
      </x:c>
      <x:c r="X11" s="13" t="n">
        <x:f>IF(AND(N11="Supported",E11="Payment",ISNUMBER(H11)),H11,0)</x:f>
        <x:v>600000</x:v>
      </x:c>
      <x:c r="Y11" s="13" t="n">
        <x:f>W11-X11</x:f>
        <x:v>-600000</x:v>
      </x:c>
    </x:row>
    <x:row r="12" ht="15" hidden="0" customHeight="1">
      <x:c r="A12" s="8" t="str">
        <x:v>TX0008</x:v>
      </x:c>
      <x:c r="B12" s="9" t="d">
        <x:v>2025-07-25T00:00:00.000Z</x:v>
      </x:c>
      <x:c r="C12" s="8" t="str">
        <x:v>1404/05/03</x:v>
      </x:c>
      <x:c r="D12" s="8" t="str">
        <x:v>1404/05</x:v>
      </x:c>
      <x:c r="E12" s="8" t="str">
        <x:v>Payment</x:v>
      </x:c>
      <x:c r="F12" s="11" t="n">
        <x:v>9000</x:v>
      </x:c>
      <x:c r="G12" s="12" t="str">
        <x:v>rial</x:v>
      </x:c>
      <x:c r="H12" s="11" t="n">
        <x:v>900</x:v>
      </x:c>
      <x:c r="I12" s="8" t="str">
        <x:v>Bank Shahr</x:v>
      </x:c>
      <x:c r="J12" s="31" t="str">
        <x:v>Card transfer fee (SMS debit 6,009,000 minus principal 6,000,000 rial)</x:v>
      </x:c>
      <x:c r="K12" s="31" t="str">
        <x:v>کارمزد انتقال کارت به کارت</x:v>
      </x:c>
      <x:c r="L12" s="8" t="str">
        <x:v>Bank fees</x:v>
      </x:c>
      <x:c r="M12" s="8" t="str">
        <x:v>Summer School 1404</x:v>
      </x:c>
      <x:c r="N12" s="8" t="str">
        <x:v>Supported</x:v>
      </x:c>
      <x:c r="O12" s="8" t="str">
        <x:v>Message only</x:v>
      </x:c>
      <x:c r="P12" s="8" t="str">
        <x:v>SHAHR-8966</x:v>
      </x:c>
      <x:c r="Q12" s="8" t="str">
        <x:v>message32</x:v>
      </x:c>
      <x:c r="R12" s="8"/>
      <x:c r="S12" s="8"/>
      <x:c r="T12" s="31" t="str"/>
      <x:c r="U12" s="31" t="str">
        <x:v>The fee is supported only for this transfer. Not in the original ledger.</x:v>
      </x:c>
      <x:c r="V12" s="31" t="str">
        <x:v>telegram export/messages.html#message32</x:v>
      </x:c>
      <x:c r="W12" s="13" t="n">
        <x:f>IF(AND(N12="Supported",E12="Receipt",ISNUMBER(H12)),H12,0)</x:f>
        <x:v>0</x:v>
      </x:c>
      <x:c r="X12" s="13" t="n">
        <x:f>IF(AND(N12="Supported",E12="Payment",ISNUMBER(H12)),H12,0)</x:f>
        <x:v>900</x:v>
      </x:c>
      <x:c r="Y12" s="13" t="n">
        <x:f>W12-X12</x:f>
        <x:v>-900</x:v>
      </x:c>
    </x:row>
    <x:row r="13" ht="36" hidden="0" customHeight="1">
      <x:c r="A13" s="8" t="str">
        <x:v>TX0009</x:v>
      </x:c>
      <x:c r="B13" s="9" t="d">
        <x:v>2025-07-19T00:00:00.000Z</x:v>
      </x:c>
      <x:c r="C13" s="8" t="str">
        <x:v>1404/04/28</x:v>
      </x:c>
      <x:c r="D13" s="8" t="str">
        <x:v>1404/04</x:v>
      </x:c>
      <x:c r="E13" s="8" t="str">
        <x:v>Payment</x:v>
      </x:c>
      <x:c r="F13" s="11" t="n">
        <x:v>4000000</x:v>
      </x:c>
      <x:c r="G13" s="12" t="str">
        <x:v>rial</x:v>
      </x:c>
      <x:c r="H13" s="11" t="n">
        <x:v>400000</x:v>
      </x:c>
      <x:c r="I13" s="8" t="str">
        <x:v>محمدحسین مشک افشان</x:v>
      </x:c>
      <x:c r="J13" s="31" t="str">
        <x:v>Summer school advertising on Mohemat Sharif channel</x:v>
      </x:c>
      <x:c r="K13" s="31" t="str">
        <x:v>تبلیغ مدرسه تابستانه در مهمات شریف</x:v>
      </x:c>
      <x:c r="L13" s="8" t="str">
        <x:v>Advertising</x:v>
      </x:c>
      <x:c r="M13" s="8" t="str">
        <x:v>Summer School 1404</x:v>
      </x:c>
      <x:c r="N13" s="8" t="str">
        <x:v>Supported</x:v>
      </x:c>
      <x:c r="O13" s="8" t="str">
        <x:v>Receipt and message</x:v>
      </x:c>
      <x:c r="P13" s="8" t="str">
        <x:v>SHAHR-8966</x:v>
      </x:c>
      <x:c r="Q13" s="8" t="str">
        <x:v>message43, message44, message45, message46</x:v>
      </x:c>
      <x:c r="R13" s="8" t="str">
        <x:v>130018173424</x:v>
      </x:c>
      <x:c r="S13" s="8"/>
      <x:c r="T13" s="31" t="str"/>
      <x:c r="U13" s="31" t="str">
        <x:v>Dated before Mordad. The ledger places it under Mordad.</x:v>
      </x:c>
      <x:c r="V13" s="31" t="str">
        <x:v>telegram export/photos/photo_8@12-08-2025_09-58-34.jpg
telegram export/photos/photo_9@12-08-2025_09-58-34.jpg
Anjoman accounting.xlsx#مجموع!D9</x:v>
      </x:c>
      <x:c r="W13" s="13" t="n">
        <x:f>IF(AND(N13="Supported",E13="Receipt",ISNUMBER(H13)),H13,0)</x:f>
        <x:v>0</x:v>
      </x:c>
      <x:c r="X13" s="13" t="n">
        <x:f>IF(AND(N13="Supported",E13="Payment",ISNUMBER(H13)),H13,0)</x:f>
        <x:v>400000</x:v>
      </x:c>
      <x:c r="Y13" s="13" t="n">
        <x:f>W13-X13</x:f>
        <x:v>-400000</x:v>
      </x:c>
    </x:row>
    <x:row r="14" ht="24" hidden="0" customHeight="1">
      <x:c r="A14" s="8" t="str">
        <x:v>TX0010</x:v>
      </x:c>
      <x:c r="B14" s="9"/>
      <x:c r="C14" s="8"/>
      <x:c r="D14" s="8" t="str">
        <x:v>1404/05</x:v>
      </x:c>
      <x:c r="E14" s="8" t="str">
        <x:v>Payment</x:v>
      </x:c>
      <x:c r="F14" s="11" t="n">
        <x:v>400000</x:v>
      </x:c>
      <x:c r="G14" s="12" t="str">
        <x:v>toman</x:v>
      </x:c>
      <x:c r="H14" s="11" t="n">
        <x:v>400000</x:v>
      </x:c>
      <x:c r="I14" s="8" t="str">
        <x:v>حسن شیری</x:v>
      </x:c>
      <x:c r="J14" s="31" t="str">
        <x:v>Second Mohemat Sharif ad row attributed to Hassan</x:v>
      </x:c>
      <x:c r="K14" s="31" t="str">
        <x:v>تبلیغات مهمات شریف (ردیف دوم)</x:v>
      </x:c>
      <x:c r="L14" s="8" t="str">
        <x:v>Advertising</x:v>
      </x:c>
      <x:c r="M14" s="8" t="str">
        <x:v>Summer School 1404</x:v>
      </x:c>
      <x:c r="N14" s="8" t="str">
        <x:v>Review</x:v>
      </x:c>
      <x:c r="O14" s="8" t="str">
        <x:v>Original ledger</x:v>
      </x:c>
      <x:c r="P14" s="8" t="str">
        <x:v>UNKNOWN</x:v>
      </x:c>
      <x:c r="Q14" s="8" t="str">
        <x:v>message57</x:v>
      </x:c>
      <x:c r="R14" s="8"/>
      <x:c r="S14" s="8" t="str">
        <x:v>TX0009</x:v>
      </x:c>
      <x:c r="T14" s="31" t="str">
        <x:v>Probable double entry of the single receipted 400,000 ad. message57 suggests Hassan logged the ad, but only one payment exists.</x:v>
      </x:c>
      <x:c r="U14" s="31" t="str">
        <x:v>Excluded from supported totals.</x:v>
      </x:c>
      <x:c r="V14" s="31" t="str">
        <x:v>Anjoman accounting.xlsx#مجموع!D12</x:v>
      </x:c>
      <x:c r="W14" s="13" t="n">
        <x:f>IF(AND(N14="Supported",E14="Receipt",ISNUMBER(H14)),H14,0)</x:f>
        <x:v>0</x:v>
      </x:c>
      <x:c r="X14" s="13" t="n">
        <x:f>IF(AND(N14="Supported",E14="Payment",ISNUMBER(H14)),H14,0)</x:f>
        <x:v>0</x:v>
      </x:c>
      <x:c r="Y14" s="13" t="n">
        <x:f>W14-X14</x:f>
        <x:v>0</x:v>
      </x:c>
    </x:row>
    <x:row r="15" ht="24" hidden="0" customHeight="1">
      <x:c r="A15" s="8" t="str">
        <x:v>TX0011</x:v>
      </x:c>
      <x:c r="B15" s="9" t="d">
        <x:v>2025-08-11T00:00:00.000Z</x:v>
      </x:c>
      <x:c r="C15" s="8" t="str">
        <x:v>1404/05/20</x:v>
      </x:c>
      <x:c r="D15" s="8" t="str">
        <x:v>1404/05</x:v>
      </x:c>
      <x:c r="E15" s="8" t="str">
        <x:v>Payment</x:v>
      </x:c>
      <x:c r="F15" s="11" t="n">
        <x:v>3000000</x:v>
      </x:c>
      <x:c r="G15" s="12" t="str">
        <x:v>rial</x:v>
      </x:c>
      <x:c r="H15" s="11" t="n">
        <x:v>300000</x:v>
      </x:c>
      <x:c r="I15" s="8" t="str">
        <x:v>متین جوکارتنگ کرمی</x:v>
      </x:c>
      <x:c r="J15" s="31" t="str">
        <x:v>Make-up recording, LaTeX session 3</x:v>
      </x:c>
      <x:c r="K15" s="31" t="str">
        <x:v>ضبط جبرانی جلسه ۳ لتک</x:v>
      </x:c>
      <x:c r="L15" s="8" t="str">
        <x:v>Teaching</x:v>
      </x:c>
      <x:c r="M15" s="8" t="str">
        <x:v>Summer School 1404</x:v>
      </x:c>
      <x:c r="N15" s="8" t="str">
        <x:v>Supported</x:v>
      </x:c>
      <x:c r="O15" s="8" t="str">
        <x:v>Receipt and message</x:v>
      </x:c>
      <x:c r="P15" s="8" t="str">
        <x:v>SHAHR-8966</x:v>
      </x:c>
      <x:c r="Q15" s="8" t="str">
        <x:v>message42</x:v>
      </x:c>
      <x:c r="R15" s="8" t="str">
        <x:v>140405200613117542670</x:v>
      </x:c>
      <x:c r="S15" s="8"/>
      <x:c r="T15" s="31" t="str"/>
      <x:c r="U15" s="31" t="str">
        <x:v>The receipt's stated purpose is 'واریز حقوق'.</x:v>
      </x:c>
      <x:c r="V15" s="31" t="str">
        <x:v>telegram export/photos/photo_7@11-08-2025_15-51-55.jpg
Anjoman accounting.xlsx#مجموع!D8</x:v>
      </x:c>
      <x:c r="W15" s="13" t="n">
        <x:f>IF(AND(N15="Supported",E15="Receipt",ISNUMBER(H15)),H15,0)</x:f>
        <x:v>0</x:v>
      </x:c>
      <x:c r="X15" s="13" t="n">
        <x:f>IF(AND(N15="Supported",E15="Payment",ISNUMBER(H15)),H15,0)</x:f>
        <x:v>300000</x:v>
      </x:c>
      <x:c r="Y15" s="13" t="n">
        <x:f>W15-X15</x:f>
        <x:v>-300000</x:v>
      </x:c>
    </x:row>
    <x:row r="16" ht="24" hidden="0" customHeight="1">
      <x:c r="A16" s="8" t="str">
        <x:v>TX0012</x:v>
      </x:c>
      <x:c r="B16" s="9" t="d">
        <x:v>2025-08-15T00:00:00.000Z</x:v>
      </x:c>
      <x:c r="C16" s="8" t="str">
        <x:v>1404/05/24</x:v>
      </x:c>
      <x:c r="D16" s="8" t="str">
        <x:v>1404/05</x:v>
      </x:c>
      <x:c r="E16" s="8" t="str">
        <x:v>Payment</x:v>
      </x:c>
      <x:c r="F16" s="11" t="n">
        <x:v>3000000</x:v>
      </x:c>
      <x:c r="G16" s="12" t="str">
        <x:v>rial</x:v>
      </x:c>
      <x:c r="H16" s="11" t="n">
        <x:v>300000</x:v>
      </x:c>
      <x:c r="I16" s="8" t="str">
        <x:v>امیرمحمد جوشقانی</x:v>
      </x:c>
      <x:c r="J16" s="31" t="str">
        <x:v>Make-up recording, Python session 4</x:v>
      </x:c>
      <x:c r="K16" s="31" t="str">
        <x:v>ضبط جبرانی جلسه ۴ پایتون</x:v>
      </x:c>
      <x:c r="L16" s="8" t="str">
        <x:v>Teaching</x:v>
      </x:c>
      <x:c r="M16" s="8" t="str">
        <x:v>Summer School 1404</x:v>
      </x:c>
      <x:c r="N16" s="8" t="str">
        <x:v>Supported</x:v>
      </x:c>
      <x:c r="O16" s="8" t="str">
        <x:v>Receipt and message</x:v>
      </x:c>
      <x:c r="P16" s="8" t="str">
        <x:v>SHAHR-8966</x:v>
      </x:c>
      <x:c r="Q16" s="8" t="str">
        <x:v>message47</x:v>
      </x:c>
      <x:c r="R16" s="8" t="str">
        <x:v>130072269291</x:v>
      </x:c>
      <x:c r="S16" s="8"/>
      <x:c r="T16" s="31" t="str"/>
      <x:c r="U16" s="31" t="str">
        <x:v>Missing from the مرداد sheet; this explains the 300,000 gap between J2 and M2.</x:v>
      </x:c>
      <x:c r="V16" s="31" t="str">
        <x:v>telegram export/photos/photo_10@15-08-2025_18-28-22.jpg
Anjoman accounting.xlsx#مجموع!D10</x:v>
      </x:c>
      <x:c r="W16" s="13" t="n">
        <x:f>IF(AND(N16="Supported",E16="Receipt",ISNUMBER(H16)),H16,0)</x:f>
        <x:v>0</x:v>
      </x:c>
      <x:c r="X16" s="13" t="n">
        <x:f>IF(AND(N16="Supported",E16="Payment",ISNUMBER(H16)),H16,0)</x:f>
        <x:v>300000</x:v>
      </x:c>
      <x:c r="Y16" s="13" t="n">
        <x:f>W16-X16</x:f>
        <x:v>-300000</x:v>
      </x:c>
    </x:row>
    <x:row r="17" ht="24" hidden="0" customHeight="1">
      <x:c r="A17" s="8" t="str">
        <x:v>TX0013</x:v>
      </x:c>
      <x:c r="B17" s="9"/>
      <x:c r="C17" s="8"/>
      <x:c r="D17" s="8" t="str">
        <x:v>1404/05</x:v>
      </x:c>
      <x:c r="E17" s="8" t="str">
        <x:v>Payment</x:v>
      </x:c>
      <x:c r="F17" s="11" t="n">
        <x:v>750000</x:v>
      </x:c>
      <x:c r="G17" s="12" t="str">
        <x:v>toman</x:v>
      </x:c>
      <x:c r="H17" s="11" t="n">
        <x:v>750000</x:v>
      </x:c>
      <x:c r="I17" s="8" t="str">
        <x:v>حسن شیری</x:v>
      </x:c>
      <x:c r="J17" s="31" t="str">
        <x:v>Association room keys for members</x:v>
      </x:c>
      <x:c r="K17" s="31" t="str">
        <x:v>گرفتن کلید انجمن برای اعضا</x:v>
      </x:c>
      <x:c r="L17" s="8" t="str">
        <x:v>Equipment</x:v>
      </x:c>
      <x:c r="M17" s="8" t="str">
        <x:v>Association operations</x:v>
      </x:c>
      <x:c r="N17" s="8" t="str">
        <x:v>Supported</x:v>
      </x:c>
      <x:c r="O17" s="8" t="str">
        <x:v>Original ledger</x:v>
      </x:c>
      <x:c r="P17" s="8" t="str">
        <x:v>UNKNOWN</x:v>
      </x:c>
      <x:c r="Q17" s="8" t="str">
        <x:v>message57</x:v>
      </x:c>
      <x:c r="R17" s="8"/>
      <x:c r="S17" s="8"/>
      <x:c r="T17" s="31" t="str">
        <x:v>No receipt. Payer account unknown (possibly Hassan personally, which would make it a reimbursement).</x:v>
      </x:c>
      <x:c r="U17" s="31" t="str">
        <x:v>Ledger-derived only. message57 ('اون کلید ها که من زدم') may mean Hassan entered or paid it personally. If he paid personally, this is a reimbursable payable, not a cash outflow from the association account.</x:v>
      </x:c>
      <x:c r="V17" s="31" t="str">
        <x:v>Anjoman accounting.xlsx#مجموع!D11</x:v>
      </x:c>
      <x:c r="W17" s="13" t="n">
        <x:f>IF(AND(N17="Supported",E17="Receipt",ISNUMBER(H17)),H17,0)</x:f>
        <x:v>0</x:v>
      </x:c>
      <x:c r="X17" s="13" t="n">
        <x:f>IF(AND(N17="Supported",E17="Payment",ISNUMBER(H17)),H17,0)</x:f>
        <x:v>750000</x:v>
      </x:c>
      <x:c r="Y17" s="13" t="n">
        <x:f>W17-X17</x:f>
        <x:v>-750000</x:v>
      </x:c>
    </x:row>
    <x:row r="18" ht="24" hidden="0" customHeight="1">
      <x:c r="A18" s="8" t="str">
        <x:v>TX0014</x:v>
      </x:c>
      <x:c r="B18" s="9"/>
      <x:c r="C18" s="8"/>
      <x:c r="D18" s="8" t="str">
        <x:v>1404/06</x:v>
      </x:c>
      <x:c r="E18" s="8" t="str">
        <x:v>Receipt</x:v>
      </x:c>
      <x:c r="F18" s="11" t="n">
        <x:v>4920000</x:v>
      </x:c>
      <x:c r="G18" s="12" t="str">
        <x:v>toman</x:v>
      </x:c>
      <x:c r="H18" s="11" t="n">
        <x:v>4920000</x:v>
      </x:c>
      <x:c r="I18" s="8" t="str">
        <x:v>Participants, held by محمدامین عزیزی</x:v>
      </x:c>
      <x:c r="J18" s="31" t="str">
        <x:v>Major-introduction event receipts (gross)</x:v>
      </x:c>
      <x:c r="K18" s="31" t="str">
        <x:v>ورودی همایش معرفی رشته</x:v>
      </x:c>
      <x:c r="L18" s="8" t="str">
        <x:v>Events</x:v>
      </x:c>
      <x:c r="M18" s="8" t="str">
        <x:v>Intro Event 1404</x:v>
      </x:c>
      <x:c r="N18" s="8" t="str">
        <x:v>Supported</x:v>
      </x:c>
      <x:c r="O18" s="8" t="str">
        <x:v>Original ledger</x:v>
      </x:c>
      <x:c r="P18" s="8" t="str">
        <x:v>AMIN-EVENT</x:v>
      </x:c>
      <x:c r="Q18" s="8" t="str">
        <x:v>message49, message51</x:v>
      </x:c>
      <x:c r="R18" s="8"/>
      <x:c r="S18" s="8"/>
      <x:c r="T18" s="31" t="str"/>
      <x:c r="U18" s="31" t="str">
        <x:v>Gross receipts held by Amin. The net amount was later moved to the main account (TX0018).</x:v>
      </x:c>
      <x:c r="V18" s="31" t="str">
        <x:v>Anjoman accounting.xlsx#مجموع!B15
Anjoman accounting.xlsx#شهریور!B2</x:v>
      </x:c>
      <x:c r="W18" s="13" t="n">
        <x:f>IF(AND(N18="Supported",E18="Receipt",ISNUMBER(H18)),H18,0)</x:f>
        <x:v>4920000</x:v>
      </x:c>
      <x:c r="X18" s="13" t="n">
        <x:f>IF(AND(N18="Supported",E18="Payment",ISNUMBER(H18)),H18,0)</x:f>
        <x:v>0</x:v>
      </x:c>
      <x:c r="Y18" s="13" t="n">
        <x:f>W18-X18</x:f>
        <x:v>4920000</x:v>
      </x:c>
    </x:row>
    <x:row r="19" ht="36" hidden="0" customHeight="1">
      <x:c r="A19" s="8" t="str">
        <x:v>TX0015</x:v>
      </x:c>
      <x:c r="B19" s="9" t="d">
        <x:v>2025-09-05T00:00:00.000Z</x:v>
      </x:c>
      <x:c r="C19" s="8" t="str">
        <x:v>1404/06/14</x:v>
      </x:c>
      <x:c r="D19" s="8" t="str">
        <x:v>1404/06</x:v>
      </x:c>
      <x:c r="E19" s="8" t="str">
        <x:v>Payment</x:v>
      </x:c>
      <x:c r="F19" s="11" t="n">
        <x:v>1000000</x:v>
      </x:c>
      <x:c r="G19" s="12" t="str">
        <x:v>rial</x:v>
      </x:c>
      <x:c r="H19" s="11" t="n">
        <x:v>100000</x:v>
      </x:c>
      <x:c r="I19" s="8" t="str">
        <x:v>چاپ بهزاد</x:v>
      </x:c>
      <x:c r="J19" s="31" t="str">
        <x:v>Poster and barcode printing for intro table</x:v>
      </x:c>
      <x:c r="K19" s="31" t="str">
        <x:v>چاپ پوستر و بارکد میز معرفی</x:v>
      </x:c>
      <x:c r="L19" s="8" t="str">
        <x:v>Printing</x:v>
      </x:c>
      <x:c r="M19" s="8" t="str">
        <x:v>Intro Event 1404</x:v>
      </x:c>
      <x:c r="N19" s="8" t="str">
        <x:v>Supported</x:v>
      </x:c>
      <x:c r="O19" s="8" t="str">
        <x:v>Receipt and message</x:v>
      </x:c>
      <x:c r="P19" s="8" t="str">
        <x:v>AMIN-EVENT</x:v>
      </x:c>
      <x:c r="Q19" s="8" t="str">
        <x:v>message48, message53, message54, message59, message60</x:v>
      </x:c>
      <x:c r="R19" s="8" t="str">
        <x:v>129041617899/002610</x:v>
      </x:c>
      <x:c r="S19" s="8"/>
      <x:c r="T19" s="31" t="str"/>
      <x:c r="U19" s="31" t="str">
        <x:v>Paid by Pasargad card 502229****7257. The owner is not printed and the card does not match Amin's known Maskan card. The deduction from event funds rests on message53/54 only. The receipt date is one day after message48, so the day digit may be misread.</x:v>
      </x:c>
      <x:c r="V19" s="31" t="str">
        <x:v>telegram export/photos/photo_11@04-09-2025_14-05-56.jpg
Anjoman accounting.xlsx#مجموع!D15</x:v>
      </x:c>
      <x:c r="W19" s="13" t="n">
        <x:f>IF(AND(N19="Supported",E19="Receipt",ISNUMBER(H19)),H19,0)</x:f>
        <x:v>0</x:v>
      </x:c>
      <x:c r="X19" s="13" t="n">
        <x:f>IF(AND(N19="Supported",E19="Payment",ISNUMBER(H19)),H19,0)</x:f>
        <x:v>100000</x:v>
      </x:c>
      <x:c r="Y19" s="13" t="n">
        <x:f>W19-X19</x:f>
        <x:v>-100000</x:v>
      </x:c>
    </x:row>
    <x:row r="20" ht="15" hidden="0" customHeight="1">
      <x:c r="A20" s="8" t="str">
        <x:v>TX0016</x:v>
      </x:c>
      <x:c r="B20" s="9"/>
      <x:c r="C20" s="8"/>
      <x:c r="D20" s="8" t="str">
        <x:v>1404/06</x:v>
      </x:c>
      <x:c r="E20" s="8" t="str">
        <x:v>Payment</x:v>
      </x:c>
      <x:c r="F20" s="11" t="n">
        <x:v>2866000</x:v>
      </x:c>
      <x:c r="G20" s="12" t="str">
        <x:v>toman</x:v>
      </x:c>
      <x:c r="H20" s="11" t="n">
        <x:v>2866000</x:v>
      </x:c>
      <x:c r="I20" s="8" t="str">
        <x:v>محمدامین عزیزی</x:v>
      </x:c>
      <x:c r="J20" s="31" t="str">
        <x:v>Intro event supplies</x:v>
      </x:c>
      <x:c r="K20" s="31" t="str">
        <x:v>تدارکات رویداد معرفی رشته</x:v>
      </x:c>
      <x:c r="L20" s="8" t="str">
        <x:v>Events</x:v>
      </x:c>
      <x:c r="M20" s="8" t="str">
        <x:v>Intro Event 1404</x:v>
      </x:c>
      <x:c r="N20" s="8" t="str">
        <x:v>Supported</x:v>
      </x:c>
      <x:c r="O20" s="8" t="str">
        <x:v>Original ledger</x:v>
      </x:c>
      <x:c r="P20" s="8" t="str">
        <x:v>AMIN-EVENT</x:v>
      </x:c>
      <x:c r="Q20" s="8" t="str"/>
      <x:c r="R20" s="8"/>
      <x:c r="S20" s="8"/>
      <x:c r="T20" s="31" t="str">
        <x:v>No invoices.</x:v>
      </x:c>
      <x:c r="U20" s="31" t="str">
        <x:v>Ledger-derived.</x:v>
      </x:c>
      <x:c r="V20" s="31" t="str">
        <x:v>Anjoman accounting.xlsx#مجموع!D16</x:v>
      </x:c>
      <x:c r="W20" s="13" t="n">
        <x:f>IF(AND(N20="Supported",E20="Receipt",ISNUMBER(H20)),H20,0)</x:f>
        <x:v>0</x:v>
      </x:c>
      <x:c r="X20" s="13" t="n">
        <x:f>IF(AND(N20="Supported",E20="Payment",ISNUMBER(H20)),H20,0)</x:f>
        <x:v>2866000</x:v>
      </x:c>
      <x:c r="Y20" s="13" t="n">
        <x:f>W20-X20</x:f>
        <x:v>-2866000</x:v>
      </x:c>
    </x:row>
    <x:row r="21" ht="15" hidden="0" customHeight="1">
      <x:c r="A21" s="8" t="str">
        <x:v>TX0017</x:v>
      </x:c>
      <x:c r="B21" s="9"/>
      <x:c r="C21" s="8"/>
      <x:c r="D21" s="8" t="str">
        <x:v>1404/06</x:v>
      </x:c>
      <x:c r="E21" s="8" t="str">
        <x:v>Payment</x:v>
      </x:c>
      <x:c r="F21" s="11" t="n">
        <x:v>189000</x:v>
      </x:c>
      <x:c r="G21" s="12" t="str">
        <x:v>toman</x:v>
      </x:c>
      <x:c r="H21" s="11" t="n">
        <x:v>189000</x:v>
      </x:c>
      <x:c r="I21" s="8" t="str">
        <x:v>ابراهیم خسروانی</x:v>
      </x:c>
      <x:c r="J21" s="31" t="str">
        <x:v>Procurement fee for intro supplies (formula 3,055,000-2,866,000)</x:v>
      </x:c>
      <x:c r="K21" s="31" t="str">
        <x:v>حق‌الزحمه خرید تدارکات معرفی رشته</x:v>
      </x:c>
      <x:c r="L21" s="8" t="str">
        <x:v>Events</x:v>
      </x:c>
      <x:c r="M21" s="8" t="str">
        <x:v>Intro Event 1404</x:v>
      </x:c>
      <x:c r="N21" s="8" t="str">
        <x:v>Supported</x:v>
      </x:c>
      <x:c r="O21" s="8" t="str">
        <x:v>Original ledger</x:v>
      </x:c>
      <x:c r="P21" s="8" t="str">
        <x:v>AMIN-EVENT</x:v>
      </x:c>
      <x:c r="Q21" s="8" t="str"/>
      <x:c r="R21" s="8"/>
      <x:c r="S21" s="8"/>
      <x:c r="T21" s="31" t="str">
        <x:v>No receipt.</x:v>
      </x:c>
      <x:c r="U21" s="31" t="str">
        <x:v>Ledger-derived.</x:v>
      </x:c>
      <x:c r="V21" s="31" t="str">
        <x:v>Anjoman accounting.xlsx#مجموع!D17</x:v>
      </x:c>
      <x:c r="W21" s="13" t="n">
        <x:f>IF(AND(N21="Supported",E21="Receipt",ISNUMBER(H21)),H21,0)</x:f>
        <x:v>0</x:v>
      </x:c>
      <x:c r="X21" s="13" t="n">
        <x:f>IF(AND(N21="Supported",E21="Payment",ISNUMBER(H21)),H21,0)</x:f>
        <x:v>189000</x:v>
      </x:c>
      <x:c r="Y21" s="13" t="n">
        <x:f>W21-X21</x:f>
        <x:v>-189000</x:v>
      </x:c>
    </x:row>
    <x:row r="22" ht="36" hidden="0" customHeight="1">
      <x:c r="A22" s="8" t="str">
        <x:v>TX0018</x:v>
      </x:c>
      <x:c r="B22" s="9" t="d">
        <x:v>2025-10-01T00:00:00.000Z</x:v>
      </x:c>
      <x:c r="C22" s="8" t="str">
        <x:v>1404/07/09</x:v>
      </x:c>
      <x:c r="D22" s="8" t="str">
        <x:v>1404/07</x:v>
      </x:c>
      <x:c r="E22" s="8" t="str">
        <x:v>Internal transfer</x:v>
      </x:c>
      <x:c r="F22" s="11" t="n">
        <x:v>17650000</x:v>
      </x:c>
      <x:c r="G22" s="12" t="str">
        <x:v>unknown</x:v>
      </x:c>
      <x:c r="H22" s="11"/>
      <x:c r="I22" s="8" t="str">
        <x:v>AMIN-EVENT to SHAHR-8966</x:v>
      </x:c>
      <x:c r="J22" s="31" t="str">
        <x:v>Net intro-event proceeds moved to main account</x:v>
      </x:c>
      <x:c r="K22" s="31" t="str">
        <x:v>انتقال درآمد خالص همایش معرفی رشته به حساب اصلی</x:v>
      </x:c>
      <x:c r="L22" s="8" t="str">
        <x:v>Transfers</x:v>
      </x:c>
      <x:c r="M22" s="8" t="str">
        <x:v>Intro Event 1404</x:v>
      </x:c>
      <x:c r="N22" s="8" t="str">
        <x:v>Review</x:v>
      </x:c>
      <x:c r="O22" s="8" t="str">
        <x:v>Receipt and message</x:v>
      </x:c>
      <x:c r="P22" s="8" t="str">
        <x:v>SHAHR-8966</x:v>
      </x:c>
      <x:c r="Q22" s="8" t="str">
        <x:v>message49, message50, message51, message52, message53, message54</x:v>
      </x:c>
      <x:c r="R22" s="8" t="str">
        <x:v>500318322689</x:v>
      </x:c>
      <x:c r="S22" s="8"/>
      <x:c r="T22" s="31" t="str">
        <x:v>No unit is printed. If the amount is rial (1,765,000 toman), it equals the ledger net 4,920,000-3,155,000 (M3).</x:v>
      </x:c>
      <x:c r="U22" s="31" t="str">
        <x:v>Not income. Gross receipts and expenses are already in TX0014–TX0017. The source card 6280 23**…7262 (Bank Maskan) matches Mohammad-Amin Azizi's card on the TX0007 receipt. This corroborates the transfer from AMIN-EVENT. The unit is still unconfirmed.</x:v>
      </x:c>
      <x:c r="V22" s="31" t="str">
        <x:v>telegram export/photos/photo_12@01-10-2025_18-02-44.jpg
Anjoman accounting.xlsx#مجموع!M3</x:v>
      </x:c>
      <x:c r="W22" s="13" t="n">
        <x:f>IF(AND(N22="Supported",E22="Receipt",ISNUMBER(H22)),H22,0)</x:f>
        <x:v>0</x:v>
      </x:c>
      <x:c r="X22" s="13" t="n">
        <x:f>IF(AND(N22="Supported",E22="Payment",ISNUMBER(H22)),H22,0)</x:f>
        <x:v>0</x:v>
      </x:c>
      <x:c r="Y22" s="13" t="n">
        <x:f>W22-X22</x:f>
        <x:v>0</x:v>
      </x:c>
    </x:row>
    <x:row r="23" ht="24" hidden="0" customHeight="1">
      <x:c r="A23" s="8" t="str">
        <x:v>TX0019</x:v>
      </x:c>
      <x:c r="B23" s="9" t="d">
        <x:v>2025-10-14T00:00:00.000Z</x:v>
      </x:c>
      <x:c r="C23" s="8" t="str">
        <x:v>1404/07/22</x:v>
      </x:c>
      <x:c r="D23" s="8" t="str">
        <x:v>1404/07</x:v>
      </x:c>
      <x:c r="E23" s="8" t="str">
        <x:v>Receipt</x:v>
      </x:c>
      <x:c r="F23" s="11" t="n">
        <x:v>5000000</x:v>
      </x:c>
      <x:c r="G23" s="12" t="str">
        <x:v>rial</x:v>
      </x:c>
      <x:c r="H23" s="11" t="n">
        <x:v>500000</x:v>
      </x:c>
      <x:c r="I23" s="8" t="str">
        <x:v>دکتر سامان مقیمی (card 6274…2662)</x:v>
      </x:c>
      <x:c r="J23" s="31" t="str">
        <x:v>Donation for 22 Mehr assembly sweets</x:v>
      </x:c>
      <x:c r="K23" s="31" t="str">
        <x:v>واریزی دکتر مقیمی جهت شیرینی نشست ۲۲ مهر</x:v>
      </x:c>
      <x:c r="L23" s="8" t="str">
        <x:v>Donations</x:v>
      </x:c>
      <x:c r="M23" s="8" t="str">
        <x:v>Professors assembly Mehr</x:v>
      </x:c>
      <x:c r="N23" s="8" t="str">
        <x:v>Supported</x:v>
      </x:c>
      <x:c r="O23" s="8" t="str">
        <x:v>Receipt and message</x:v>
      </x:c>
      <x:c r="P23" s="8" t="str">
        <x:v>SHAHR-8966</x:v>
      </x:c>
      <x:c r="Q23" s="8" t="str">
        <x:v>message63</x:v>
      </x:c>
      <x:c r="R23" s="8"/>
      <x:c r="S23" s="8"/>
      <x:c r="T23" s="31" t="str"/>
      <x:c r="U23" s="31" t="str">
        <x:v>Donor identity comes from the caption only.</x:v>
      </x:c>
      <x:c r="V23" s="31" t="str">
        <x:v>telegram export/photos/photo_15@15-10-2025_14-18-25.jpg
Anjoman accounting.xlsx#مجموع!B19</x:v>
      </x:c>
      <x:c r="W23" s="13" t="n">
        <x:f>IF(AND(N23="Supported",E23="Receipt",ISNUMBER(H23)),H23,0)</x:f>
        <x:v>500000</x:v>
      </x:c>
      <x:c r="X23" s="13" t="n">
        <x:f>IF(AND(N23="Supported",E23="Payment",ISNUMBER(H23)),H23,0)</x:f>
        <x:v>0</x:v>
      </x:c>
      <x:c r="Y23" s="13" t="n">
        <x:f>W23-X23</x:f>
        <x:v>500000</x:v>
      </x:c>
    </x:row>
    <x:row r="24" ht="24" hidden="0" customHeight="1">
      <x:c r="A24" s="8" t="str">
        <x:v>TX0020</x:v>
      </x:c>
      <x:c r="B24" s="9" t="d">
        <x:v>2025-10-12T00:00:00.000Z</x:v>
      </x:c>
      <x:c r="C24" s="8" t="str">
        <x:v>1404/07/20</x:v>
      </x:c>
      <x:c r="D24" s="8" t="str">
        <x:v>1404/07</x:v>
      </x:c>
      <x:c r="E24" s="8" t="str">
        <x:v>Payment</x:v>
      </x:c>
      <x:c r="F24" s="11" t="n">
        <x:v>900000</x:v>
      </x:c>
      <x:c r="G24" s="12" t="str">
        <x:v>rial</x:v>
      </x:c>
      <x:c r="H24" s="11" t="n">
        <x:v>90000</x:v>
      </x:c>
      <x:c r="I24" s="8" t="str">
        <x:v>زهرا امیری</x:v>
      </x:c>
      <x:c r="J24" s="31" t="str">
        <x:v>Poster for assembly and Quanta circles</x:v>
      </x:c>
      <x:c r="K24" s="31" t="str">
        <x:v>پوستر نشست و کوانتا</x:v>
      </x:c>
      <x:c r="L24" s="8" t="str">
        <x:v>Printing</x:v>
      </x:c>
      <x:c r="M24" s="8" t="str">
        <x:v>Professors assembly Mehr</x:v>
      </x:c>
      <x:c r="N24" s="8" t="str">
        <x:v>Supported</x:v>
      </x:c>
      <x:c r="O24" s="8" t="str">
        <x:v>Receipt and message</x:v>
      </x:c>
      <x:c r="P24" s="8" t="str">
        <x:v>SHAHR-8966</x:v>
      </x:c>
      <x:c r="Q24" s="8" t="str">
        <x:v>message61</x:v>
      </x:c>
      <x:c r="R24" s="8" t="str">
        <x:v>130097475275</x:v>
      </x:c>
      <x:c r="S24" s="8"/>
      <x:c r="T24" s="31" t="str"/>
      <x:c r="U24" s="31" t="str"/>
      <x:c r="V24" s="31" t="str">
        <x:v>telegram export/photos/photo_13@12-10-2025_10-24-38.jpg
Anjoman accounting.xlsx#مجموع!D19</x:v>
      </x:c>
      <x:c r="W24" s="13" t="n">
        <x:f>IF(AND(N24="Supported",E24="Receipt",ISNUMBER(H24)),H24,0)</x:f>
        <x:v>0</x:v>
      </x:c>
      <x:c r="X24" s="13" t="n">
        <x:f>IF(AND(N24="Supported",E24="Payment",ISNUMBER(H24)),H24,0)</x:f>
        <x:v>90000</x:v>
      </x:c>
      <x:c r="Y24" s="13" t="n">
        <x:f>W24-X24</x:f>
        <x:v>-90000</x:v>
      </x:c>
    </x:row>
    <x:row r="25" ht="24" hidden="0" customHeight="1">
      <x:c r="A25" s="8" t="str">
        <x:v>TX0021</x:v>
      </x:c>
      <x:c r="B25" s="9" t="d">
        <x:v>2025-10-12T00:00:00.000Z</x:v>
      </x:c>
      <x:c r="C25" s="8" t="str">
        <x:v>1404/07/20</x:v>
      </x:c>
      <x:c r="D25" s="8" t="str">
        <x:v>1404/07</x:v>
      </x:c>
      <x:c r="E25" s="8" t="str">
        <x:v>Payment</x:v>
      </x:c>
      <x:c r="F25" s="11" t="n">
        <x:v>7900000</x:v>
      </x:c>
      <x:c r="G25" s="12" t="str">
        <x:v>rial</x:v>
      </x:c>
      <x:c r="H25" s="11" t="n">
        <x:v>790000</x:v>
      </x:c>
      <x:c r="I25" s="8" t="str">
        <x:v>Merchant terminal 12926362</x:v>
      </x:c>
      <x:c r="J25" s="31" t="str">
        <x:v>Cups, biscuits and tea for Tea society</x:v>
      </x:c>
      <x:c r="K25" s="31" t="str">
        <x:v>لیوان، بیسکوئیت و چای انجمن چای</x:v>
      </x:c>
      <x:c r="L25" s="8" t="str">
        <x:v>Hospitality</x:v>
      </x:c>
      <x:c r="M25" s="8" t="str">
        <x:v>Tea &amp; Physics society</x:v>
      </x:c>
      <x:c r="N25" s="8" t="str">
        <x:v>Supported</x:v>
      </x:c>
      <x:c r="O25" s="8" t="str">
        <x:v>Receipt and message</x:v>
      </x:c>
      <x:c r="P25" s="8" t="str">
        <x:v>SHAHR-8966</x:v>
      </x:c>
      <x:c r="Q25" s="8" t="str">
        <x:v>message64</x:v>
      </x:c>
      <x:c r="R25" s="8" t="str">
        <x:v>692472</x:v>
      </x:c>
      <x:c r="S25" s="8"/>
      <x:c r="T25" s="31" t="str"/>
      <x:c r="U25" s="31" t="str">
        <x:v>Balance after: 22,953,913 rial.</x:v>
      </x:c>
      <x:c r="V25" s="31" t="str">
        <x:v>telegram export/photos/photo_16@15-10-2025_14-18-26.jpg
Anjoman accounting.xlsx#مجموع!D21</x:v>
      </x:c>
      <x:c r="W25" s="13" t="n">
        <x:f>IF(AND(N25="Supported",E25="Receipt",ISNUMBER(H25)),H25,0)</x:f>
        <x:v>0</x:v>
      </x:c>
      <x:c r="X25" s="13" t="n">
        <x:f>IF(AND(N25="Supported",E25="Payment",ISNUMBER(H25)),H25,0)</x:f>
        <x:v>790000</x:v>
      </x:c>
      <x:c r="Y25" s="13" t="n">
        <x:f>W25-X25</x:f>
        <x:v>-790000</x:v>
      </x:c>
    </x:row>
    <x:row r="26" ht="24" hidden="0" customHeight="1">
      <x:c r="A26" s="8" t="str">
        <x:v>TX0022</x:v>
      </x:c>
      <x:c r="B26" s="9" t="d">
        <x:v>2025-10-12T00:00:00.000Z</x:v>
      </x:c>
      <x:c r="C26" s="8" t="str">
        <x:v>1404/07/20</x:v>
      </x:c>
      <x:c r="D26" s="8" t="str">
        <x:v>1404/07</x:v>
      </x:c>
      <x:c r="E26" s="8" t="str">
        <x:v>Payment</x:v>
      </x:c>
      <x:c r="F26" s="11" t="n">
        <x:v>7900000</x:v>
      </x:c>
      <x:c r="G26" s="12" t="str">
        <x:v>rial</x:v>
      </x:c>
      <x:c r="H26" s="11" t="n">
        <x:v>790000</x:v>
      </x:c>
      <x:c r="I26" s="8" t="str">
        <x:v>Merchant terminal 12926362</x:v>
      </x:c>
      <x:c r="J26" s="31" t="str">
        <x:v>Re-uploaded copy of the TX0021 receipt</x:v>
      </x:c>
      <x:c r="K26" s="31" t="str">
        <x:v>تکرار رسید لیوان/بیسکوئیت</x:v>
      </x:c>
      <x:c r="L26" s="8" t="str">
        <x:v>Hospitality</x:v>
      </x:c>
      <x:c r="M26" s="8" t="str">
        <x:v>Tea &amp; Physics society</x:v>
      </x:c>
      <x:c r="N26" s="8" t="str">
        <x:v>Duplicate</x:v>
      </x:c>
      <x:c r="O26" s="8" t="str">
        <x:v>Receipt only</x:v>
      </x:c>
      <x:c r="P26" s="8" t="str">
        <x:v>SHAHR-8966</x:v>
      </x:c>
      <x:c r="Q26" s="8" t="str"/>
      <x:c r="R26" s="8" t="str">
        <x:v>692472</x:v>
      </x:c>
      <x:c r="S26" s="8" t="str">
        <x:v>TX0021</x:v>
      </x:c>
      <x:c r="T26" s="31" t="str">
        <x:v>Same tracking ID, time and balance as TX0021.</x:v>
      </x:c>
      <x:c r="U26" s="31" t="str">
        <x:v>Excluded. User confirms all recipts/ documents represent association expenses. Purpose is retained as unclassified unless specifically identified.</x:v>
      </x:c>
      <x:c r="V26" s="31" t="str">
        <x:v>recipts/photo_1_2026-10-10_14-07-27.jpg
reports/2026-10-10/user_confirmation_2026-10-10.json</x:v>
      </x:c>
      <x:c r="W26" s="13" t="n">
        <x:f>IF(AND(N26="Supported",E26="Receipt",ISNUMBER(H26)),H26,0)</x:f>
        <x:v>0</x:v>
      </x:c>
      <x:c r="X26" s="13" t="n">
        <x:f>IF(AND(N26="Supported",E26="Payment",ISNUMBER(H26)),H26,0)</x:f>
        <x:v>0</x:v>
      </x:c>
      <x:c r="Y26" s="13" t="n">
        <x:f>W26-X26</x:f>
        <x:v>0</x:v>
      </x:c>
    </x:row>
    <x:row r="27" ht="36" hidden="0" customHeight="1">
      <x:c r="A27" s="8" t="str">
        <x:v>TX0023</x:v>
      </x:c>
      <x:c r="B27" s="9" t="d">
        <x:v>2025-10-12T00:00:00.000Z</x:v>
      </x:c>
      <x:c r="C27" s="8" t="str">
        <x:v>1404/07/20</x:v>
      </x:c>
      <x:c r="D27" s="8" t="str">
        <x:v>1404/07</x:v>
      </x:c>
      <x:c r="E27" s="8" t="str">
        <x:v>Payment</x:v>
      </x:c>
      <x:c r="F27" s="11" t="n">
        <x:v>9128500</x:v>
      </x:c>
      <x:c r="G27" s="12" t="str">
        <x:v>rial</x:v>
      </x:c>
      <x:c r="H27" s="11" t="n">
        <x:v>912850</x:v>
      </x:c>
      <x:c r="I27" s="8" t="str">
        <x:v>شیرینی مارژولن (terminal 14594032)</x:v>
      </x:c>
      <x:c r="J27" s="31" t="str">
        <x:v>Pastry for Tea society meeting 20 Mehr</x:v>
      </x:c>
      <x:c r="K27" s="31" t="str">
        <x:v>شیرینی جلسه انجمن چای ۲۰ مهر</x:v>
      </x:c>
      <x:c r="L27" s="8" t="str">
        <x:v>Hospitality</x:v>
      </x:c>
      <x:c r="M27" s="8" t="str">
        <x:v>Tea &amp; Physics society</x:v>
      </x:c>
      <x:c r="N27" s="8" t="str">
        <x:v>Supported</x:v>
      </x:c>
      <x:c r="O27" s="8" t="str">
        <x:v>Receipt and message</x:v>
      </x:c>
      <x:c r="P27" s="8" t="str">
        <x:v>SHAHR-8966</x:v>
      </x:c>
      <x:c r="Q27" s="8" t="str">
        <x:v>message65, message150</x:v>
      </x:c>
      <x:c r="R27" s="8" t="str">
        <x:v>373710</x:v>
      </x:c>
      <x:c r="S27" s="8"/>
      <x:c r="T27" s="31" t="str"/>
      <x:c r="U27" s="31" t="str">
        <x:v>photo_37 is the order screen for the same purchase. Its arithmetic (903,000-45,150≠912,850) is unexplained.</x:v>
      </x:c>
      <x:c r="V27" s="31" t="str">
        <x:v>telegram export/photos/photo_17@15-10-2025_14-18-26.jpg
telegram export/photos/photo_37@27-06-2026_18-27-12.jpg
Anjoman accounting.xlsx#مجموع!D22</x:v>
      </x:c>
      <x:c r="W27" s="13" t="n">
        <x:f>IF(AND(N27="Supported",E27="Receipt",ISNUMBER(H27)),H27,0)</x:f>
        <x:v>0</x:v>
      </x:c>
      <x:c r="X27" s="13" t="n">
        <x:f>IF(AND(N27="Supported",E27="Payment",ISNUMBER(H27)),H27,0)</x:f>
        <x:v>912850</x:v>
      </x:c>
      <x:c r="Y27" s="13" t="n">
        <x:f>W27-X27</x:f>
        <x:v>-912850</x:v>
      </x:c>
    </x:row>
    <x:row r="28" ht="48" hidden="0" customHeight="1">
      <x:c r="A28" s="8" t="str">
        <x:v>TX0024</x:v>
      </x:c>
      <x:c r="B28" s="9" t="d">
        <x:v>2025-10-14T00:00:00.000Z</x:v>
      </x:c>
      <x:c r="C28" s="8" t="str">
        <x:v>1404/07/22</x:v>
      </x:c>
      <x:c r="D28" s="8" t="str">
        <x:v>1404/07</x:v>
      </x:c>
      <x:c r="E28" s="8" t="str">
        <x:v>Payment</x:v>
      </x:c>
      <x:c r="F28" s="11" t="n">
        <x:v>10523750</x:v>
      </x:c>
      <x:c r="G28" s="12" t="str">
        <x:v>rial</x:v>
      </x:c>
      <x:c r="H28" s="11" t="n">
        <x:v>1052375</x:v>
      </x:c>
      <x:c r="I28" s="8" t="str">
        <x:v>شیرینی مارژولن (terminal 14594032)</x:v>
      </x:c>
      <x:c r="J28" s="31" t="str">
        <x:v>Pastry for professors assembly 22 Mehr</x:v>
      </x:c>
      <x:c r="K28" s="31" t="str">
        <x:v>شیرینی نشست عمومی/دیدار اساتید ۲۲ مهر</x:v>
      </x:c>
      <x:c r="L28" s="8" t="str">
        <x:v>Hospitality</x:v>
      </x:c>
      <x:c r="M28" s="8" t="str">
        <x:v>Professors assembly Mehr</x:v>
      </x:c>
      <x:c r="N28" s="8" t="str">
        <x:v>Supported</x:v>
      </x:c>
      <x:c r="O28" s="8" t="str">
        <x:v>Receipt and message</x:v>
      </x:c>
      <x:c r="P28" s="8" t="str">
        <x:v>SHAHR-8966</x:v>
      </x:c>
      <x:c r="Q28" s="8" t="str">
        <x:v>message62, message105, message149</x:v>
      </x:c>
      <x:c r="R28" s="8" t="str">
        <x:v>175854</x:v>
      </x:c>
      <x:c r="S28" s="8"/>
      <x:c r="T28" s="31" t="str"/>
      <x:c r="U28" s="31" t="str">
        <x:v>Bank debit, order screen and statement line (message105) are one purchase. The order screen has a 5,000 arithmetic gap. The field 560,800,163 under 'مبلغ' is consistent with a running rial balance: photo_15 shows 565,800,163 after the 5,000,000 rial deposit at 13:12. It still conflicts with the 22,953,913 balance on 1404/07/20.</x:v>
      </x:c>
      <x:c r="V28" s="31" t="str">
        <x:v>telegram export/photos/photo_14@15-10-2025_14-18-25.jpg
telegram export/photos/photo_36@27-06-2026_18-26-45.jpg
telegram export/messages.html#message105
Anjoman accounting.xlsx#مجموع!D20</x:v>
      </x:c>
      <x:c r="W28" s="13" t="n">
        <x:f>IF(AND(N28="Supported",E28="Receipt",ISNUMBER(H28)),H28,0)</x:f>
        <x:v>0</x:v>
      </x:c>
      <x:c r="X28" s="13" t="n">
        <x:f>IF(AND(N28="Supported",E28="Payment",ISNUMBER(H28)),H28,0)</x:f>
        <x:v>1052375</x:v>
      </x:c>
      <x:c r="Y28" s="13" t="n">
        <x:f>W28-X28</x:f>
        <x:v>-1052375</x:v>
      </x:c>
    </x:row>
    <x:row r="29" ht="15" hidden="0" customHeight="1">
      <x:c r="A29" s="8" t="str">
        <x:v>TX0025</x:v>
      </x:c>
      <x:c r="B29" s="9"/>
      <x:c r="C29" s="8"/>
      <x:c r="D29" s="8" t="str">
        <x:v>1404/07</x:v>
      </x:c>
      <x:c r="E29" s="8" t="str">
        <x:v>Payment</x:v>
      </x:c>
      <x:c r="F29" s="11" t="n">
        <x:v>1052375</x:v>
      </x:c>
      <x:c r="G29" s="12" t="str">
        <x:v>toman</x:v>
      </x:c>
      <x:c r="H29" s="11" t="n">
        <x:v>1052375</x:v>
      </x:c>
      <x:c r="I29" s="8" t="str">
        <x:v>شیرینی مارژولن</x:v>
      </x:c>
      <x:c r="J29" s="31" t="str">
        <x:v>Duplicate ledger row for professors pastry</x:v>
      </x:c>
      <x:c r="K29" s="31" t="str">
        <x:v>شیرینی دیدار با اساتید (ردیف تکراری)</x:v>
      </x:c>
      <x:c r="L29" s="8" t="str">
        <x:v>Hospitality</x:v>
      </x:c>
      <x:c r="M29" s="8" t="str">
        <x:v>Professors assembly Mehr</x:v>
      </x:c>
      <x:c r="N29" s="8" t="str">
        <x:v>Duplicate</x:v>
      </x:c>
      <x:c r="O29" s="8" t="str">
        <x:v>Original ledger</x:v>
      </x:c>
      <x:c r="P29" s="8" t="str">
        <x:v>SHAHR-8966</x:v>
      </x:c>
      <x:c r="Q29" s="8" t="str">
        <x:v>message105</x:v>
      </x:c>
      <x:c r="R29" s="8"/>
      <x:c r="S29" s="8" t="str">
        <x:v>TX0024</x:v>
      </x:c>
      <x:c r="T29" s="31" t="str">
        <x:v>Only one payment exists. message105 names 'دیدار با اساتید' for the same 1404/07/22 debit.</x:v>
      </x:c>
      <x:c r="U29" s="31" t="str">
        <x:v>Excluded. It is also outside the M4 formula range D19:D22.</x:v>
      </x:c>
      <x:c r="V29" s="31" t="str">
        <x:v>Anjoman accounting.xlsx#مجموع!D23</x:v>
      </x:c>
      <x:c r="W29" s="13" t="n">
        <x:f>IF(AND(N29="Supported",E29="Receipt",ISNUMBER(H29)),H29,0)</x:f>
        <x:v>0</x:v>
      </x:c>
      <x:c r="X29" s="13" t="n">
        <x:f>IF(AND(N29="Supported",E29="Payment",ISNUMBER(H29)),H29,0)</x:f>
        <x:v>0</x:v>
      </x:c>
      <x:c r="Y29" s="13" t="n">
        <x:f>W29-X29</x:f>
        <x:v>0</x:v>
      </x:c>
    </x:row>
    <x:row r="30" ht="24" hidden="0" customHeight="1">
      <x:c r="A30" s="8" t="str">
        <x:v>TX0026</x:v>
      </x:c>
      <x:c r="B30" s="9" t="d">
        <x:v>2025-10-26T00:00:00.000Z</x:v>
      </x:c>
      <x:c r="C30" s="8" t="str">
        <x:v>1404/08/04</x:v>
      </x:c>
      <x:c r="D30" s="8" t="str">
        <x:v>1404/08</x:v>
      </x:c>
      <x:c r="E30" s="8" t="str">
        <x:v>Receipt</x:v>
      </x:c>
      <x:c r="F30" s="11" t="n">
        <x:v>100000000</x:v>
      </x:c>
      <x:c r="G30" s="12" t="str">
        <x:v>rial</x:v>
      </x:c>
      <x:c r="H30" s="11" t="n">
        <x:v>10000000</x:v>
      </x:c>
      <x:c r="I30" s="8" t="str">
        <x:v>Former association (Mellat card …7532)</x:v>
      </x:c>
      <x:c r="J30" s="31" t="str">
        <x:v>Funds received from previous association board</x:v>
      </x:c>
      <x:c r="K30" s="31" t="str">
        <x:v>دریافتی از انجمن پیشین</x:v>
      </x:c>
      <x:c r="L30" s="8" t="str">
        <x:v>Opening funds</x:v>
      </x:c>
      <x:c r="M30" s="8" t="str">
        <x:v>Association operations</x:v>
      </x:c>
      <x:c r="N30" s="8" t="str">
        <x:v>Supported</x:v>
      </x:c>
      <x:c r="O30" s="8" t="str">
        <x:v>Receipt and message</x:v>
      </x:c>
      <x:c r="P30" s="8" t="str">
        <x:v>SHAHR-8966</x:v>
      </x:c>
      <x:c r="Q30" s="8" t="str">
        <x:v>message71, message72, message75</x:v>
      </x:c>
      <x:c r="R30" s="8" t="str">
        <x:v>8723</x:v>
      </x:c>
      <x:c r="S30" s="8"/>
      <x:c r="T30" s="31" t="str"/>
      <x:c r="U30" s="31" t="str">
        <x:v>Opening-funds handover, not operating income.</x:v>
      </x:c>
      <x:c r="V30" s="31" t="str">
        <x:v>telegram export/photos/photo_20@28-10-2025_22-07-57.jpg
Anjoman accounting.xlsx#مجموع!B25</x:v>
      </x:c>
      <x:c r="W30" s="13" t="n">
        <x:f>IF(AND(N30="Supported",E30="Receipt",ISNUMBER(H30)),H30,0)</x:f>
        <x:v>10000000</x:v>
      </x:c>
      <x:c r="X30" s="13" t="n">
        <x:f>IF(AND(N30="Supported",E30="Payment",ISNUMBER(H30)),H30,0)</x:f>
        <x:v>0</x:v>
      </x:c>
      <x:c r="Y30" s="13" t="n">
        <x:f>W30-X30</x:f>
        <x:v>10000000</x:v>
      </x:c>
    </x:row>
    <x:row r="31" ht="24" hidden="0" customHeight="1">
      <x:c r="A31" s="8" t="str">
        <x:v>TX0027</x:v>
      </x:c>
      <x:c r="B31" s="9" t="d">
        <x:v>2025-10-27T00:00:00.000Z</x:v>
      </x:c>
      <x:c r="C31" s="8" t="str">
        <x:v>1404/08/05</x:v>
      </x:c>
      <x:c r="D31" s="8" t="str">
        <x:v>1404/08</x:v>
      </x:c>
      <x:c r="E31" s="8" t="str">
        <x:v>Receipt</x:v>
      </x:c>
      <x:c r="F31" s="11" t="n">
        <x:v>10000000</x:v>
      </x:c>
      <x:c r="G31" s="12" t="str">
        <x:v>rial</x:v>
      </x:c>
      <x:c r="H31" s="11" t="n">
        <x:v>1000000</x:v>
      </x:c>
      <x:c r="I31" s="8" t="str">
        <x:v>Former association (card …7532)</x:v>
      </x:c>
      <x:c r="J31" s="31" t="str">
        <x:v>Second handover from previous association</x:v>
      </x:c>
      <x:c r="K31" s="31" t="str">
        <x:v>دریافتی دوم از انجمن پیشین</x:v>
      </x:c>
      <x:c r="L31" s="8" t="str">
        <x:v>Opening funds</x:v>
      </x:c>
      <x:c r="M31" s="8" t="str">
        <x:v>Association operations</x:v>
      </x:c>
      <x:c r="N31" s="8" t="str">
        <x:v>Supported</x:v>
      </x:c>
      <x:c r="O31" s="8" t="str">
        <x:v>Receipt and message</x:v>
      </x:c>
      <x:c r="P31" s="8" t="str">
        <x:v>SHAHR-8966</x:v>
      </x:c>
      <x:c r="Q31" s="8" t="str">
        <x:v>message67, message73, message74, message75</x:v>
      </x:c>
      <x:c r="R31" s="8" t="str">
        <x:v>066592116416</x:v>
      </x:c>
      <x:c r="S31" s="8"/>
      <x:c r="T31" s="31" t="str"/>
      <x:c r="U31" s="31" t="str">
        <x:v>message74 confirms; message75 gives a total of 11 (million), which matches B25 = 11,000,000. The refined workbook names Nima Kouhi; that is wrong.</x:v>
      </x:c>
      <x:c r="V31" s="31" t="str">
        <x:v>telegram export/photos/photo_18@28-10-2025_01-53-01.jpg
Anjoman accounting.xlsx#مجموع!B25</x:v>
      </x:c>
      <x:c r="W31" s="13" t="n">
        <x:f>IF(AND(N31="Supported",E31="Receipt",ISNUMBER(H31)),H31,0)</x:f>
        <x:v>1000000</x:v>
      </x:c>
      <x:c r="X31" s="13" t="n">
        <x:f>IF(AND(N31="Supported",E31="Payment",ISNUMBER(H31)),H31,0)</x:f>
        <x:v>0</x:v>
      </x:c>
      <x:c r="Y31" s="13" t="n">
        <x:f>W31-X31</x:f>
        <x:v>1000000</x:v>
      </x:c>
    </x:row>
    <x:row r="32" ht="36" hidden="0" customHeight="1">
      <x:c r="A32" s="8" t="str">
        <x:v>TX0028</x:v>
      </x:c>
      <x:c r="B32" s="9" t="d">
        <x:v>2025-10-25T00:00:00.000Z</x:v>
      </x:c>
      <x:c r="C32" s="8" t="str">
        <x:v>1404/08/03</x:v>
      </x:c>
      <x:c r="D32" s="8" t="str">
        <x:v>1404/08</x:v>
      </x:c>
      <x:c r="E32" s="8" t="str">
        <x:v>Payment</x:v>
      </x:c>
      <x:c r="F32" s="11" t="n">
        <x:v>700000</x:v>
      </x:c>
      <x:c r="G32" s="12" t="str">
        <x:v>rial</x:v>
      </x:c>
      <x:c r="H32" s="11" t="n">
        <x:v>70000</x:v>
      </x:c>
      <x:c r="I32" s="8" t="str">
        <x:v>…پناهی (merchant)</x:v>
      </x:c>
      <x:c r="J32" s="31" t="str">
        <x:v>Tissues for association room</x:v>
      </x:c>
      <x:c r="K32" s="31" t="str">
        <x:v>دستمال برای اتاق انجمن</x:v>
      </x:c>
      <x:c r="L32" s="8" t="str">
        <x:v>Supplies</x:v>
      </x:c>
      <x:c r="M32" s="8" t="str">
        <x:v>Association operations</x:v>
      </x:c>
      <x:c r="N32" s="8" t="str">
        <x:v>Supported</x:v>
      </x:c>
      <x:c r="O32" s="8" t="str">
        <x:v>Receipt and message</x:v>
      </x:c>
      <x:c r="P32" s="8" t="str">
        <x:v>SHAHR-8966</x:v>
      </x:c>
      <x:c r="Q32" s="8" t="str">
        <x:v>message106, message144</x:v>
      </x:c>
      <x:c r="R32" s="8" t="str">
        <x:v>324530191247-211415863</x:v>
      </x:c>
      <x:c r="S32" s="8"/>
      <x:c r="T32" s="31" t="str"/>
      <x:c r="U32" s="31" t="str">
        <x:v>Matched on time 16:36 and amount. The extractor's Yalda guess was wrong.</x:v>
      </x:c>
      <x:c r="V32" s="31" t="str">
        <x:v>telegram export/photos/photo_31@27-06-2026_18-24-39.jpg
telegram export/messages.html#message106
Anjoman accounting.xlsx#مجموع!D30</x:v>
      </x:c>
      <x:c r="W32" s="13" t="n">
        <x:f>IF(AND(N32="Supported",E32="Receipt",ISNUMBER(H32)),H32,0)</x:f>
        <x:v>0</x:v>
      </x:c>
      <x:c r="X32" s="13" t="n">
        <x:f>IF(AND(N32="Supported",E32="Payment",ISNUMBER(H32)),H32,0)</x:f>
        <x:v>70000</x:v>
      </x:c>
      <x:c r="Y32" s="13" t="n">
        <x:f>W32-X32</x:f>
        <x:v>-70000</x:v>
      </x:c>
    </x:row>
    <x:row r="33" ht="24" hidden="0" customHeight="1">
      <x:c r="A33" s="8" t="str">
        <x:v>TX0029</x:v>
      </x:c>
      <x:c r="B33" s="9" t="d">
        <x:v>2025-10-27T00:00:00.000Z</x:v>
      </x:c>
      <x:c r="C33" s="8" t="str">
        <x:v>1404/08/05</x:v>
      </x:c>
      <x:c r="D33" s="8" t="str">
        <x:v>1404/08</x:v>
      </x:c>
      <x:c r="E33" s="8" t="str">
        <x:v>Payment</x:v>
      </x:c>
      <x:c r="F33" s="11" t="n">
        <x:v>3100000</x:v>
      </x:c>
      <x:c r="G33" s="12" t="str">
        <x:v>rial</x:v>
      </x:c>
      <x:c r="H33" s="11" t="n">
        <x:v>310000</x:v>
      </x:c>
      <x:c r="I33" s="8" t="str">
        <x:v>Unknown</x:v>
      </x:c>
      <x:c r="J33" s="31" t="str">
        <x:v>Projector connectors</x:v>
      </x:c>
      <x:c r="K33" s="31" t="str">
        <x:v>اتصالات پروژکتور انجمن</x:v>
      </x:c>
      <x:c r="L33" s="8" t="str">
        <x:v>Equipment</x:v>
      </x:c>
      <x:c r="M33" s="8" t="str">
        <x:v>Association operations</x:v>
      </x:c>
      <x:c r="N33" s="8" t="str">
        <x:v>Supported</x:v>
      </x:c>
      <x:c r="O33" s="8" t="str">
        <x:v>Message only</x:v>
      </x:c>
      <x:c r="P33" s="8" t="str">
        <x:v>SHAHR-8966</x:v>
      </x:c>
      <x:c r="Q33" s="8" t="str">
        <x:v>message108</x:v>
      </x:c>
      <x:c r="R33" s="8"/>
      <x:c r="S33" s="8"/>
      <x:c r="T33" s="31" t="str">
        <x:v>No receipt image.</x:v>
      </x:c>
      <x:c r="U33" s="31" t="str">
        <x:v>Statement-style line; corroborated by the ledger.</x:v>
      </x:c>
      <x:c r="V33" s="31" t="str">
        <x:v>telegram export/messages.html#message108
Anjoman accounting.xlsx#مجموع!D31</x:v>
      </x:c>
      <x:c r="W33" s="13" t="n">
        <x:f>IF(AND(N33="Supported",E33="Receipt",ISNUMBER(H33)),H33,0)</x:f>
        <x:v>0</x:v>
      </x:c>
      <x:c r="X33" s="13" t="n">
        <x:f>IF(AND(N33="Supported",E33="Payment",ISNUMBER(H33)),H33,0)</x:f>
        <x:v>310000</x:v>
      </x:c>
      <x:c r="Y33" s="13" t="n">
        <x:f>W33-X33</x:f>
        <x:v>-310000</x:v>
      </x:c>
    </x:row>
    <x:row r="34" ht="24" hidden="0" customHeight="1">
      <x:c r="A34" s="8" t="str">
        <x:v>TX0030</x:v>
      </x:c>
      <x:c r="B34" s="9" t="d">
        <x:v>2025-10-27T00:00:00.000Z</x:v>
      </x:c>
      <x:c r="C34" s="8" t="str">
        <x:v>1404/08/05</x:v>
      </x:c>
      <x:c r="D34" s="8" t="str">
        <x:v>1404/08</x:v>
      </x:c>
      <x:c r="E34" s="8" t="str">
        <x:v>Payment</x:v>
      </x:c>
      <x:c r="F34" s="11" t="n">
        <x:v>17600000</x:v>
      </x:c>
      <x:c r="G34" s="12" t="str">
        <x:v>rial</x:v>
      </x:c>
      <x:c r="H34" s="11" t="n">
        <x:v>1760000</x:v>
      </x:c>
      <x:c r="I34" s="8" t="str">
        <x:v>Unknown</x:v>
      </x:c>
      <x:c r="J34" s="31" t="str">
        <x:v>Power protectors and tools for booth projectors</x:v>
      </x:c>
      <x:c r="K34" s="31" t="str">
        <x:v>حفاظ برق و ابزار اتصال پروژکتور غرفه‌ها</x:v>
      </x:c>
      <x:c r="L34" s="8" t="str">
        <x:v>Equipment</x:v>
      </x:c>
      <x:c r="M34" s="8" t="str">
        <x:v>Booths 1404</x:v>
      </x:c>
      <x:c r="N34" s="8" t="str">
        <x:v>Supported</x:v>
      </x:c>
      <x:c r="O34" s="8" t="str">
        <x:v>Message only</x:v>
      </x:c>
      <x:c r="P34" s="8" t="str">
        <x:v>SHAHR-8966</x:v>
      </x:c>
      <x:c r="Q34" s="8" t="str">
        <x:v>message108</x:v>
      </x:c>
      <x:c r="R34" s="8"/>
      <x:c r="S34" s="8"/>
      <x:c r="T34" s="31" t="str">
        <x:v>No receipt image.</x:v>
      </x:c>
      <x:c r="U34" s="31" t="str"/>
      <x:c r="V34" s="31" t="str">
        <x:v>telegram export/messages.html#message108
Anjoman accounting.xlsx#مجموع!D32</x:v>
      </x:c>
      <x:c r="W34" s="13" t="n">
        <x:f>IF(AND(N34="Supported",E34="Receipt",ISNUMBER(H34)),H34,0)</x:f>
        <x:v>0</x:v>
      </x:c>
      <x:c r="X34" s="13" t="n">
        <x:f>IF(AND(N34="Supported",E34="Payment",ISNUMBER(H34)),H34,0)</x:f>
        <x:v>1760000</x:v>
      </x:c>
      <x:c r="Y34" s="13" t="n">
        <x:f>W34-X34</x:f>
        <x:v>-1760000</x:v>
      </x:c>
    </x:row>
    <x:row r="35" ht="36" hidden="0" customHeight="1">
      <x:c r="A35" s="8" t="str">
        <x:v>TX0031</x:v>
      </x:c>
      <x:c r="B35" s="9" t="d">
        <x:v>2025-10-27T00:00:00.000Z</x:v>
      </x:c>
      <x:c r="C35" s="8" t="str">
        <x:v>1404/08/05</x:v>
      </x:c>
      <x:c r="D35" s="8" t="str">
        <x:v>1404/08</x:v>
      </x:c>
      <x:c r="E35" s="8" t="str">
        <x:v>Payment</x:v>
      </x:c>
      <x:c r="F35" s="11" t="n">
        <x:v>2350000</x:v>
      </x:c>
      <x:c r="G35" s="12" t="str">
        <x:v>rial</x:v>
      </x:c>
      <x:c r="H35" s="11" t="n">
        <x:v>235000</x:v>
      </x:c>
      <x:c r="I35" s="8" t="str">
        <x:v>سوپر مارکت شریف پلاس</x:v>
      </x:c>
      <x:c r="J35" s="31" t="str">
        <x:v>Booth refreshments</x:v>
      </x:c>
      <x:c r="K35" s="31" t="str">
        <x:v>پذیرایی غرفه انجمن (دلستر، بیسکوئیت، چیپس، پفک)</x:v>
      </x:c>
      <x:c r="L35" s="8" t="str">
        <x:v>Hospitality</x:v>
      </x:c>
      <x:c r="M35" s="8" t="str">
        <x:v>Booths 1404</x:v>
      </x:c>
      <x:c r="N35" s="8" t="str">
        <x:v>Supported</x:v>
      </x:c>
      <x:c r="O35" s="8" t="str">
        <x:v>Receipt and message</x:v>
      </x:c>
      <x:c r="P35" s="8" t="str">
        <x:v>SHAHR-8966</x:v>
      </x:c>
      <x:c r="Q35" s="8" t="str">
        <x:v>message108, message153</x:v>
      </x:c>
      <x:c r="R35" s="8" t="str">
        <x:v>324745802454-215650602</x:v>
      </x:c>
      <x:c r="S35" s="8"/>
      <x:c r="T35" s="31" t="str"/>
      <x:c r="U35" s="31" t="str">
        <x:v>The receipt shows 2,350,000 rial; message108 and the ledger show 2,300,000 rial (230,000 toman). Corrected by +5,000 toman.</x:v>
      </x:c>
      <x:c r="V35" s="31" t="str">
        <x:v>telegram export/photos/photo_40@27-06-2026_18-31-08.jpg
telegram export/messages.html#message108
Anjoman accounting.xlsx#مجموع!D33</x:v>
      </x:c>
      <x:c r="W35" s="13" t="n">
        <x:f>IF(AND(N35="Supported",E35="Receipt",ISNUMBER(H35)),H35,0)</x:f>
        <x:v>0</x:v>
      </x:c>
      <x:c r="X35" s="13" t="n">
        <x:f>IF(AND(N35="Supported",E35="Payment",ISNUMBER(H35)),H35,0)</x:f>
        <x:v>235000</x:v>
      </x:c>
      <x:c r="Y35" s="13" t="n">
        <x:f>W35-X35</x:f>
        <x:v>-235000</x:v>
      </x:c>
    </x:row>
    <x:row r="36" ht="36" hidden="0" customHeight="1">
      <x:c r="A36" s="8" t="str">
        <x:v>TX0032</x:v>
      </x:c>
      <x:c r="B36" s="9" t="d">
        <x:v>2025-10-28T00:00:00.000Z</x:v>
      </x:c>
      <x:c r="C36" s="8" t="str">
        <x:v>1404/08/06</x:v>
      </x:c>
      <x:c r="D36" s="8" t="str">
        <x:v>1404/08</x:v>
      </x:c>
      <x:c r="E36" s="8" t="str">
        <x:v>Payment</x:v>
      </x:c>
      <x:c r="F36" s="11" t="n">
        <x:v>7250000</x:v>
      </x:c>
      <x:c r="G36" s="12" t="str">
        <x:v>rial</x:v>
      </x:c>
      <x:c r="H36" s="11" t="n">
        <x:v>725000</x:v>
      </x:c>
      <x:c r="I36" s="8" t="str">
        <x:v>نیما کوهی</x:v>
      </x:c>
      <x:c r="J36" s="31" t="str">
        <x:v>Reimbursement for camera battery (Digikala invoices 696,000+29,000)</x:v>
      </x:c>
      <x:c r="K36" s="31" t="str">
        <x:v>بازپرداخت باتری دوربین فیلمبرداری</x:v>
      </x:c>
      <x:c r="L36" s="8" t="str">
        <x:v>Equipment</x:v>
      </x:c>
      <x:c r="M36" s="8" t="str">
        <x:v>Association operations</x:v>
      </x:c>
      <x:c r="N36" s="8" t="str">
        <x:v>Supported</x:v>
      </x:c>
      <x:c r="O36" s="8" t="str">
        <x:v>Receipt and message</x:v>
      </x:c>
      <x:c r="P36" s="8" t="str">
        <x:v>SHAHR-8966</x:v>
      </x:c>
      <x:c r="Q36" s="8" t="str">
        <x:v>message66, message68, message69</x:v>
      </x:c>
      <x:c r="R36" s="8" t="str">
        <x:v>130031981359</x:v>
      </x:c>
      <x:c r="S36" s="8"/>
      <x:c r="T36" s="31" t="str"/>
      <x:c r="U36" s="31" t="str">
        <x:v>messages 68 and 69 are a repeated caption for one payment. The invoice buyer is Matin Ghassami.</x:v>
      </x:c>
      <x:c r="V36" s="31" t="str">
        <x:v>telegram export/photos/photo_19@28-10-2025_01-58-07.jpg
telegram export/files/dk-file-2025-10-16-14-43-08.pdf#page=1
Anjoman accounting.xlsx#مجموع!D25</x:v>
      </x:c>
      <x:c r="W36" s="13" t="n">
        <x:f>IF(AND(N36="Supported",E36="Receipt",ISNUMBER(H36)),H36,0)</x:f>
        <x:v>0</x:v>
      </x:c>
      <x:c r="X36" s="13" t="n">
        <x:f>IF(AND(N36="Supported",E36="Payment",ISNUMBER(H36)),H36,0)</x:f>
        <x:v>725000</x:v>
      </x:c>
      <x:c r="Y36" s="13" t="n">
        <x:f>W36-X36</x:f>
        <x:v>-725000</x:v>
      </x:c>
    </x:row>
    <x:row r="37" ht="36" hidden="0" customHeight="1">
      <x:c r="A37" s="8" t="str">
        <x:v>TX0033</x:v>
      </x:c>
      <x:c r="B37" s="9" t="d">
        <x:v>2025-10-29T00:00:00.000Z</x:v>
      </x:c>
      <x:c r="C37" s="8" t="str">
        <x:v>1404/08/07</x:v>
      </x:c>
      <x:c r="D37" s="8" t="str">
        <x:v>1404/08</x:v>
      </x:c>
      <x:c r="E37" s="8" t="str">
        <x:v>Payment</x:v>
      </x:c>
      <x:c r="F37" s="11" t="n">
        <x:v>14440000</x:v>
      </x:c>
      <x:c r="G37" s="12" t="str">
        <x:v>rial</x:v>
      </x:c>
      <x:c r="H37" s="11" t="n">
        <x:v>1444000</x:v>
      </x:c>
      <x:c r="I37" s="8" t="str">
        <x:v>رفاه دانشجویی</x:v>
      </x:c>
      <x:c r="J37" s="31" t="str">
        <x:v>Freshman party prizes: notebooks and pens</x:v>
      </x:c>
      <x:c r="K37" s="31" t="str">
        <x:v>جوایز جشن ورودی: دفترچه و خودکار</x:v>
      </x:c>
      <x:c r="L37" s="8" t="str">
        <x:v>Events</x:v>
      </x:c>
      <x:c r="M37" s="8" t="str">
        <x:v>Freshman Party 1404</x:v>
      </x:c>
      <x:c r="N37" s="8" t="str">
        <x:v>Supported</x:v>
      </x:c>
      <x:c r="O37" s="8" t="str">
        <x:v>Receipt and message</x:v>
      </x:c>
      <x:c r="P37" s="8" t="str">
        <x:v>SHAHR-8966</x:v>
      </x:c>
      <x:c r="Q37" s="8" t="str">
        <x:v>message107, message146</x:v>
      </x:c>
      <x:c r="R37" s="8" t="str">
        <x:v>224985252062</x:v>
      </x:c>
      <x:c r="S37" s="8"/>
      <x:c r="T37" s="31" t="str"/>
      <x:c r="U37" s="31" t="str">
        <x:v>The handwritten invoice (photo_34, INV005) may relate to this; the match is uncertain.</x:v>
      </x:c>
      <x:c r="V37" s="31" t="str">
        <x:v>telegram export/photos/photo_33@27-06-2026_18-25-49.jpg
telegram export/messages.html#message107
Anjoman accounting.xlsx#مجموع!D28</x:v>
      </x:c>
      <x:c r="W37" s="13" t="n">
        <x:f>IF(AND(N37="Supported",E37="Receipt",ISNUMBER(H37)),H37,0)</x:f>
        <x:v>0</x:v>
      </x:c>
      <x:c r="X37" s="13" t="n">
        <x:f>IF(AND(N37="Supported",E37="Payment",ISNUMBER(H37)),H37,0)</x:f>
        <x:v>1444000</x:v>
      </x:c>
      <x:c r="Y37" s="13" t="n">
        <x:f>W37-X37</x:f>
        <x:v>-1444000</x:v>
      </x:c>
    </x:row>
    <x:row r="38" ht="36" hidden="0" customHeight="1">
      <x:c r="A38" s="8" t="str">
        <x:v>TX0034</x:v>
      </x:c>
      <x:c r="B38" s="9" t="d">
        <x:v>2025-10-29T00:00:00.000Z</x:v>
      </x:c>
      <x:c r="C38" s="8" t="str">
        <x:v>1404/08/07</x:v>
      </x:c>
      <x:c r="D38" s="8" t="str">
        <x:v>1404/08</x:v>
      </x:c>
      <x:c r="E38" s="8" t="str">
        <x:v>Payment</x:v>
      </x:c>
      <x:c r="F38" s="11" t="n">
        <x:v>15000000</x:v>
      </x:c>
      <x:c r="G38" s="12" t="str">
        <x:v>rial</x:v>
      </x:c>
      <x:c r="H38" s="11" t="n">
        <x:v>1500000</x:v>
      </x:c>
      <x:c r="I38" s="8" t="str">
        <x:v>T…Mobile (احمدی)</x:v>
      </x:c>
      <x:c r="J38" s="31" t="str">
        <x:v>Prizes (earphones) and association USB flash drive</x:v>
      </x:c>
      <x:c r="K38" s="31" t="str">
        <x:v>جوایز جشن (هندزفری) و فلش انجمن</x:v>
      </x:c>
      <x:c r="L38" s="8" t="str">
        <x:v>Events</x:v>
      </x:c>
      <x:c r="M38" s="8" t="str">
        <x:v>Freshman Party 1404</x:v>
      </x:c>
      <x:c r="N38" s="8" t="str">
        <x:v>Supported</x:v>
      </x:c>
      <x:c r="O38" s="8" t="str">
        <x:v>Receipt and message</x:v>
      </x:c>
      <x:c r="P38" s="8" t="str">
        <x:v>SHAHR-8966</x:v>
      </x:c>
      <x:c r="Q38" s="8" t="str">
        <x:v>message107, message148</x:v>
      </x:c>
      <x:c r="R38" s="8" t="str">
        <x:v>855815798282</x:v>
      </x:c>
      <x:c r="S38" s="8"/>
      <x:c r="T38" s="31" t="str"/>
      <x:c r="U38" s="31" t="str">
        <x:v>Includes a 500,000 toman flash drive, which is association equipment rather than a prize.</x:v>
      </x:c>
      <x:c r="V38" s="31" t="str">
        <x:v>telegram export/photos/photo_35@27-06-2026_18-26-22.jpg
telegram export/messages.html#message107
Anjoman accounting.xlsx#مجموع!D28</x:v>
      </x:c>
      <x:c r="W38" s="13" t="n">
        <x:f>IF(AND(N38="Supported",E38="Receipt",ISNUMBER(H38)),H38,0)</x:f>
        <x:v>0</x:v>
      </x:c>
      <x:c r="X38" s="13" t="n">
        <x:f>IF(AND(N38="Supported",E38="Payment",ISNUMBER(H38)),H38,0)</x:f>
        <x:v>1500000</x:v>
      </x:c>
      <x:c r="Y38" s="13" t="n">
        <x:f>W38-X38</x:f>
        <x:v>-1500000</x:v>
      </x:c>
    </x:row>
    <x:row r="39" ht="24" hidden="0" customHeight="1">
      <x:c r="A39" s="8" t="str">
        <x:v>TX0035</x:v>
      </x:c>
      <x:c r="B39" s="9" t="d">
        <x:v>2025-10-29T00:00:00.000Z</x:v>
      </x:c>
      <x:c r="C39" s="8" t="str">
        <x:v>1404/08/07</x:v>
      </x:c>
      <x:c r="D39" s="8" t="str">
        <x:v>1404/08</x:v>
      </x:c>
      <x:c r="E39" s="8" t="str">
        <x:v>Payment</x:v>
      </x:c>
      <x:c r="F39" s="11" t="n">
        <x:v>14000000</x:v>
      </x:c>
      <x:c r="G39" s="12" t="str">
        <x:v>rial</x:v>
      </x:c>
      <x:c r="H39" s="11" t="n">
        <x:v>1400000</x:v>
      </x:c>
      <x:c r="I39" s="8" t="str">
        <x:v>Unknown</x:v>
      </x:c>
      <x:c r="J39" s="31" t="str">
        <x:v>Prizes: bracelets and spinners</x:v>
      </x:c>
      <x:c r="K39" s="31" t="str">
        <x:v>جوایز جشن: دستبند و فرفره</x:v>
      </x:c>
      <x:c r="L39" s="8" t="str">
        <x:v>Events</x:v>
      </x:c>
      <x:c r="M39" s="8" t="str">
        <x:v>Freshman Party 1404</x:v>
      </x:c>
      <x:c r="N39" s="8" t="str">
        <x:v>Supported</x:v>
      </x:c>
      <x:c r="O39" s="8" t="str">
        <x:v>Message only</x:v>
      </x:c>
      <x:c r="P39" s="8" t="str">
        <x:v>SHAHR-8966</x:v>
      </x:c>
      <x:c r="Q39" s="8" t="str">
        <x:v>message107</x:v>
      </x:c>
      <x:c r="R39" s="8"/>
      <x:c r="S39" s="8"/>
      <x:c r="T39" s="31" t="str">
        <x:v>No receipt image.</x:v>
      </x:c>
      <x:c r="U39" s="31" t="str">
        <x:v>D28 = 1,444,000+1,500,000+1,400,000.</x:v>
      </x:c>
      <x:c r="V39" s="31" t="str">
        <x:v>telegram export/messages.html#message107
Anjoman accounting.xlsx#مجموع!D28</x:v>
      </x:c>
      <x:c r="W39" s="13" t="n">
        <x:f>IF(AND(N39="Supported",E39="Receipt",ISNUMBER(H39)),H39,0)</x:f>
        <x:v>0</x:v>
      </x:c>
      <x:c r="X39" s="13" t="n">
        <x:f>IF(AND(N39="Supported",E39="Payment",ISNUMBER(H39)),H39,0)</x:f>
        <x:v>1400000</x:v>
      </x:c>
      <x:c r="Y39" s="13" t="n">
        <x:f>W39-X39</x:f>
        <x:v>-1400000</x:v>
      </x:c>
    </x:row>
    <x:row r="40" ht="24" hidden="0" customHeight="1">
      <x:c r="A40" s="8" t="str">
        <x:v>TX0036</x:v>
      </x:c>
      <x:c r="B40" s="9"/>
      <x:c r="C40" s="8"/>
      <x:c r="D40" s="8" t="str">
        <x:v>1404/08</x:v>
      </x:c>
      <x:c r="E40" s="8" t="str">
        <x:v>Unknown</x:v>
      </x:c>
      <x:c r="F40" s="11" t="n">
        <x:v>300000</x:v>
      </x:c>
      <x:c r="G40" s="12" t="str">
        <x:v>toman</x:v>
      </x:c>
      <x:c r="H40" s="11" t="n">
        <x:v>300000</x:v>
      </x:c>
      <x:c r="I40" s="8" t="str">
        <x:v>Cash</x:v>
      </x:c>
      <x:c r="J40" s="31" t="str">
        <x:v>Cash shabash at freshman party</x:v>
      </x:c>
      <x:c r="K40" s="31" t="str">
        <x:v>پول نقد شاباش جشن</x:v>
      </x:c>
      <x:c r="L40" s="8" t="str">
        <x:v>Unclassified</x:v>
      </x:c>
      <x:c r="M40" s="8" t="str">
        <x:v>Freshman Party 1404</x:v>
      </x:c>
      <x:c r="N40" s="8" t="str">
        <x:v>Review</x:v>
      </x:c>
      <x:c r="O40" s="8" t="str">
        <x:v>Message only</x:v>
      </x:c>
      <x:c r="P40" s="8" t="str">
        <x:v>CASH</x:v>
      </x:c>
      <x:c r="Q40" s="8" t="str">
        <x:v>message111</x:v>
      </x:c>
      <x:c r="R40" s="8"/>
      <x:c r="S40" s="8"/>
      <x:c r="T40" s="31" t="str">
        <x:v>It is unclear whether this is cash collected (receipt) or cash given out (payment). The ledger records it as an expense.</x:v>
      </x:c>
      <x:c r="U40" s="31" t="str">
        <x:v>Excluded from supported totals pending confirmation.</x:v>
      </x:c>
      <x:c r="V40" s="31" t="str">
        <x:v>telegram export/messages.html#message111
Anjoman accounting.xlsx#مجموع!D29</x:v>
      </x:c>
      <x:c r="W40" s="13" t="n">
        <x:f>IF(AND(N40="Supported",E40="Receipt",ISNUMBER(H40)),H40,0)</x:f>
        <x:v>0</x:v>
      </x:c>
      <x:c r="X40" s="13" t="n">
        <x:f>IF(AND(N40="Supported",E40="Payment",ISNUMBER(H40)),H40,0)</x:f>
        <x:v>0</x:v>
      </x:c>
      <x:c r="Y40" s="13" t="n">
        <x:f>W40-X40</x:f>
        <x:v>0</x:v>
      </x:c>
    </x:row>
    <x:row r="41" ht="48" hidden="0" customHeight="1">
      <x:c r="A41" s="8" t="str">
        <x:v>TX0037</x:v>
      </x:c>
      <x:c r="B41" s="9" t="d">
        <x:v>2025-11-14T00:00:00.000Z</x:v>
      </x:c>
      <x:c r="C41" s="8" t="str">
        <x:v>1404/08/23</x:v>
      </x:c>
      <x:c r="D41" s="8" t="str">
        <x:v>1404/08</x:v>
      </x:c>
      <x:c r="E41" s="8" t="str">
        <x:v>Payment</x:v>
      </x:c>
      <x:c r="F41" s="11" t="n">
        <x:v>1200000</x:v>
      </x:c>
      <x:c r="G41" s="12" t="str">
        <x:v>rial</x:v>
      </x:c>
      <x:c r="H41" s="11" t="n">
        <x:v>120000</x:v>
      </x:c>
      <x:c r="I41" s="8" t="str">
        <x:v>اردوان شهبازی</x:v>
      </x:c>
      <x:c r="J41" s="31" t="str">
        <x:v>Reimbursement: balloon glue (Shadzi invoice 29449)</x:v>
      </x:c>
      <x:c r="K41" s="31" t="str">
        <x:v>بازپرداخت چسب بادکنک جشن ورودی</x:v>
      </x:c>
      <x:c r="L41" s="8" t="str">
        <x:v>Events</x:v>
      </x:c>
      <x:c r="M41" s="8" t="str">
        <x:v>Freshman Party 1404</x:v>
      </x:c>
      <x:c r="N41" s="8" t="str">
        <x:v>Supported</x:v>
      </x:c>
      <x:c r="O41" s="8" t="str">
        <x:v>Receipt and message</x:v>
      </x:c>
      <x:c r="P41" s="8" t="str">
        <x:v>SHAHR-8966</x:v>
      </x:c>
      <x:c r="Q41" s="8" t="str">
        <x:v>message88, message89, message96, message99, message143</x:v>
      </x:c>
      <x:c r="R41" s="8" t="str">
        <x:v>130065814259</x:v>
      </x:c>
      <x:c r="S41" s="8"/>
      <x:c r="T41" s="31" t="str"/>
      <x:c r="U41" s="31" t="str">
        <x:v>message96: Ardavan spent 120. photo_30 carries a 'Yalda' caption, but the invoice date 1404/08/07 places it in the freshman party.</x:v>
      </x:c>
      <x:c r="V41" s="31" t="str">
        <x:v>telegram export/photos/photo_23@14-11-2025_04-07-19.jpg
telegram export/photos/photo_21@09-11-2025_23-16-09.jpg
telegram export/photos/photo_30@27-06-2026_18-24-31.jpg
Anjoman accounting.xlsx#مجموع!D26</x:v>
      </x:c>
      <x:c r="W41" s="13" t="n">
        <x:f>IF(AND(N41="Supported",E41="Receipt",ISNUMBER(H41)),H41,0)</x:f>
        <x:v>0</x:v>
      </x:c>
      <x:c r="X41" s="13" t="n">
        <x:f>IF(AND(N41="Supported",E41="Payment",ISNUMBER(H41)),H41,0)</x:f>
        <x:v>120000</x:v>
      </x:c>
      <x:c r="Y41" s="13" t="n">
        <x:f>W41-X41</x:f>
        <x:v>-120000</x:v>
      </x:c>
    </x:row>
    <x:row r="42" ht="48" hidden="0" customHeight="1">
      <x:c r="A42" s="8" t="str">
        <x:v>TX0038</x:v>
      </x:c>
      <x:c r="B42" s="9" t="d">
        <x:v>2025-11-14T00:00:00.000Z</x:v>
      </x:c>
      <x:c r="C42" s="8" t="str">
        <x:v>1404/08/23</x:v>
      </x:c>
      <x:c r="D42" s="8" t="str">
        <x:v>1404/08</x:v>
      </x:c>
      <x:c r="E42" s="8" t="str">
        <x:v>Payment</x:v>
      </x:c>
      <x:c r="F42" s="11" t="n">
        <x:v>13100000</x:v>
      </x:c>
      <x:c r="G42" s="12" t="str">
        <x:v>rial</x:v>
      </x:c>
      <x:c r="H42" s="11" t="n">
        <x:v>1310000</x:v>
      </x:c>
      <x:c r="I42" s="8" t="str">
        <x:v>سیده راحله مختاری</x:v>
      </x:c>
      <x:c r="J42" s="31" t="str">
        <x:v>Reimbursement: party decorations (Shadzi invoice 13,100,000 rial)</x:v>
      </x:c>
      <x:c r="K42" s="31" t="str">
        <x:v>بازپرداخت تزئینات جشن ورودی (فاکتور شادزی)</x:v>
      </x:c>
      <x:c r="L42" s="8" t="str">
        <x:v>Events</x:v>
      </x:c>
      <x:c r="M42" s="8" t="str">
        <x:v>Freshman Party 1404</x:v>
      </x:c>
      <x:c r="N42" s="8" t="str">
        <x:v>Supported</x:v>
      </x:c>
      <x:c r="O42" s="8" t="str">
        <x:v>Receipt and message</x:v>
      </x:c>
      <x:c r="P42" s="8" t="str">
        <x:v>SHAHR-8966</x:v>
      </x:c>
      <x:c r="Q42" s="8" t="str">
        <x:v>message95, message97, message98, message100, message142</x:v>
      </x:c>
      <x:c r="R42" s="8" t="str">
        <x:v>130065885759</x:v>
      </x:c>
      <x:c r="S42" s="8"/>
      <x:c r="T42" s="31" t="str"/>
      <x:c r="U42" s="31" t="str">
        <x:v>photo_22 and photo_29 are one invoice; the number is read as 2935 or 29350. photo_29's Yalda caption is a mislabel.</x:v>
      </x:c>
      <x:c r="V42" s="31" t="str">
        <x:v>telegram export/photos/photo_24@14-11-2025_04-07-19.jpg
telegram export/photos/photo_22@09-11-2025_23-16-15.jpg
telegram export/photos/photo_29@27-06-2026_18-24-14.jpg
Anjoman accounting.xlsx#مجموع!D27</x:v>
      </x:c>
      <x:c r="W42" s="13" t="n">
        <x:f>IF(AND(N42="Supported",E42="Receipt",ISNUMBER(H42)),H42,0)</x:f>
        <x:v>0</x:v>
      </x:c>
      <x:c r="X42" s="13" t="n">
        <x:f>IF(AND(N42="Supported",E42="Payment",ISNUMBER(H42)),H42,0)</x:f>
        <x:v>1310000</x:v>
      </x:c>
      <x:c r="Y42" s="13" t="n">
        <x:f>W42-X42</x:f>
        <x:v>-1310000</x:v>
      </x:c>
    </x:row>
    <x:row r="43" ht="24" hidden="0" customHeight="1">
      <x:c r="A43" s="8" t="str">
        <x:v>TX0039</x:v>
      </x:c>
      <x:c r="B43" s="9" t="d">
        <x:v>2025-11-19T00:00:00.000Z</x:v>
      </x:c>
      <x:c r="C43" s="8" t="str">
        <x:v>1404/08/28</x:v>
      </x:c>
      <x:c r="D43" s="8" t="str">
        <x:v>1404/08</x:v>
      </x:c>
      <x:c r="E43" s="8" t="str">
        <x:v>Payment</x:v>
      </x:c>
      <x:c r="F43" s="11" t="n">
        <x:v>12261000</x:v>
      </x:c>
      <x:c r="G43" s="12" t="str">
        <x:v>rial</x:v>
      </x:c>
      <x:c r="H43" s="11" t="n">
        <x:v>1226100</x:v>
      </x:c>
      <x:c r="I43" s="8" t="str">
        <x:v>Unknown pharmacy</x:v>
      </x:c>
      <x:c r="J43" s="31" t="str">
        <x:v>First-aid medicine</x:v>
      </x:c>
      <x:c r="K43" s="31" t="str">
        <x:v>دارو برای کمک‌های اولیه</x:v>
      </x:c>
      <x:c r="L43" s="8" t="str">
        <x:v>Supplies</x:v>
      </x:c>
      <x:c r="M43" s="8" t="str">
        <x:v>Association operations</x:v>
      </x:c>
      <x:c r="N43" s="8" t="str">
        <x:v>Supported</x:v>
      </x:c>
      <x:c r="O43" s="8" t="str">
        <x:v>Message only</x:v>
      </x:c>
      <x:c r="P43" s="8" t="str">
        <x:v>SHAHR-8966</x:v>
      </x:c>
      <x:c r="Q43" s="8" t="str">
        <x:v>message109</x:v>
      </x:c>
      <x:c r="R43" s="8"/>
      <x:c r="S43" s="8"/>
      <x:c r="T43" s="31" t="str">
        <x:v>No receipt image.</x:v>
      </x:c>
      <x:c r="U43" s="31" t="str"/>
      <x:c r="V43" s="31" t="str">
        <x:v>telegram export/messages.html#message109
Anjoman accounting.xlsx#مجموع!D34</x:v>
      </x:c>
      <x:c r="W43" s="13" t="n">
        <x:f>IF(AND(N43="Supported",E43="Receipt",ISNUMBER(H43)),H43,0)</x:f>
        <x:v>0</x:v>
      </x:c>
      <x:c r="X43" s="13" t="n">
        <x:f>IF(AND(N43="Supported",E43="Payment",ISNUMBER(H43)),H43,0)</x:f>
        <x:v>1226100</x:v>
      </x:c>
      <x:c r="Y43" s="13" t="n">
        <x:f>W43-X43</x:f>
        <x:v>-1226100</x:v>
      </x:c>
    </x:row>
    <x:row r="44" ht="24" hidden="0" customHeight="1">
      <x:c r="A44" s="8" t="str">
        <x:v>TX0040</x:v>
      </x:c>
      <x:c r="B44" s="9" t="d">
        <x:v>2025-11-19T00:00:00.000Z</x:v>
      </x:c>
      <x:c r="C44" s="8" t="str">
        <x:v>1404/08/28</x:v>
      </x:c>
      <x:c r="D44" s="8" t="str">
        <x:v>1404/08</x:v>
      </x:c>
      <x:c r="E44" s="8" t="str">
        <x:v>Payment</x:v>
      </x:c>
      <x:c r="F44" s="11" t="n">
        <x:v>23000</x:v>
      </x:c>
      <x:c r="G44" s="12" t="str">
        <x:v>rial</x:v>
      </x:c>
      <x:c r="H44" s="11" t="n">
        <x:v>2300</x:v>
      </x:c>
      <x:c r="I44" s="8" t="str">
        <x:v>Unknown</x:v>
      </x:c>
      <x:c r="J44" s="31" t="str">
        <x:v>Printing room rules</x:v>
      </x:c>
      <x:c r="K44" s="31" t="str">
        <x:v>چاپ قوانین اتاق انجمن</x:v>
      </x:c>
      <x:c r="L44" s="8" t="str">
        <x:v>Printing</x:v>
      </x:c>
      <x:c r="M44" s="8" t="str">
        <x:v>Association operations</x:v>
      </x:c>
      <x:c r="N44" s="8" t="str">
        <x:v>Supported</x:v>
      </x:c>
      <x:c r="O44" s="8" t="str">
        <x:v>Message only</x:v>
      </x:c>
      <x:c r="P44" s="8" t="str">
        <x:v>SHAHR-8966</x:v>
      </x:c>
      <x:c r="Q44" s="8" t="str">
        <x:v>message110</x:v>
      </x:c>
      <x:c r="R44" s="8"/>
      <x:c r="S44" s="8"/>
      <x:c r="T44" s="31" t="str"/>
      <x:c r="U44" s="31" t="str">
        <x:v>Shares a timestamp with TX0041.</x:v>
      </x:c>
      <x:c r="V44" s="31" t="str">
        <x:v>telegram export/messages.html#message110
Anjoman accounting.xlsx#مجموع!D35</x:v>
      </x:c>
      <x:c r="W44" s="13" t="n">
        <x:f>IF(AND(N44="Supported",E44="Receipt",ISNUMBER(H44)),H44,0)</x:f>
        <x:v>0</x:v>
      </x:c>
      <x:c r="X44" s="13" t="n">
        <x:f>IF(AND(N44="Supported",E44="Payment",ISNUMBER(H44)),H44,0)</x:f>
        <x:v>2300</x:v>
      </x:c>
      <x:c r="Y44" s="13" t="n">
        <x:f>W44-X44</x:f>
        <x:v>-2300</x:v>
      </x:c>
    </x:row>
    <x:row r="45" ht="24" hidden="0" customHeight="1">
      <x:c r="A45" s="8" t="str">
        <x:v>TX0041</x:v>
      </x:c>
      <x:c r="B45" s="9" t="d">
        <x:v>2025-11-19T00:00:00.000Z</x:v>
      </x:c>
      <x:c r="C45" s="8" t="str">
        <x:v>1404/08/28</x:v>
      </x:c>
      <x:c r="D45" s="8" t="str">
        <x:v>1404/08</x:v>
      </x:c>
      <x:c r="E45" s="8" t="str">
        <x:v>Payment</x:v>
      </x:c>
      <x:c r="F45" s="11" t="n">
        <x:v>13000</x:v>
      </x:c>
      <x:c r="G45" s="12" t="str">
        <x:v>rial</x:v>
      </x:c>
      <x:c r="H45" s="11" t="n">
        <x:v>1300</x:v>
      </x:c>
      <x:c r="I45" s="8" t="str">
        <x:v>Unknown</x:v>
      </x:c>
      <x:c r="J45" s="31" t="str">
        <x:v>Printing room rules (second line)</x:v>
      </x:c>
      <x:c r="K45" s="31" t="str">
        <x:v>چاپ قوانین اتاق انجمن (دوم)</x:v>
      </x:c>
      <x:c r="L45" s="8" t="str">
        <x:v>Printing</x:v>
      </x:c>
      <x:c r="M45" s="8" t="str">
        <x:v>Association operations</x:v>
      </x:c>
      <x:c r="N45" s="8" t="str">
        <x:v>Supported</x:v>
      </x:c>
      <x:c r="O45" s="8" t="str">
        <x:v>Message only</x:v>
      </x:c>
      <x:c r="P45" s="8" t="str">
        <x:v>SHAHR-8966</x:v>
      </x:c>
      <x:c r="Q45" s="8" t="str">
        <x:v>message110</x:v>
      </x:c>
      <x:c r="R45" s="8"/>
      <x:c r="S45" s="8"/>
      <x:c r="T45" s="31" t="str">
        <x:v>Same timestamp as TX0040, so this may be a split entry.</x:v>
      </x:c>
      <x:c r="U45" s="31" t="str"/>
      <x:c r="V45" s="31" t="str">
        <x:v>telegram export/messages.html#message110
Anjoman accounting.xlsx#مجموع!D36</x:v>
      </x:c>
      <x:c r="W45" s="13" t="n">
        <x:f>IF(AND(N45="Supported",E45="Receipt",ISNUMBER(H45)),H45,0)</x:f>
        <x:v>0</x:v>
      </x:c>
      <x:c r="X45" s="13" t="n">
        <x:f>IF(AND(N45="Supported",E45="Payment",ISNUMBER(H45)),H45,0)</x:f>
        <x:v>1300</x:v>
      </x:c>
      <x:c r="Y45" s="13" t="n">
        <x:f>W45-X45</x:f>
        <x:v>-1300</x:v>
      </x:c>
    </x:row>
    <x:row r="46" ht="24" hidden="0" customHeight="1">
      <x:c r="A46" s="8" t="str">
        <x:v>TX0042</x:v>
      </x:c>
      <x:c r="B46" s="9" t="d">
        <x:v>2025-11-19T00:00:00.000Z</x:v>
      </x:c>
      <x:c r="C46" s="8" t="str">
        <x:v>1404/08/28</x:v>
      </x:c>
      <x:c r="D46" s="8" t="str">
        <x:v>1404/08</x:v>
      </x:c>
      <x:c r="E46" s="8" t="str">
        <x:v>Payment</x:v>
      </x:c>
      <x:c r="F46" s="11" t="n">
        <x:v>130000</x:v>
      </x:c>
      <x:c r="G46" s="12" t="str">
        <x:v>rial</x:v>
      </x:c>
      <x:c r="H46" s="11" t="n">
        <x:v>13000</x:v>
      </x:c>
      <x:c r="I46" s="8" t="str">
        <x:v>کپی آرام گرافیک</x:v>
      </x:c>
      <x:c r="J46" s="31" t="str">
        <x:v>Association poster printing</x:v>
      </x:c>
      <x:c r="K46" s="31" t="str">
        <x:v>چاپ پوستر انجمن</x:v>
      </x:c>
      <x:c r="L46" s="8" t="str">
        <x:v>Printing</x:v>
      </x:c>
      <x:c r="M46" s="8" t="str">
        <x:v>Association operations</x:v>
      </x:c>
      <x:c r="N46" s="8" t="str">
        <x:v>Review</x:v>
      </x:c>
      <x:c r="O46" s="8" t="str">
        <x:v>Receipt and message</x:v>
      </x:c>
      <x:c r="P46" s="8" t="str">
        <x:v>SHAHR-8966</x:v>
      </x:c>
      <x:c r="Q46" s="8" t="str">
        <x:v>message145</x:v>
      </x:c>
      <x:c r="R46" s="8" t="str">
        <x:v>856401535048</x:v>
      </x:c>
      <x:c r="S46" s="8"/>
      <x:c r="T46" s="31" t="str">
        <x:v>Same day as TX0040/41 (12:35 vs 12:55). It may be a separate purchase, or one of the printing lines misread by a factor of 10. Not in the ledger.</x:v>
      </x:c>
      <x:c r="U46" s="31" t="str">
        <x:v>Excluded pending match.</x:v>
      </x:c>
      <x:c r="V46" s="31" t="str">
        <x:v>telegram export/photos/photo_32@27-06-2026_18-24-52.jpg</x:v>
      </x:c>
      <x:c r="W46" s="13" t="n">
        <x:f>IF(AND(N46="Supported",E46="Receipt",ISNUMBER(H46)),H46,0)</x:f>
        <x:v>0</x:v>
      </x:c>
      <x:c r="X46" s="13" t="n">
        <x:f>IF(AND(N46="Supported",E46="Payment",ISNUMBER(H46)),H46,0)</x:f>
        <x:v>0</x:v>
      </x:c>
      <x:c r="Y46" s="13" t="n">
        <x:f>W46-X46</x:f>
        <x:v>0</x:v>
      </x:c>
    </x:row>
    <x:row r="47" ht="36" hidden="0" customHeight="1">
      <x:c r="A47" s="8" t="str">
        <x:v>TX0043</x:v>
      </x:c>
      <x:c r="B47" s="9" t="d">
        <x:v>2025-11-23T00:00:00.000Z</x:v>
      </x:c>
      <x:c r="C47" s="8" t="str">
        <x:v>1404/09/02</x:v>
      </x:c>
      <x:c r="D47" s="8" t="str">
        <x:v>1404/09</x:v>
      </x:c>
      <x:c r="E47" s="8" t="str">
        <x:v>Payment</x:v>
      </x:c>
      <x:c r="F47" s="11" t="n">
        <x:v>10200000</x:v>
      </x:c>
      <x:c r="G47" s="12" t="str">
        <x:v>rial</x:v>
      </x:c>
      <x:c r="H47" s="11" t="n">
        <x:v>1020000</x:v>
      </x:c>
      <x:c r="I47" s="8" t="str">
        <x:v>Merchant terminal 06723260</x:v>
      </x:c>
      <x:c r="J47" s="31" t="str">
        <x:v>Card purchase, purpose unknown</x:v>
      </x:c>
      <x:c r="K47" s="31" t="str">
        <x:v>خرید با کارت انجمن، بابت نامشخص</x:v>
      </x:c>
      <x:c r="L47" s="8" t="str">
        <x:v>Unclassified</x:v>
      </x:c>
      <x:c r="M47" s="8" t="str">
        <x:v>Unassigned</x:v>
      </x:c>
      <x:c r="N47" s="8" t="str">
        <x:v>Supported</x:v>
      </x:c>
      <x:c r="O47" s="8" t="str">
        <x:v>Receipt and user confirmation</x:v>
      </x:c>
      <x:c r="P47" s="8" t="str">
        <x:v>SHAHR-8966</x:v>
      </x:c>
      <x:c r="Q47" s="8" t="str"/>
      <x:c r="R47" s="8" t="str">
        <x:v>406547</x:v>
      </x:c>
      <x:c r="S47" s="8"/>
      <x:c r="T47" s="31" t="str"/>
      <x:c r="U47" s="31" t="str">
        <x:v>Balance after: 121,745,270 rial. User confirms all recipts/ documents represent association expenses. Purpose is retained as unclassified unless specifically identified. Prior project label: Unknown. Project not specifically confirmed; retained as Unassigned.</x:v>
      </x:c>
      <x:c r="V47" s="31" t="str">
        <x:v>recipts/photo_4_2026-10-10_14-07-27.jpg
reports/2026-10-10/user_confirmation_2026-10-10.json</x:v>
      </x:c>
      <x:c r="W47" s="13" t="n">
        <x:f>IF(AND(N47="Supported",E47="Receipt",ISNUMBER(H47)),H47,0)</x:f>
        <x:v>0</x:v>
      </x:c>
      <x:c r="X47" s="13" t="n">
        <x:f>IF(AND(N47="Supported",E47="Payment",ISNUMBER(H47)),H47,0)</x:f>
        <x:v>1020000</x:v>
      </x:c>
      <x:c r="Y47" s="13" t="n">
        <x:f>W47-X47</x:f>
        <x:v>-1020000</x:v>
      </x:c>
    </x:row>
    <x:row r="48" ht="24" hidden="0" customHeight="1">
      <x:c r="A48" s="8" t="str">
        <x:v>TX0044</x:v>
      </x:c>
      <x:c r="B48" s="9"/>
      <x:c r="C48" s="8"/>
      <x:c r="D48" s="8" t="str">
        <x:v>1404/09</x:v>
      </x:c>
      <x:c r="E48" s="8" t="str">
        <x:v>Receipt</x:v>
      </x:c>
      <x:c r="F48" s="11" t="n">
        <x:v>100000000</x:v>
      </x:c>
      <x:c r="G48" s="12" t="str">
        <x:v>rial</x:v>
      </x:c>
      <x:c r="H48" s="11" t="n">
        <x:v>10000000</x:v>
      </x:c>
      <x:c r="I48" s="8" t="str">
        <x:v>سامان مقیمی عراقی</x:v>
      </x:c>
      <x:c r="J48" s="31" t="str">
        <x:v>Moghimi donation for running costs</x:v>
      </x:c>
      <x:c r="K48" s="31" t="str">
        <x:v>واریزی دکتر مقیمی جهت هزینه‌های جاری</x:v>
      </x:c>
      <x:c r="L48" s="8" t="str">
        <x:v>Donations</x:v>
      </x:c>
      <x:c r="M48" s="8" t="str">
        <x:v>Association operations</x:v>
      </x:c>
      <x:c r="N48" s="8" t="str">
        <x:v>Supported</x:v>
      </x:c>
      <x:c r="O48" s="8" t="str">
        <x:v>Receipt and message</x:v>
      </x:c>
      <x:c r="P48" s="8" t="str">
        <x:v>SHAHR-8966</x:v>
      </x:c>
      <x:c r="Q48" s="8" t="str">
        <x:v>message101, message102, message103</x:v>
      </x:c>
      <x:c r="R48" s="8"/>
      <x:c r="S48" s="8"/>
      <x:c r="T48" s="31" t="str">
        <x:v>The receipt crop has no date. The forward header (1404/08/28) conflicts with the ledger month آذر.</x:v>
      </x:c>
      <x:c r="U48" s="31" t="str">
        <x:v>Period is taken from the ledger.</x:v>
      </x:c>
      <x:c r="V48" s="31" t="str">
        <x:v>telegram export/photos/photo_25@19-11-2025_11-46-31.jpg
Anjoman accounting.xlsx#مجموع!B38</x:v>
      </x:c>
      <x:c r="W48" s="13" t="n">
        <x:f>IF(AND(N48="Supported",E48="Receipt",ISNUMBER(H48)),H48,0)</x:f>
        <x:v>10000000</x:v>
      </x:c>
      <x:c r="X48" s="13" t="n">
        <x:f>IF(AND(N48="Supported",E48="Payment",ISNUMBER(H48)),H48,0)</x:f>
        <x:v>0</x:v>
      </x:c>
      <x:c r="Y48" s="13" t="n">
        <x:f>W48-X48</x:f>
        <x:v>10000000</x:v>
      </x:c>
    </x:row>
    <x:row r="49" ht="15" hidden="0" customHeight="1">
      <x:c r="A49" s="8" t="str">
        <x:v>TX0045</x:v>
      </x:c>
      <x:c r="B49" s="9"/>
      <x:c r="C49" s="8"/>
      <x:c r="D49" s="8" t="str">
        <x:v>1404/09</x:v>
      </x:c>
      <x:c r="E49" s="8" t="str">
        <x:v>Receipt</x:v>
      </x:c>
      <x:c r="F49" s="11" t="n">
        <x:v>7000000</x:v>
      </x:c>
      <x:c r="G49" s="12" t="str">
        <x:v>toman</x:v>
      </x:c>
      <x:c r="H49" s="11" t="n">
        <x:v>7000000</x:v>
      </x:c>
      <x:c r="I49" s="8" t="str">
        <x:v>دکتر مقیمی</x:v>
      </x:c>
      <x:c r="J49" s="31" t="str">
        <x:v>Moghimi donation</x:v>
      </x:c>
      <x:c r="K49" s="31" t="str">
        <x:v>واریزی دکتر مقیمی جهت کمک به انجمن</x:v>
      </x:c>
      <x:c r="L49" s="8" t="str">
        <x:v>Donations</x:v>
      </x:c>
      <x:c r="M49" s="8" t="str">
        <x:v>Association operations</x:v>
      </x:c>
      <x:c r="N49" s="8" t="str">
        <x:v>Supported</x:v>
      </x:c>
      <x:c r="O49" s="8" t="str">
        <x:v>Original ledger</x:v>
      </x:c>
      <x:c r="P49" s="8" t="str">
        <x:v>SHAHR-8966</x:v>
      </x:c>
      <x:c r="Q49" s="8" t="str"/>
      <x:c r="R49" s="8"/>
      <x:c r="S49" s="8"/>
      <x:c r="T49" s="31" t="str">
        <x:v>No receipt.</x:v>
      </x:c>
      <x:c r="U49" s="31" t="str">
        <x:v>Ledger-derived.</x:v>
      </x:c>
      <x:c r="V49" s="31" t="str">
        <x:v>Anjoman accounting.xlsx#مجموع!B39</x:v>
      </x:c>
      <x:c r="W49" s="13" t="n">
        <x:f>IF(AND(N49="Supported",E49="Receipt",ISNUMBER(H49)),H49,0)</x:f>
        <x:v>7000000</x:v>
      </x:c>
      <x:c r="X49" s="13" t="n">
        <x:f>IF(AND(N49="Supported",E49="Payment",ISNUMBER(H49)),H49,0)</x:f>
        <x:v>0</x:v>
      </x:c>
      <x:c r="Y49" s="13" t="n">
        <x:f>W49-X49</x:f>
        <x:v>7000000</x:v>
      </x:c>
    </x:row>
    <x:row r="50" ht="24" hidden="0" customHeight="1">
      <x:c r="A50" s="8" t="str">
        <x:v>TX0046</x:v>
      </x:c>
      <x:c r="B50" s="9" t="d">
        <x:v>2025-12-19T00:00:00.000Z</x:v>
      </x:c>
      <x:c r="C50" s="8" t="str">
        <x:v>1404/09/28</x:v>
      </x:c>
      <x:c r="D50" s="8" t="str">
        <x:v>1404/09</x:v>
      </x:c>
      <x:c r="E50" s="8" t="str">
        <x:v>Receipt</x:v>
      </x:c>
      <x:c r="F50" s="11" t="n">
        <x:v>60000000</x:v>
      </x:c>
      <x:c r="G50" s="12" t="str">
        <x:v>rial</x:v>
      </x:c>
      <x:c r="H50" s="11" t="n">
        <x:v>6000000</x:v>
      </x:c>
      <x:c r="I50" s="8" t="str">
        <x:v>سامان مقیمی عراقی</x:v>
      </x:c>
      <x:c r="J50" s="31" t="str">
        <x:v>Moghimi donation</x:v>
      </x:c>
      <x:c r="K50" s="31" t="str">
        <x:v>واریزی دکتر مقیمی</x:v>
      </x:c>
      <x:c r="L50" s="8" t="str">
        <x:v>Donations</x:v>
      </x:c>
      <x:c r="M50" s="8" t="str">
        <x:v>Association operations</x:v>
      </x:c>
      <x:c r="N50" s="8" t="str">
        <x:v>Supported</x:v>
      </x:c>
      <x:c r="O50" s="8" t="str">
        <x:v>Receipt and message</x:v>
      </x:c>
      <x:c r="P50" s="8" t="str">
        <x:v>SHAHR-8966</x:v>
      </x:c>
      <x:c r="Q50" s="8" t="str">
        <x:v>message112, message113</x:v>
      </x:c>
      <x:c r="R50" s="8" t="str">
        <x:v>171502426735</x:v>
      </x:c>
      <x:c r="S50" s="8"/>
      <x:c r="T50" s="31" t="str"/>
      <x:c r="U50" s="31" t="str">
        <x:v>A 2,500 toman fee was charged on the sender side; it is not an association expense. The Yalda link via message114 is weak; the ledger classifies this as a general donation.</x:v>
      </x:c>
      <x:c r="V50" s="31" t="str">
        <x:v>telegram export/photos/photo_26@21-12-2025_05-36-21.jpg
Anjoman accounting.xlsx#مجموع!B40</x:v>
      </x:c>
      <x:c r="W50" s="13" t="n">
        <x:f>IF(AND(N50="Supported",E50="Receipt",ISNUMBER(H50)),H50,0)</x:f>
        <x:v>6000000</x:v>
      </x:c>
      <x:c r="X50" s="13" t="n">
        <x:f>IF(AND(N50="Supported",E50="Payment",ISNUMBER(H50)),H50,0)</x:f>
        <x:v>0</x:v>
      </x:c>
      <x:c r="Y50" s="13" t="n">
        <x:f>W50-X50</x:f>
        <x:v>6000000</x:v>
      </x:c>
    </x:row>
    <x:row r="51" ht="24" hidden="0" customHeight="1">
      <x:c r="A51" s="8" t="str">
        <x:v>TX0047</x:v>
      </x:c>
      <x:c r="B51" s="9"/>
      <x:c r="C51" s="8"/>
      <x:c r="D51" s="8" t="str">
        <x:v>1404/10</x:v>
      </x:c>
      <x:c r="E51" s="8" t="str">
        <x:v>Receipt</x:v>
      </x:c>
      <x:c r="F51" s="11" t="n">
        <x:v>15790000</x:v>
      </x:c>
      <x:c r="G51" s="12" t="str">
        <x:v>toman</x:v>
      </x:c>
      <x:c r="H51" s="11" t="n">
        <x:v>15790000</x:v>
      </x:c>
      <x:c r="I51" s="8" t="str">
        <x:v>Crowd donors</x:v>
      </x:c>
      <x:c r="J51" s="31" t="str">
        <x:v>Yalda donations deposited</x:v>
      </x:c>
      <x:c r="K51" s="31" t="str">
        <x:v>دونیشن جشن یلدا در حساب</x:v>
      </x:c>
      <x:c r="L51" s="8" t="str">
        <x:v>Donations</x:v>
      </x:c>
      <x:c r="M51" s="8" t="str">
        <x:v>Yalda 1404</x:v>
      </x:c>
      <x:c r="N51" s="8" t="str">
        <x:v>Supported</x:v>
      </x:c>
      <x:c r="O51" s="8" t="str">
        <x:v>Original ledger</x:v>
      </x:c>
      <x:c r="P51" s="8" t="str">
        <x:v>SEPAH-2925</x:v>
      </x:c>
      <x:c r="Q51" s="8" t="str">
        <x:v>message114, message115, message116, message121</x:v>
      </x:c>
      <x:c r="R51" s="8"/>
      <x:c r="S51" s="8"/>
      <x:c r="T51" s="31" t="str">
        <x:v>The partial Sepah SMS lines do not sum to this total.</x:v>
      </x:c>
      <x:c r="U51" s="31" t="str">
        <x:v>Treasurer's total (message116, message121). Included on original-ledger/treasurer-statement basis only; no bank deposit corroboration.</x:v>
      </x:c>
      <x:c r="V51" s="31" t="str">
        <x:v>Anjoman accounting.xlsx#مجموع!B42
telegram export/messages.html#message116</x:v>
      </x:c>
      <x:c r="W51" s="13" t="n">
        <x:f>IF(AND(N51="Supported",E51="Receipt",ISNUMBER(H51)),H51,0)</x:f>
        <x:v>15790000</x:v>
      </x:c>
      <x:c r="X51" s="13" t="n">
        <x:f>IF(AND(N51="Supported",E51="Payment",ISNUMBER(H51)),H51,0)</x:f>
        <x:v>0</x:v>
      </x:c>
      <x:c r="Y51" s="13" t="n">
        <x:f>W51-X51</x:f>
        <x:v>15790000</x:v>
      </x:c>
    </x:row>
    <x:row r="52" ht="24" hidden="0" customHeight="1">
      <x:c r="A52" s="8" t="str">
        <x:v>TX0048</x:v>
      </x:c>
      <x:c r="B52" s="9"/>
      <x:c r="C52" s="8"/>
      <x:c r="D52" s="8" t="str">
        <x:v>1404/10</x:v>
      </x:c>
      <x:c r="E52" s="8" t="str">
        <x:v>Receipt</x:v>
      </x:c>
      <x:c r="F52" s="11" t="n">
        <x:v>700000</x:v>
      </x:c>
      <x:c r="G52" s="12" t="str">
        <x:v>toman</x:v>
      </x:c>
      <x:c r="H52" s="11" t="n">
        <x:v>700000</x:v>
      </x:c>
      <x:c r="I52" s="8" t="str">
        <x:v>Cash donors</x:v>
      </x:c>
      <x:c r="J52" s="31" t="str">
        <x:v>Yalda cash donations</x:v>
      </x:c>
      <x:c r="K52" s="31" t="str">
        <x:v>دونیشن نقدی یلدا</x:v>
      </x:c>
      <x:c r="L52" s="8" t="str">
        <x:v>Donations</x:v>
      </x:c>
      <x:c r="M52" s="8" t="str">
        <x:v>Yalda 1404</x:v>
      </x:c>
      <x:c r="N52" s="8" t="str">
        <x:v>Supported</x:v>
      </x:c>
      <x:c r="O52" s="8" t="str">
        <x:v>Original ledger</x:v>
      </x:c>
      <x:c r="P52" s="8" t="str">
        <x:v>CASH</x:v>
      </x:c>
      <x:c r="Q52" s="8" t="str">
        <x:v>message116</x:v>
      </x:c>
      <x:c r="R52" s="8"/>
      <x:c r="S52" s="8"/>
      <x:c r="T52" s="31" t="str">
        <x:v>Physical cash custody not evidenced.</x:v>
      </x:c>
      <x:c r="U52" s="31" t="str"/>
      <x:c r="V52" s="31" t="str">
        <x:v>Anjoman accounting.xlsx#مجموع!B43
telegram export/messages.html#message116</x:v>
      </x:c>
      <x:c r="W52" s="13" t="n">
        <x:f>IF(AND(N52="Supported",E52="Receipt",ISNUMBER(H52)),H52,0)</x:f>
        <x:v>700000</x:v>
      </x:c>
      <x:c r="X52" s="13" t="n">
        <x:f>IF(AND(N52="Supported",E52="Payment",ISNUMBER(H52)),H52,0)</x:f>
        <x:v>0</x:v>
      </x:c>
      <x:c r="Y52" s="13" t="n">
        <x:f>W52-X52</x:f>
        <x:v>700000</x:v>
      </x:c>
    </x:row>
    <x:row r="53" ht="36" hidden="0" customHeight="1">
      <x:c r="A53" s="8" t="str">
        <x:v>TX0049</x:v>
      </x:c>
      <x:c r="B53" s="9"/>
      <x:c r="C53" s="8"/>
      <x:c r="D53" s="8" t="str">
        <x:v>1404/10</x:v>
      </x:c>
      <x:c r="E53" s="8" t="str">
        <x:v>Payment</x:v>
      </x:c>
      <x:c r="F53" s="11" t="n">
        <x:v>100037800</x:v>
      </x:c>
      <x:c r="G53" s="12" t="str">
        <x:v>unknown</x:v>
      </x:c>
      <x:c r="H53" s="11"/>
      <x:c r="I53" s="8" t="str">
        <x:v>Card-to-card payees (unidentified)</x:v>
      </x:c>
      <x:c r="J53" s="31" t="str">
        <x:v>Sepah withdrawal used for card-to-card expense payments</x:v>
      </x:c>
      <x:c r="K53" s="31" t="str">
        <x:v>برداشت سپه برای کارت به کارت هزینه‌ها</x:v>
      </x:c>
      <x:c r="L53" s="8" t="str">
        <x:v>Transfers</x:v>
      </x:c>
      <x:c r="M53" s="8" t="str">
        <x:v>Yalda 1404</x:v>
      </x:c>
      <x:c r="N53" s="8" t="str">
        <x:v>Review</x:v>
      </x:c>
      <x:c r="O53" s="8" t="str">
        <x:v>Message only</x:v>
      </x:c>
      <x:c r="P53" s="8" t="str">
        <x:v>SEPAH-2925</x:v>
      </x:c>
      <x:c r="Q53" s="8" t="str">
        <x:v>message115, message118, message120</x:v>
      </x:c>
      <x:c r="R53" s="8"/>
      <x:c r="S53" s="8"/>
      <x:c r="T53" s="31" t="str">
        <x:v>Explicitly expenses or transfers, not income (message120). Payees unknown. The withdrawal line in message115 carries no unit label, while the deposit lines are labelled rial. May overlap recorded expenses.</x:v>
      </x:c>
      <x:c r="U53" s="31" t="str">
        <x:v>Sepah line dated 10/1 10:29. Excluded from totals.</x:v>
      </x:c>
      <x:c r="V53" s="31" t="str">
        <x:v>telegram export/messages.html#message115</x:v>
      </x:c>
      <x:c r="W53" s="13" t="n">
        <x:f>IF(AND(N53="Supported",E53="Receipt",ISNUMBER(H53)),H53,0)</x:f>
        <x:v>0</x:v>
      </x:c>
      <x:c r="X53" s="13" t="n">
        <x:f>IF(AND(N53="Supported",E53="Payment",ISNUMBER(H53)),H53,0)</x:f>
        <x:v>0</x:v>
      </x:c>
      <x:c r="Y53" s="13" t="n">
        <x:f>W53-X53</x:f>
        <x:v>0</x:v>
      </x:c>
    </x:row>
    <x:row r="54" ht="24" hidden="0" customHeight="1">
      <x:c r="A54" s="8" t="str">
        <x:v>TX0050</x:v>
      </x:c>
      <x:c r="B54" s="9" t="d">
        <x:v>2025-12-29T00:00:00.000Z</x:v>
      </x:c>
      <x:c r="C54" s="8" t="str">
        <x:v>1404/10/08</x:v>
      </x:c>
      <x:c r="D54" s="8" t="str">
        <x:v>1404/10</x:v>
      </x:c>
      <x:c r="E54" s="8" t="str">
        <x:v>Payment</x:v>
      </x:c>
      <x:c r="F54" s="11" t="n">
        <x:v>21370000</x:v>
      </x:c>
      <x:c r="G54" s="12" t="str">
        <x:v>rial</x:v>
      </x:c>
      <x:c r="H54" s="11" t="n">
        <x:v>2137000</x:v>
      </x:c>
      <x:c r="I54" s="8" t="str">
        <x:v>سیدبردیا احمدی‌مروست</x:v>
      </x:c>
      <x:c r="J54" s="31" t="str">
        <x:v>Reimbursement to Bardia for Yalda prizes and catering</x:v>
      </x:c>
      <x:c r="K54" s="31" t="str">
        <x:v>بازپرداخت خریدهای جایزه و پذیرایی یلدا</x:v>
      </x:c>
      <x:c r="L54" s="8" t="str">
        <x:v>Events</x:v>
      </x:c>
      <x:c r="M54" s="8" t="str">
        <x:v>Yalda 1404</x:v>
      </x:c>
      <x:c r="N54" s="8" t="str">
        <x:v>Supported</x:v>
      </x:c>
      <x:c r="O54" s="8" t="str">
        <x:v>Receipt and message</x:v>
      </x:c>
      <x:c r="P54" s="8" t="str">
        <x:v>SHAHR-8966</x:v>
      </x:c>
      <x:c r="Q54" s="8" t="str">
        <x:v>message154, message159</x:v>
      </x:c>
      <x:c r="R54" s="8" t="str">
        <x:v>130060015629</x:v>
      </x:c>
      <x:c r="S54" s="8"/>
      <x:c r="T54" s="31" t="str"/>
      <x:c r="U54" s="31" t="str">
        <x:v>Equals D42. Bardia's claims total 400+250+600+1,162=2,412k; the 275k gap equals the sandwich portion.</x:v>
      </x:c>
      <x:c r="V54" s="31" t="str">
        <x:v>telegram export/photos/photo_45@27-06-2026_18-36-09.jpg
Anjoman accounting.xlsx#مجموع!D42</x:v>
      </x:c>
      <x:c r="W54" s="13" t="n">
        <x:f>IF(AND(N54="Supported",E54="Receipt",ISNUMBER(H54)),H54,0)</x:f>
        <x:v>0</x:v>
      </x:c>
      <x:c r="X54" s="13" t="n">
        <x:f>IF(AND(N54="Supported",E54="Payment",ISNUMBER(H54)),H54,0)</x:f>
        <x:v>2137000</x:v>
      </x:c>
      <x:c r="Y54" s="13" t="n">
        <x:f>W54-X54</x:f>
        <x:v>-2137000</x:v>
      </x:c>
    </x:row>
    <x:row r="55" ht="15" hidden="0" customHeight="1">
      <x:c r="A55" s="8" t="str">
        <x:v>TX0051</x:v>
      </x:c>
      <x:c r="B55" s="9" t="d">
        <x:v>2025-12-29T00:00:00.000Z</x:v>
      </x:c>
      <x:c r="C55" s="8" t="str">
        <x:v>1404/10/08</x:v>
      </x:c>
      <x:c r="D55" s="8" t="str">
        <x:v>1404/10</x:v>
      </x:c>
      <x:c r="E55" s="8" t="str">
        <x:v>Payment</x:v>
      </x:c>
      <x:c r="F55" s="11" t="n">
        <x:v>21370000</x:v>
      </x:c>
      <x:c r="G55" s="12" t="str">
        <x:v>rial</x:v>
      </x:c>
      <x:c r="H55" s="11" t="n">
        <x:v>2137000</x:v>
      </x:c>
      <x:c r="I55" s="8" t="str">
        <x:v>سیدبردیا احمدی‌مروست</x:v>
      </x:c>
      <x:c r="J55" s="31" t="str">
        <x:v>Re-posted copy of TX0050 receipt</x:v>
      </x:c>
      <x:c r="K55" s="31" t="str">
        <x:v>تکرار رسید بازپرداخت بردیا</x:v>
      </x:c>
      <x:c r="L55" s="8" t="str">
        <x:v>Events</x:v>
      </x:c>
      <x:c r="M55" s="8" t="str">
        <x:v>Yalda 1404</x:v>
      </x:c>
      <x:c r="N55" s="8" t="str">
        <x:v>Duplicate</x:v>
      </x:c>
      <x:c r="O55" s="8" t="str">
        <x:v>Receipt only</x:v>
      </x:c>
      <x:c r="P55" s="8" t="str">
        <x:v>SHAHR-8966</x:v>
      </x:c>
      <x:c r="Q55" s="8" t="str">
        <x:v>message165</x:v>
      </x:c>
      <x:c r="R55" s="8" t="str">
        <x:v>130060015629</x:v>
      </x:c>
      <x:c r="S55" s="8" t="str">
        <x:v>TX0050</x:v>
      </x:c>
      <x:c r="T55" s="31" t="str">
        <x:v>Same tracking ID.</x:v>
      </x:c>
      <x:c r="U55" s="31" t="str">
        <x:v>Excluded.</x:v>
      </x:c>
      <x:c r="V55" s="31" t="str">
        <x:v>telegram export/photos/photo_48@27-06-2026_18-43-30.jpg</x:v>
      </x:c>
      <x:c r="W55" s="13" t="n">
        <x:f>IF(AND(N55="Supported",E55="Receipt",ISNUMBER(H55)),H55,0)</x:f>
        <x:v>0</x:v>
      </x:c>
      <x:c r="X55" s="13" t="n">
        <x:f>IF(AND(N55="Supported",E55="Payment",ISNUMBER(H55)),H55,0)</x:f>
        <x:v>0</x:v>
      </x:c>
      <x:c r="Y55" s="13" t="n">
        <x:f>W55-X55</x:f>
        <x:v>0</x:v>
      </x:c>
    </x:row>
    <x:row r="56" ht="24" hidden="0" customHeight="1">
      <x:c r="A56" s="8" t="str">
        <x:v>TX0052</x:v>
      </x:c>
      <x:c r="B56" s="9" t="d">
        <x:v>2025-12-22T00:00:00.000Z</x:v>
      </x:c>
      <x:c r="C56" s="8" t="str">
        <x:v>1404/10/01</x:v>
      </x:c>
      <x:c r="D56" s="8" t="str">
        <x:v>1404/10</x:v>
      </x:c>
      <x:c r="E56" s="8" t="str">
        <x:v>Payment</x:v>
      </x:c>
      <x:c r="F56" s="11" t="n">
        <x:v>4000000</x:v>
      </x:c>
      <x:c r="G56" s="12" t="str">
        <x:v>rial</x:v>
      </x:c>
      <x:c r="H56" s="11" t="n">
        <x:v>400000</x:v>
      </x:c>
      <x:c r="I56" s="8" t="str">
        <x:v>ساناز بهرامی</x:v>
      </x:c>
      <x:c r="J56" s="31" t="str">
        <x:v>Volunteer-paid keyrings and earrings (inferred from message154)</x:v>
      </x:c>
      <x:c r="K56" s="31" t="str">
        <x:v>خرید جاسوییچی و گوشواره انار (پرداخت بردیا)</x:v>
      </x:c>
      <x:c r="L56" s="8" t="str">
        <x:v>Events</x:v>
      </x:c>
      <x:c r="M56" s="8" t="str">
        <x:v>Yalda 1404</x:v>
      </x:c>
      <x:c r="N56" s="8" t="str">
        <x:v>Review</x:v>
      </x:c>
      <x:c r="O56" s="8" t="str">
        <x:v>Receipt and message</x:v>
      </x:c>
      <x:c r="P56" s="8" t="str">
        <x:v>VOLUNTEER</x:v>
      </x:c>
      <x:c r="Q56" s="8" t="str">
        <x:v>message154, message156</x:v>
      </x:c>
      <x:c r="R56" s="8" t="str">
        <x:v>705679</x:v>
      </x:c>
      <x:c r="S56" s="8"/>
      <x:c r="T56" s="31" t="str">
        <x:v>Paid from Bardia's personal account. This is supporting detail for the TX0050 reimbursement, not association cash.</x:v>
      </x:c>
      <x:c r="U56" s="31" t="str">
        <x:v>Purpose inferred from the amount match.</x:v>
      </x:c>
      <x:c r="V56" s="31" t="str">
        <x:v>telegram export/photos/photo_42@27-06-2026_18-36-09.jpg</x:v>
      </x:c>
      <x:c r="W56" s="13" t="n">
        <x:f>IF(AND(N56="Supported",E56="Receipt",ISNUMBER(H56)),H56,0)</x:f>
        <x:v>0</x:v>
      </x:c>
      <x:c r="X56" s="13" t="n">
        <x:f>IF(AND(N56="Supported",E56="Payment",ISNUMBER(H56)),H56,0)</x:f>
        <x:v>0</x:v>
      </x:c>
      <x:c r="Y56" s="13" t="n">
        <x:f>W56-X56</x:f>
        <x:v>0</x:v>
      </x:c>
    </x:row>
    <x:row r="57" ht="15" hidden="0" customHeight="1">
      <x:c r="A57" s="8" t="str">
        <x:v>TX0053</x:v>
      </x:c>
      <x:c r="B57" s="9" t="d">
        <x:v>2025-12-22T00:00:00.000Z</x:v>
      </x:c>
      <x:c r="C57" s="8" t="str">
        <x:v>1404/10/01</x:v>
      </x:c>
      <x:c r="D57" s="8" t="str">
        <x:v>1404/10</x:v>
      </x:c>
      <x:c r="E57" s="8" t="str">
        <x:v>Payment</x:v>
      </x:c>
      <x:c r="F57" s="11" t="n">
        <x:v>2500000</x:v>
      </x:c>
      <x:c r="G57" s="12" t="str">
        <x:v>rial</x:v>
      </x:c>
      <x:c r="H57" s="11" t="n">
        <x:v>250000</x:v>
      </x:c>
      <x:c r="I57" s="8" t="str">
        <x:v>پروین حقوردی</x:v>
      </x:c>
      <x:c r="J57" s="31" t="str">
        <x:v>Volunteer-paid plush keyrings (inferred)</x:v>
      </x:c>
      <x:c r="K57" s="31" t="str">
        <x:v>جاسوییچی عروسکی (پرداخت بردیا)</x:v>
      </x:c>
      <x:c r="L57" s="8" t="str">
        <x:v>Events</x:v>
      </x:c>
      <x:c r="M57" s="8" t="str">
        <x:v>Yalda 1404</x:v>
      </x:c>
      <x:c r="N57" s="8" t="str">
        <x:v>Review</x:v>
      </x:c>
      <x:c r="O57" s="8" t="str">
        <x:v>Receipt and message</x:v>
      </x:c>
      <x:c r="P57" s="8" t="str">
        <x:v>VOLUNTEER</x:v>
      </x:c>
      <x:c r="Q57" s="8" t="str">
        <x:v>message154, message155</x:v>
      </x:c>
      <x:c r="R57" s="8" t="str">
        <x:v>269183</x:v>
      </x:c>
      <x:c r="S57" s="8"/>
      <x:c r="T57" s="31" t="str">
        <x:v>Volunteer-funded; supports TX0050.</x:v>
      </x:c>
      <x:c r="U57" s="31" t="str"/>
      <x:c r="V57" s="31" t="str">
        <x:v>telegram export/photos/photo_41@27-06-2026_18-36-09.jpg</x:v>
      </x:c>
      <x:c r="W57" s="13" t="n">
        <x:f>IF(AND(N57="Supported",E57="Receipt",ISNUMBER(H57)),H57,0)</x:f>
        <x:v>0</x:v>
      </x:c>
      <x:c r="X57" s="13" t="n">
        <x:f>IF(AND(N57="Supported",E57="Payment",ISNUMBER(H57)),H57,0)</x:f>
        <x:v>0</x:v>
      </x:c>
      <x:c r="Y57" s="13" t="n">
        <x:f>W57-X57</x:f>
        <x:v>0</x:v>
      </x:c>
    </x:row>
    <x:row r="58" ht="15" hidden="0" customHeight="1">
      <x:c r="A58" s="8" t="str">
        <x:v>TX0054</x:v>
      </x:c>
      <x:c r="B58" s="9" t="d">
        <x:v>2025-12-22T00:00:00.000Z</x:v>
      </x:c>
      <x:c r="C58" s="8" t="str">
        <x:v>1404/10/01</x:v>
      </x:c>
      <x:c r="D58" s="8" t="str">
        <x:v>1404/10</x:v>
      </x:c>
      <x:c r="E58" s="8" t="str">
        <x:v>Payment</x:v>
      </x:c>
      <x:c r="F58" s="11" t="n">
        <x:v>6000000</x:v>
      </x:c>
      <x:c r="G58" s="12" t="str">
        <x:v>rial</x:v>
      </x:c>
      <x:c r="H58" s="11" t="n">
        <x:v>600000</x:v>
      </x:c>
      <x:c r="I58" s="8" t="str">
        <x:v>POS Pasargad 00778147</x:v>
      </x:c>
      <x:c r="J58" s="31" t="str">
        <x:v>Volunteer POS purchase; inferred small watermelons and pomegranates</x:v>
      </x:c>
      <x:c r="K58" s="31" t="str">
        <x:v>هندوانه و انار ریز (پرداخت بردیا، استنباطی)</x:v>
      </x:c>
      <x:c r="L58" s="8" t="str">
        <x:v>Events</x:v>
      </x:c>
      <x:c r="M58" s="8" t="str">
        <x:v>Yalda 1404</x:v>
      </x:c>
      <x:c r="N58" s="8" t="str">
        <x:v>Review</x:v>
      </x:c>
      <x:c r="O58" s="8" t="str">
        <x:v>Receipt and message</x:v>
      </x:c>
      <x:c r="P58" s="8" t="str">
        <x:v>VOLUNTEER</x:v>
      </x:c>
      <x:c r="Q58" s="8" t="str">
        <x:v>message157</x:v>
      </x:c>
      <x:c r="R58" s="8" t="str">
        <x:v>14000623</x:v>
      </x:c>
      <x:c r="S58" s="8"/>
      <x:c r="T58" s="31" t="str">
        <x:v>Bardia said he lacked the 600 receipt, so the mapping is ambiguous. Supports TX0050.</x:v>
      </x:c>
      <x:c r="U58" s="31" t="str"/>
      <x:c r="V58" s="31" t="str">
        <x:v>telegram export/photos/photo_43@27-06-2026_18-36-09.jpg</x:v>
      </x:c>
      <x:c r="W58" s="13" t="n">
        <x:f>IF(AND(N58="Supported",E58="Receipt",ISNUMBER(H58)),H58,0)</x:f>
        <x:v>0</x:v>
      </x:c>
      <x:c r="X58" s="13" t="n">
        <x:f>IF(AND(N58="Supported",E58="Payment",ISNUMBER(H58)),H58,0)</x:f>
        <x:v>0</x:v>
      </x:c>
      <x:c r="Y58" s="13" t="n">
        <x:f>W58-X58</x:f>
        <x:v>0</x:v>
      </x:c>
    </x:row>
    <x:row r="59" ht="15" hidden="0" customHeight="1">
      <x:c r="A59" s="8" t="str">
        <x:v>TX0055</x:v>
      </x:c>
      <x:c r="B59" s="9" t="d">
        <x:v>2025-12-23T00:00:00.000Z</x:v>
      </x:c>
      <x:c r="C59" s="8" t="str">
        <x:v>1404/10/02</x:v>
      </x:c>
      <x:c r="D59" s="8" t="str">
        <x:v>1404/10</x:v>
      </x:c>
      <x:c r="E59" s="8" t="str">
        <x:v>Payment</x:v>
      </x:c>
      <x:c r="F59" s="11" t="n">
        <x:v>11625840</x:v>
      </x:c>
      <x:c r="G59" s="12" t="str">
        <x:v>rial</x:v>
      </x:c>
      <x:c r="H59" s="11" t="n">
        <x:v>1162584</x:v>
      </x:c>
      <x:c r="I59" s="8" t="str">
        <x:v>POS Novin Arian 11304219</x:v>
      </x:c>
      <x:c r="J59" s="31" t="str">
        <x:v>Volunteer purchase: sandwiches 275 + jelly 887 (thousand toman)</x:v>
      </x:c>
      <x:c r="K59" s="31" t="str">
        <x:v>ساندویچ و ژله فرمند (فاکتور ۱۱۶۲، پرداخت بردیا)</x:v>
      </x:c>
      <x:c r="L59" s="8" t="str">
        <x:v>Events</x:v>
      </x:c>
      <x:c r="M59" s="8" t="str">
        <x:v>Yalda 1404</x:v>
      </x:c>
      <x:c r="N59" s="8" t="str">
        <x:v>Review</x:v>
      </x:c>
      <x:c r="O59" s="8" t="str">
        <x:v>Receipt and message</x:v>
      </x:c>
      <x:c r="P59" s="8" t="str">
        <x:v>VOLUNTEER</x:v>
      </x:c>
      <x:c r="Q59" s="8" t="str">
        <x:v>message154, message158, message164</x:v>
      </x:c>
      <x:c r="R59" s="8" t="str">
        <x:v>14482839</x:v>
      </x:c>
      <x:c r="S59" s="8"/>
      <x:c r="T59" s="31" t="str">
        <x:v>Invoice lost. Volunteer-funded; supports TX0050.</x:v>
      </x:c>
      <x:c r="U59" s="31" t="str"/>
      <x:c r="V59" s="31" t="str">
        <x:v>telegram export/photos/photo_44@27-06-2026_18-36-09.jpg</x:v>
      </x:c>
      <x:c r="W59" s="13" t="n">
        <x:f>IF(AND(N59="Supported",E59="Receipt",ISNUMBER(H59)),H59,0)</x:f>
        <x:v>0</x:v>
      </x:c>
      <x:c r="X59" s="13" t="n">
        <x:f>IF(AND(N59="Supported",E59="Payment",ISNUMBER(H59)),H59,0)</x:f>
        <x:v>0</x:v>
      </x:c>
      <x:c r="Y59" s="13" t="n">
        <x:f>W59-X59</x:f>
        <x:v>0</x:v>
      </x:c>
    </x:row>
    <x:row r="60" ht="24" hidden="0" customHeight="1">
      <x:c r="A60" s="8" t="str">
        <x:v>TX0056</x:v>
      </x:c>
      <x:c r="B60" s="9" t="d">
        <x:v>2025-12-22T00:00:00.000Z</x:v>
      </x:c>
      <x:c r="C60" s="8" t="str">
        <x:v>1404/10/01</x:v>
      </x:c>
      <x:c r="D60" s="8" t="str">
        <x:v>1404/10</x:v>
      </x:c>
      <x:c r="E60" s="8" t="str">
        <x:v>Payment</x:v>
      </x:c>
      <x:c r="F60" s="11" t="n">
        <x:v>21500000</x:v>
      </x:c>
      <x:c r="G60" s="12" t="str">
        <x:v>rial</x:v>
      </x:c>
      <x:c r="H60" s="11" t="n">
        <x:v>2150000</x:v>
      </x:c>
      <x:c r="I60" s="8" t="str">
        <x:v>Canbo Tarasht 1633</x:v>
      </x:c>
      <x:c r="J60" s="31" t="str">
        <x:v>Jelly powder and cherry syrup bought by Hossein</x:v>
      </x:c>
      <x:c r="K60" s="31" t="str">
        <x:v>پودر ژله طالبی ۳۲ و شربت آلبالو ۲ (پرداخت حسین)</x:v>
      </x:c>
      <x:c r="L60" s="8" t="str">
        <x:v>Events</x:v>
      </x:c>
      <x:c r="M60" s="8" t="str">
        <x:v>Yalda 1404</x:v>
      </x:c>
      <x:c r="N60" s="8" t="str">
        <x:v>Review</x:v>
      </x:c>
      <x:c r="O60" s="8" t="str">
        <x:v>Receipt and message</x:v>
      </x:c>
      <x:c r="P60" s="8" t="str">
        <x:v>VOLUNTEER</x:v>
      </x:c>
      <x:c r="Q60" s="8" t="str">
        <x:v>message161, message164</x:v>
      </x:c>
      <x:c r="R60" s="8"/>
      <x:c r="S60" s="8"/>
      <x:c r="T60" s="31" t="str">
        <x:v>Payer appears to be Hossein. No reimbursement to Hossein is evidenced, so this may be an unrecorded payable or unrecorded payment.</x:v>
      </x:c>
      <x:c r="U60" s="31" t="str">
        <x:v>VAT 1,954,545 rial.</x:v>
      </x:c>
      <x:c r="V60" s="31" t="str">
        <x:v>telegram export/photos/photo_46@27-06-2026_18-38-52.jpg</x:v>
      </x:c>
      <x:c r="W60" s="13" t="n">
        <x:f>IF(AND(N60="Supported",E60="Receipt",ISNUMBER(H60)),H60,0)</x:f>
        <x:v>0</x:v>
      </x:c>
      <x:c r="X60" s="13" t="n">
        <x:f>IF(AND(N60="Supported",E60="Payment",ISNUMBER(H60)),H60,0)</x:f>
        <x:v>0</x:v>
      </x:c>
      <x:c r="Y60" s="13" t="n">
        <x:f>W60-X60</x:f>
        <x:v>0</x:v>
      </x:c>
    </x:row>
    <x:row r="61" ht="15" hidden="0" customHeight="1">
      <x:c r="A61" s="8" t="str">
        <x:v>TX0057</x:v>
      </x:c>
      <x:c r="B61" s="9" t="d">
        <x:v>2025-12-22T00:00:00.000Z</x:v>
      </x:c>
      <x:c r="C61" s="8" t="str">
        <x:v>1404/10/01</x:v>
      </x:c>
      <x:c r="D61" s="8" t="str">
        <x:v>1404/10</x:v>
      </x:c>
      <x:c r="E61" s="8" t="str">
        <x:v>Payment</x:v>
      </x:c>
      <x:c r="F61" s="11" t="n">
        <x:v>21500000</x:v>
      </x:c>
      <x:c r="G61" s="12" t="str">
        <x:v>rial</x:v>
      </x:c>
      <x:c r="H61" s="11" t="n">
        <x:v>2150000</x:v>
      </x:c>
      <x:c r="I61" s="8" t="str">
        <x:v>Canbo Tarasht 1633</x:v>
      </x:c>
      <x:c r="J61" s="31" t="str">
        <x:v>Duplicate image of TX0056 receipt</x:v>
      </x:c>
      <x:c r="K61" s="31" t="str">
        <x:v>تکرار تصویر رسید جانبو</x:v>
      </x:c>
      <x:c r="L61" s="8" t="str">
        <x:v>Events</x:v>
      </x:c>
      <x:c r="M61" s="8" t="str">
        <x:v>Yalda 1404</x:v>
      </x:c>
      <x:c r="N61" s="8" t="str">
        <x:v>Duplicate</x:v>
      </x:c>
      <x:c r="O61" s="8" t="str">
        <x:v>Receipt only</x:v>
      </x:c>
      <x:c r="P61" s="8" t="str">
        <x:v>VOLUNTEER</x:v>
      </x:c>
      <x:c r="Q61" s="8" t="str">
        <x:v>message164</x:v>
      </x:c>
      <x:c r="R61" s="8"/>
      <x:c r="S61" s="8" t="str">
        <x:v>TX0056</x:v>
      </x:c>
      <x:c r="T61" s="31" t="str">
        <x:v>Same barcode 99T0S85F5ZMDN8E.</x:v>
      </x:c>
      <x:c r="U61" s="31" t="str">
        <x:v>Excluded.</x:v>
      </x:c>
      <x:c r="V61" s="31" t="str">
        <x:v>telegram export/photos/photo_47@27-06-2026_18-43-30.jpg</x:v>
      </x:c>
      <x:c r="W61" s="13" t="n">
        <x:f>IF(AND(N61="Supported",E61="Receipt",ISNUMBER(H61)),H61,0)</x:f>
        <x:v>0</x:v>
      </x:c>
      <x:c r="X61" s="13" t="n">
        <x:f>IF(AND(N61="Supported",E61="Payment",ISNUMBER(H61)),H61,0)</x:f>
        <x:v>0</x:v>
      </x:c>
      <x:c r="Y61" s="13" t="n">
        <x:f>W61-X61</x:f>
        <x:v>0</x:v>
      </x:c>
    </x:row>
    <x:row r="62" ht="15" hidden="0" customHeight="1">
      <x:c r="A62" s="8" t="str">
        <x:v>TX0058</x:v>
      </x:c>
      <x:c r="B62" s="9"/>
      <x:c r="C62" s="8"/>
      <x:c r="D62" s="8" t="str">
        <x:v>1404/10</x:v>
      </x:c>
      <x:c r="E62" s="8" t="str">
        <x:v>Payment</x:v>
      </x:c>
      <x:c r="F62" s="11" t="n">
        <x:v>275</x:v>
      </x:c>
      <x:c r="G62" s="12" t="str">
        <x:v>unknown</x:v>
      </x:c>
      <x:c r="H62" s="11"/>
      <x:c r="I62" s="8" t="str">
        <x:v>حسین</x:v>
      </x:c>
      <x:c r="J62" s="31" t="str">
        <x:v>Unreceipted volunteer spend: paper/markers and sweets</x:v>
      </x:c>
      <x:c r="K62" s="31" t="str">
        <x:v>کاغذ و ماژیک ۱۶۵ + شیرینی ۶۰ و ۵۰ (بدون رسید)</x:v>
      </x:c>
      <x:c r="L62" s="8" t="str">
        <x:v>Events</x:v>
      </x:c>
      <x:c r="M62" s="8" t="str">
        <x:v>Yalda 1404</x:v>
      </x:c>
      <x:c r="N62" s="8" t="str">
        <x:v>Review</x:v>
      </x:c>
      <x:c r="O62" s="8" t="str">
        <x:v>Message only</x:v>
      </x:c>
      <x:c r="P62" s="8" t="str">
        <x:v>VOLUNTEER</x:v>
      </x:c>
      <x:c r="Q62" s="8" t="str">
        <x:v>message162, message163, message164</x:v>
      </x:c>
      <x:c r="R62" s="8"/>
      <x:c r="S62" s="8"/>
      <x:c r="T62" s="31" t="str">
        <x:v>No receipt and no unit (likely thousand toman). Reimbursement status unknown.</x:v>
      </x:c>
      <x:c r="U62" s="31" t="str"/>
      <x:c r="V62" s="31" t="str">
        <x:v>telegram export/messages.html#message162</x:v>
      </x:c>
      <x:c r="W62" s="13" t="n">
        <x:f>IF(AND(N62="Supported",E62="Receipt",ISNUMBER(H62)),H62,0)</x:f>
        <x:v>0</x:v>
      </x:c>
      <x:c r="X62" s="13" t="n">
        <x:f>IF(AND(N62="Supported",E62="Payment",ISNUMBER(H62)),H62,0)</x:f>
        <x:v>0</x:v>
      </x:c>
      <x:c r="Y62" s="13" t="n">
        <x:f>W62-X62</x:f>
        <x:v>0</x:v>
      </x:c>
    </x:row>
    <x:row r="63" ht="15" hidden="0" customHeight="1">
      <x:c r="A63" s="8" t="str">
        <x:v>TX0059</x:v>
      </x:c>
      <x:c r="B63" s="9" t="d">
        <x:v>2025-12-30T00:00:00.000Z</x:v>
      </x:c>
      <x:c r="C63" s="8" t="str">
        <x:v>1404/10/09</x:v>
      </x:c>
      <x:c r="D63" s="8" t="str">
        <x:v>1404/10</x:v>
      </x:c>
      <x:c r="E63" s="8" t="str">
        <x:v>Payment</x:v>
      </x:c>
      <x:c r="F63" s="11" t="n">
        <x:v>1800000</x:v>
      </x:c>
      <x:c r="G63" s="12" t="str">
        <x:v>rial</x:v>
      </x:c>
      <x:c r="H63" s="11" t="n">
        <x:v>180000</x:v>
      </x:c>
      <x:c r="I63" s="8" t="str">
        <x:v>دینا زالی</x:v>
      </x:c>
      <x:c r="J63" s="31" t="str">
        <x:v>Thread for Yalda fortune packaging</x:v>
      </x:c>
      <x:c r="K63" s="31" t="str">
        <x:v>نخ بسته‌بندی فال یلدا</x:v>
      </x:c>
      <x:c r="L63" s="8" t="str">
        <x:v>Events</x:v>
      </x:c>
      <x:c r="M63" s="8" t="str">
        <x:v>Yalda 1404</x:v>
      </x:c>
      <x:c r="N63" s="8" t="str">
        <x:v>Supported</x:v>
      </x:c>
      <x:c r="O63" s="8" t="str">
        <x:v>Receipt and message</x:v>
      </x:c>
      <x:c r="P63" s="8" t="str">
        <x:v>SHAHR-8966</x:v>
      </x:c>
      <x:c r="Q63" s="8" t="str">
        <x:v>message152</x:v>
      </x:c>
      <x:c r="R63" s="8" t="str">
        <x:v>130062165421</x:v>
      </x:c>
      <x:c r="S63" s="8"/>
      <x:c r="T63" s="31" t="str"/>
      <x:c r="U63" s="31" t="str">
        <x:v>Not in the original ledger.</x:v>
      </x:c>
      <x:c r="V63" s="31" t="str">
        <x:v>telegram export/photos/photo_39@27-06-2026_18-29-10.jpg</x:v>
      </x:c>
      <x:c r="W63" s="13" t="n">
        <x:f>IF(AND(N63="Supported",E63="Receipt",ISNUMBER(H63)),H63,0)</x:f>
        <x:v>0</x:v>
      </x:c>
      <x:c r="X63" s="13" t="n">
        <x:f>IF(AND(N63="Supported",E63="Payment",ISNUMBER(H63)),H63,0)</x:f>
        <x:v>180000</x:v>
      </x:c>
      <x:c r="Y63" s="13" t="n">
        <x:f>W63-X63</x:f>
        <x:v>-180000</x:v>
      </x:c>
    </x:row>
    <x:row r="64" ht="15" hidden="0" customHeight="1">
      <x:c r="A64" s="8" t="str">
        <x:v>TX0060</x:v>
      </x:c>
      <x:c r="B64" s="9"/>
      <x:c r="C64" s="8"/>
      <x:c r="D64" s="8" t="str">
        <x:v>Undated</x:v>
      </x:c>
      <x:c r="E64" s="8" t="str">
        <x:v>Payment</x:v>
      </x:c>
      <x:c r="F64" s="11" t="n">
        <x:v>1664700</x:v>
      </x:c>
      <x:c r="G64" s="12" t="str">
        <x:v>toman</x:v>
      </x:c>
      <x:c r="H64" s="11" t="n">
        <x:v>1664700</x:v>
      </x:c>
      <x:c r="I64" s="8" t="str">
        <x:v>Unknown online grocer</x:v>
      </x:c>
      <x:c r="J64" s="31" t="str">
        <x:v>Pomegranates invoice for Yalda</x:v>
      </x:c>
      <x:c r="K64" s="31" t="str">
        <x:v>فاکتور ۷ بسته انار پذیرایی یلدا</x:v>
      </x:c>
      <x:c r="L64" s="8" t="str">
        <x:v>Hospitality</x:v>
      </x:c>
      <x:c r="M64" s="8" t="str">
        <x:v>Yalda 1404</x:v>
      </x:c>
      <x:c r="N64" s="8" t="str">
        <x:v>Invoice only</x:v>
      </x:c>
      <x:c r="O64" s="8" t="str">
        <x:v>Invoice</x:v>
      </x:c>
      <x:c r="P64" s="8" t="str">
        <x:v>UNKNOWN</x:v>
      </x:c>
      <x:c r="Q64" s="8" t="str">
        <x:v>message151</x:v>
      </x:c>
      <x:c r="R64" s="8"/>
      <x:c r="S64" s="8"/>
      <x:c r="T64" s="31" t="str">
        <x:v>No date or payment evidence.</x:v>
      </x:c>
      <x:c r="U64" s="31" t="str"/>
      <x:c r="V64" s="31" t="str">
        <x:v>telegram export/photos/photo_38@27-06-2026_18-27-25.jpg</x:v>
      </x:c>
      <x:c r="W64" s="13" t="n">
        <x:f>IF(AND(N64="Supported",E64="Receipt",ISNUMBER(H64)),H64,0)</x:f>
        <x:v>0</x:v>
      </x:c>
      <x:c r="X64" s="13" t="n">
        <x:f>IF(AND(N64="Supported",E64="Payment",ISNUMBER(H64)),H64,0)</x:f>
        <x:v>0</x:v>
      </x:c>
      <x:c r="Y64" s="13" t="n">
        <x:f>W64-X64</x:f>
        <x:v>0</x:v>
      </x:c>
    </x:row>
    <x:row r="65" ht="36" hidden="0" customHeight="1">
      <x:c r="A65" s="8" t="str">
        <x:v>TX0061</x:v>
      </x:c>
      <x:c r="B65" s="9" t="d">
        <x:v>2026-02-28T00:00:00.000Z</x:v>
      </x:c>
      <x:c r="C65" s="8" t="str">
        <x:v>1404/12/09</x:v>
      </x:c>
      <x:c r="D65" s="8" t="str">
        <x:v>1404/12</x:v>
      </x:c>
      <x:c r="E65" s="8" t="str">
        <x:v>Payment</x:v>
      </x:c>
      <x:c r="F65" s="11" t="n">
        <x:v>18012200</x:v>
      </x:c>
      <x:c r="G65" s="12" t="str">
        <x:v>rial</x:v>
      </x:c>
      <x:c r="H65" s="11" t="n">
        <x:v>1801220</x:v>
      </x:c>
      <x:c r="I65" s="8" t="str">
        <x:v>Card 6221061239419676 (owner unknown)</x:v>
      </x:c>
      <x:c r="J65" s="31" t="str">
        <x:v>Association payment, purpose and payee allocation pending</x:v>
      </x:c>
      <x:c r="K65" s="31" t="str">
        <x:v>انتقال از کارت انجمن، بابت نامشخص</x:v>
      </x:c>
      <x:c r="L65" s="8" t="str">
        <x:v>Unclassified</x:v>
      </x:c>
      <x:c r="M65" s="8" t="str">
        <x:v>Unassigned</x:v>
      </x:c>
      <x:c r="N65" s="8" t="str">
        <x:v>Supported</x:v>
      </x:c>
      <x:c r="O65" s="8" t="str">
        <x:v>Receipt and user confirmation</x:v>
      </x:c>
      <x:c r="P65" s="8" t="str">
        <x:v>SHAHR-8966</x:v>
      </x:c>
      <x:c r="Q65" s="8" t="str"/>
      <x:c r="R65" s="8"/>
      <x:c r="S65" s="8"/>
      <x:c r="T65" s="31" t="str"/>
      <x:c r="U65" s="31" t="str">
        <x:v>Balance after: 12,262,895 rial. User confirms all recipts/ documents represent association expenses. Purpose is retained as unclassified unless specifically identified. Prior project label: Unknown. Project not specifically confirmed; retained as Unassigned.</x:v>
      </x:c>
      <x:c r="V65" s="31" t="str">
        <x:v>recipts/photo_6_2026-10-10_14-07-27.jpg
reports/2026-10-10/user_confirmation_2026-10-10.json</x:v>
      </x:c>
      <x:c r="W65" s="13" t="n">
        <x:f>IF(AND(N65="Supported",E65="Receipt",ISNUMBER(H65)),H65,0)</x:f>
        <x:v>0</x:v>
      </x:c>
      <x:c r="X65" s="13" t="n">
        <x:f>IF(AND(N65="Supported",E65="Payment",ISNUMBER(H65)),H65,0)</x:f>
        <x:v>1801220</x:v>
      </x:c>
      <x:c r="Y65" s="13" t="n">
        <x:f>W65-X65</x:f>
        <x:v>-1801220</x:v>
      </x:c>
    </x:row>
    <x:row r="66" ht="15" hidden="0" customHeight="1">
      <x:c r="A66" s="8" t="str">
        <x:v>TX0062</x:v>
      </x:c>
      <x:c r="B66" s="9" t="d">
        <x:v>2026-05-14T00:00:00.000Z</x:v>
      </x:c>
      <x:c r="C66" s="8" t="str">
        <x:v>1405/02/24</x:v>
      </x:c>
      <x:c r="D66" s="8" t="str">
        <x:v>1405/02</x:v>
      </x:c>
      <x:c r="E66" s="8" t="str">
        <x:v>Payment</x:v>
      </x:c>
      <x:c r="F66" s="11" t="n">
        <x:v>15500000</x:v>
      </x:c>
      <x:c r="G66" s="12" t="str">
        <x:v>rial</x:v>
      </x:c>
      <x:c r="H66" s="11" t="n">
        <x:v>1550000</x:v>
      </x:c>
      <x:c r="I66" s="8" t="str">
        <x:v>پرنیان عسگری</x:v>
      </x:c>
      <x:c r="J66" s="31" t="str">
        <x:v>Yalda reimbursement installment 1</x:v>
      </x:c>
      <x:c r="K66" s="31" t="str">
        <x:v>تسویه ۱.۵ از ۴.۰۵ هزینه جشن یلدا</x:v>
      </x:c>
      <x:c r="L66" s="8" t="str">
        <x:v>Events</x:v>
      </x:c>
      <x:c r="M66" s="8" t="str">
        <x:v>Yalda 1404</x:v>
      </x:c>
      <x:c r="N66" s="8" t="str">
        <x:v>Supported</x:v>
      </x:c>
      <x:c r="O66" s="8" t="str">
        <x:v>Receipt and message</x:v>
      </x:c>
      <x:c r="P66" s="8" t="str">
        <x:v>SHAHR-8966</x:v>
      </x:c>
      <x:c r="Q66" s="8" t="str">
        <x:v>message126, message128</x:v>
      </x:c>
      <x:c r="R66" s="8" t="str">
        <x:v>130035640932</x:v>
      </x:c>
      <x:c r="S66" s="8"/>
      <x:c r="T66" s="31" t="str"/>
      <x:c r="U66" s="31" t="str">
        <x:v>Not in the original ledger.</x:v>
      </x:c>
      <x:c r="V66" s="31" t="str">
        <x:v>telegram export/photos/photo_28@17-05-2026_19-45-07.jpg</x:v>
      </x:c>
      <x:c r="W66" s="13" t="n">
        <x:f>IF(AND(N66="Supported",E66="Receipt",ISNUMBER(H66)),H66,0)</x:f>
        <x:v>0</x:v>
      </x:c>
      <x:c r="X66" s="13" t="n">
        <x:f>IF(AND(N66="Supported",E66="Payment",ISNUMBER(H66)),H66,0)</x:f>
        <x:v>1550000</x:v>
      </x:c>
      <x:c r="Y66" s="13" t="n">
        <x:f>W66-X66</x:f>
        <x:v>-1550000</x:v>
      </x:c>
    </x:row>
    <x:row r="67" ht="15" hidden="0" customHeight="1">
      <x:c r="A67" s="8" t="str">
        <x:v>TX0063</x:v>
      </x:c>
      <x:c r="B67" s="9" t="d">
        <x:v>2026-05-17T00:00:00.000Z</x:v>
      </x:c>
      <x:c r="C67" s="8" t="str">
        <x:v>1405/02/27</x:v>
      </x:c>
      <x:c r="D67" s="8" t="str">
        <x:v>1405/02</x:v>
      </x:c>
      <x:c r="E67" s="8" t="str">
        <x:v>Payment</x:v>
      </x:c>
      <x:c r="F67" s="11" t="n">
        <x:v>25000000</x:v>
      </x:c>
      <x:c r="G67" s="12" t="str">
        <x:v>rial</x:v>
      </x:c>
      <x:c r="H67" s="11" t="n">
        <x:v>2500000</x:v>
      </x:c>
      <x:c r="I67" s="8" t="str">
        <x:v>پرنیان عسگری</x:v>
      </x:c>
      <x:c r="J67" s="31" t="str">
        <x:v>Yalda reimbursement installment 2 (total 4,050,000)</x:v>
      </x:c>
      <x:c r="K67" s="31" t="str">
        <x:v>تسویه ۲.۵ از ۴.۰۵ جشن یلدا</x:v>
      </x:c>
      <x:c r="L67" s="8" t="str">
        <x:v>Events</x:v>
      </x:c>
      <x:c r="M67" s="8" t="str">
        <x:v>Yalda 1404</x:v>
      </x:c>
      <x:c r="N67" s="8" t="str">
        <x:v>Supported</x:v>
      </x:c>
      <x:c r="O67" s="8" t="str">
        <x:v>Receipt and message</x:v>
      </x:c>
      <x:c r="P67" s="8" t="str">
        <x:v>SHAHR-8966</x:v>
      </x:c>
      <x:c r="Q67" s="8" t="str">
        <x:v>message125, message128</x:v>
      </x:c>
      <x:c r="R67" s="8" t="str">
        <x:v>130014131832</x:v>
      </x:c>
      <x:c r="S67" s="8"/>
      <x:c r="T67" s="31" t="str"/>
      <x:c r="U67" s="31" t="str">
        <x:v>The scan receipts (TX0064-TX0074) support this reimbursement.</x:v>
      </x:c>
      <x:c r="V67" s="31" t="str">
        <x:v>telegram export/photos/photo_27@17-05-2026_19-45-07.jpg</x:v>
      </x:c>
      <x:c r="W67" s="13" t="n">
        <x:f>IF(AND(N67="Supported",E67="Receipt",ISNUMBER(H67)),H67,0)</x:f>
        <x:v>0</x:v>
      </x:c>
      <x:c r="X67" s="13" t="n">
        <x:f>IF(AND(N67="Supported",E67="Payment",ISNUMBER(H67)),H67,0)</x:f>
        <x:v>2500000</x:v>
      </x:c>
      <x:c r="Y67" s="13" t="n">
        <x:f>W67-X67</x:f>
        <x:v>-2500000</x:v>
      </x:c>
    </x:row>
    <x:row r="68" ht="15" hidden="0" customHeight="1">
      <x:c r="A68" s="8" t="str">
        <x:v>TX0064</x:v>
      </x:c>
      <x:c r="B68" s="9" t="d">
        <x:v>2025-12-23T00:00:00.000Z</x:v>
      </x:c>
      <x:c r="C68" s="8" t="str">
        <x:v>1404/10/02</x:v>
      </x:c>
      <x:c r="D68" s="8" t="str">
        <x:v>1404/10</x:v>
      </x:c>
      <x:c r="E68" s="8" t="str">
        <x:v>Payment</x:v>
      </x:c>
      <x:c r="F68" s="11" t="n">
        <x:v>1074000</x:v>
      </x:c>
      <x:c r="G68" s="12" t="str">
        <x:v>rial</x:v>
      </x:c>
      <x:c r="H68" s="11" t="n">
        <x:v>107400</x:v>
      </x:c>
      <x:c r="I68" s="8" t="str">
        <x:v>Canbo Tarasht 1633</x:v>
      </x:c>
      <x:c r="J68" s="31" t="str">
        <x:v>Volunteer purchase C1, 6 snacks</x:v>
      </x:c>
      <x:c r="K68" s="31" t="str">
        <x:v>۶ عدد اسنک ۳۸ گرمی (خرید پرنیان)</x:v>
      </x:c>
      <x:c r="L68" s="8" t="str">
        <x:v>Events</x:v>
      </x:c>
      <x:c r="M68" s="8" t="str">
        <x:v>Yalda 1404</x:v>
      </x:c>
      <x:c r="N68" s="8" t="str">
        <x:v>Review</x:v>
      </x:c>
      <x:c r="O68" s="8" t="str">
        <x:v>Receipt and message</x:v>
      </x:c>
      <x:c r="P68" s="8" t="str">
        <x:v>VOLUNTEER</x:v>
      </x:c>
      <x:c r="Q68" s="8" t="str">
        <x:v>message124, message129</x:v>
      </x:c>
      <x:c r="R68" s="8"/>
      <x:c r="S68" s="8"/>
      <x:c r="T68" s="31" t="str">
        <x:v>Volunteer-funded; supports TX0062/TX0063.</x:v>
      </x:c>
      <x:c r="U68" s="31" t="str">
        <x:v>18:48.</x:v>
      </x:c>
      <x:c r="V68" s="31" t="str">
        <x:v>telegram export/files/CamScanner 13-05-2026 12.43 (1).pdf#page=1</x:v>
      </x:c>
      <x:c r="W68" s="13" t="n">
        <x:f>IF(AND(N68="Supported",E68="Receipt",ISNUMBER(H68)),H68,0)</x:f>
        <x:v>0</x:v>
      </x:c>
      <x:c r="X68" s="13" t="n">
        <x:f>IF(AND(N68="Supported",E68="Payment",ISNUMBER(H68)),H68,0)</x:f>
        <x:v>0</x:v>
      </x:c>
      <x:c r="Y68" s="13" t="n">
        <x:f>W68-X68</x:f>
        <x:v>0</x:v>
      </x:c>
    </x:row>
    <x:row r="69" ht="48" hidden="0" customHeight="1">
      <x:c r="A69" s="8" t="str">
        <x:v>TX0065</x:v>
      </x:c>
      <x:c r="B69" s="9" t="d">
        <x:v>2025-12-23T00:00:00.000Z</x:v>
      </x:c>
      <x:c r="C69" s="8" t="str">
        <x:v>1404/10/02</x:v>
      </x:c>
      <x:c r="D69" s="8" t="str">
        <x:v>1404/10</x:v>
      </x:c>
      <x:c r="E69" s="8" t="str">
        <x:v>Payment</x:v>
      </x:c>
      <x:c r="F69" s="11" t="n">
        <x:v>1790000</x:v>
      </x:c>
      <x:c r="G69" s="12" t="str">
        <x:v>rial</x:v>
      </x:c>
      <x:c r="H69" s="11" t="n">
        <x:v>179000</x:v>
      </x:c>
      <x:c r="I69" s="8" t="str">
        <x:v>Canbo Tarasht 1633</x:v>
      </x:c>
      <x:c r="J69" s="31" t="str">
        <x:v>Volunteer purchase C2</x:v>
      </x:c>
      <x:c r="K69" s="31" t="str">
        <x:v>۱۰ اسنک (C2)</x:v>
      </x:c>
      <x:c r="L69" s="8" t="str">
        <x:v>Events</x:v>
      </x:c>
      <x:c r="M69" s="8" t="str">
        <x:v>Yalda 1404</x:v>
      </x:c>
      <x:c r="N69" s="8" t="str">
        <x:v>Review</x:v>
      </x:c>
      <x:c r="O69" s="8" t="str">
        <x:v>Receipt and message</x:v>
      </x:c>
      <x:c r="P69" s="8" t="str">
        <x:v>VOLUNTEER</x:v>
      </x:c>
      <x:c r="Q69" s="8" t="str">
        <x:v>message124, message129</x:v>
      </x:c>
      <x:c r="R69" s="8" t="str">
        <x:v>857374932735</x:v>
      </x:c>
      <x:c r="S69" s="8"/>
      <x:c r="T69" s="31" t="str">
        <x:v>Volunteer-funded; supports the Parnian reimbursement.</x:v>
      </x:c>
      <x:c r="U69" s="31" t="str">
        <x:v>18:47. The terminal slip (ref 857374932735, card 603769-**-5401) reads 18:47:06. Pages 2 and 5 are both 18:47 and 1,790,000, so it is ambiguous which slip this reference belongs to. Card 603769-**-5401 matches the destination card of Parnian's reimbursements (TX0062/TX0063: 6037 69** **** 5401), which supports volunteer (Parnian) payment. The shared fiscal-memory serial S001001000010154 and terminal A001001000020043 are not transaction identifiers.</x:v>
      </x:c>
      <x:c r="V69" s="31" t="str">
        <x:v>telegram export/files/CamScanner 13-05-2026 12.43 (1).pdf#page=2
telegram export/files/CamScanner 13-05-2026 12.43 (1).pdf#page=2</x:v>
      </x:c>
      <x:c r="W69" s="13" t="n">
        <x:f>IF(AND(N69="Supported",E69="Receipt",ISNUMBER(H69)),H69,0)</x:f>
        <x:v>0</x:v>
      </x:c>
      <x:c r="X69" s="13" t="n">
        <x:f>IF(AND(N69="Supported",E69="Payment",ISNUMBER(H69)),H69,0)</x:f>
        <x:v>0</x:v>
      </x:c>
      <x:c r="Y69" s="13" t="n">
        <x:f>W69-X69</x:f>
        <x:v>0</x:v>
      </x:c>
    </x:row>
    <x:row r="70" ht="24" hidden="0" customHeight="1">
      <x:c r="A70" s="8" t="str">
        <x:v>TX0066</x:v>
      </x:c>
      <x:c r="B70" s="9" t="d">
        <x:v>2025-12-23T00:00:00.000Z</x:v>
      </x:c>
      <x:c r="C70" s="8" t="str">
        <x:v>1404/10/02</x:v>
      </x:c>
      <x:c r="D70" s="8" t="str">
        <x:v>1404/10</x:v>
      </x:c>
      <x:c r="E70" s="8" t="str">
        <x:v>Payment</x:v>
      </x:c>
      <x:c r="F70" s="11" t="n">
        <x:v>1790000</x:v>
      </x:c>
      <x:c r="G70" s="12" t="str">
        <x:v>rial</x:v>
      </x:c>
      <x:c r="H70" s="11" t="n">
        <x:v>179000</x:v>
      </x:c>
      <x:c r="I70" s="8" t="str">
        <x:v>Canbo Tarasht 1633</x:v>
      </x:c>
      <x:c r="J70" s="31" t="str">
        <x:v>Volunteer purchase C3</x:v>
      </x:c>
      <x:c r="K70" s="31" t="str">
        <x:v>۱۰ اسنک (C3)</x:v>
      </x:c>
      <x:c r="L70" s="8" t="str">
        <x:v>Events</x:v>
      </x:c>
      <x:c r="M70" s="8" t="str">
        <x:v>Yalda 1404</x:v>
      </x:c>
      <x:c r="N70" s="8" t="str">
        <x:v>Review</x:v>
      </x:c>
      <x:c r="O70" s="8" t="str">
        <x:v>Receipt and message</x:v>
      </x:c>
      <x:c r="P70" s="8" t="str">
        <x:v>VOLUNTEER</x:v>
      </x:c>
      <x:c r="Q70" s="8" t="str">
        <x:v>message124, message129</x:v>
      </x:c>
      <x:c r="R70" s="8"/>
      <x:c r="S70" s="8"/>
      <x:c r="T70" s="31" t="str">
        <x:v>Distinct from C2 (18:48 vs 18:47).</x:v>
      </x:c>
      <x:c r="U70" s="31" t="str"/>
      <x:c r="V70" s="31" t="str">
        <x:v>telegram export/files/CamScanner 13-05-2026 12.43 (1).pdf#page=3
telegram export/files/CamScanner 13-05-2026 12.43 (1).pdf#page=3</x:v>
      </x:c>
      <x:c r="W70" s="13" t="n">
        <x:f>IF(AND(N70="Supported",E70="Receipt",ISNUMBER(H70)),H70,0)</x:f>
        <x:v>0</x:v>
      </x:c>
      <x:c r="X70" s="13" t="n">
        <x:f>IF(AND(N70="Supported",E70="Payment",ISNUMBER(H70)),H70,0)</x:f>
        <x:v>0</x:v>
      </x:c>
      <x:c r="Y70" s="13" t="n">
        <x:f>W70-X70</x:f>
        <x:v>0</x:v>
      </x:c>
    </x:row>
    <x:row r="71" ht="24" hidden="0" customHeight="1">
      <x:c r="A71" s="8" t="str">
        <x:v>TX0067</x:v>
      </x:c>
      <x:c r="B71" s="9" t="d">
        <x:v>2025-12-23T00:00:00.000Z</x:v>
      </x:c>
      <x:c r="C71" s="8" t="str">
        <x:v>1404/10/02</x:v>
      </x:c>
      <x:c r="D71" s="8" t="str">
        <x:v>1404/10</x:v>
      </x:c>
      <x:c r="E71" s="8" t="str">
        <x:v>Payment</x:v>
      </x:c>
      <x:c r="F71" s="11" t="n">
        <x:v>1790000</x:v>
      </x:c>
      <x:c r="G71" s="12" t="str">
        <x:v>rial</x:v>
      </x:c>
      <x:c r="H71" s="11" t="n">
        <x:v>179000</x:v>
      </x:c>
      <x:c r="I71" s="8" t="str">
        <x:v>Canbo Tarasht 1633</x:v>
      </x:c>
      <x:c r="J71" s="31" t="str">
        <x:v>Volunteer purchase C4</x:v>
      </x:c>
      <x:c r="K71" s="31" t="str">
        <x:v>۱۰ اسنک (C4، بدون مهر)</x:v>
      </x:c>
      <x:c r="L71" s="8" t="str">
        <x:v>Events</x:v>
      </x:c>
      <x:c r="M71" s="8" t="str">
        <x:v>Yalda 1404</x:v>
      </x:c>
      <x:c r="N71" s="8" t="str">
        <x:v>Review</x:v>
      </x:c>
      <x:c r="O71" s="8" t="str">
        <x:v>Receipt and message</x:v>
      </x:c>
      <x:c r="P71" s="8" t="str">
        <x:v>VOLUNTEER</x:v>
      </x:c>
      <x:c r="Q71" s="8" t="str">
        <x:v>message124, message129</x:v>
      </x:c>
      <x:c r="R71" s="8"/>
      <x:c r="S71" s="8"/>
      <x:c r="T71" s="31" t="str">
        <x:v>Volunteer-funded.</x:v>
      </x:c>
      <x:c r="U71" s="31" t="str">
        <x:v>18:46, barcode ≈99TD8856BX8Y71R.</x:v>
      </x:c>
      <x:c r="V71" s="31" t="str">
        <x:v>telegram export/files/CamScanner 13-05-2026 12.43 (1).pdf#page=4
telegram export/files/CamScanner 13-05-2026 12.43 (1).pdf#page=4</x:v>
      </x:c>
      <x:c r="W71" s="13" t="n">
        <x:f>IF(AND(N71="Supported",E71="Receipt",ISNUMBER(H71)),H71,0)</x:f>
        <x:v>0</x:v>
      </x:c>
      <x:c r="X71" s="13" t="n">
        <x:f>IF(AND(N71="Supported",E71="Payment",ISNUMBER(H71)),H71,0)</x:f>
        <x:v>0</x:v>
      </x:c>
      <x:c r="Y71" s="13" t="n">
        <x:f>W71-X71</x:f>
        <x:v>0</x:v>
      </x:c>
    </x:row>
    <x:row r="72" ht="24" hidden="0" customHeight="1">
      <x:c r="A72" s="8" t="str">
        <x:v>TX0068</x:v>
      </x:c>
      <x:c r="B72" s="9" t="d">
        <x:v>2025-12-23T00:00:00.000Z</x:v>
      </x:c>
      <x:c r="C72" s="8" t="str">
        <x:v>1404/10/02</x:v>
      </x:c>
      <x:c r="D72" s="8" t="str">
        <x:v>1404/10</x:v>
      </x:c>
      <x:c r="E72" s="8" t="str">
        <x:v>Payment</x:v>
      </x:c>
      <x:c r="F72" s="11" t="n">
        <x:v>1790000</x:v>
      </x:c>
      <x:c r="G72" s="12" t="str">
        <x:v>rial</x:v>
      </x:c>
      <x:c r="H72" s="11" t="n">
        <x:v>179000</x:v>
      </x:c>
      <x:c r="I72" s="8" t="str">
        <x:v>Canbo Tarasht 1633</x:v>
      </x:c>
      <x:c r="J72" s="31" t="str">
        <x:v>Volunteer purchase C5</x:v>
      </x:c>
      <x:c r="K72" s="31" t="str">
        <x:v>۱۰ اسنک (C5)</x:v>
      </x:c>
      <x:c r="L72" s="8" t="str">
        <x:v>Events</x:v>
      </x:c>
      <x:c r="M72" s="8" t="str">
        <x:v>Yalda 1404</x:v>
      </x:c>
      <x:c r="N72" s="8" t="str">
        <x:v>Review</x:v>
      </x:c>
      <x:c r="O72" s="8" t="str">
        <x:v>Receipt and message</x:v>
      </x:c>
      <x:c r="P72" s="8" t="str">
        <x:v>VOLUNTEER</x:v>
      </x:c>
      <x:c r="Q72" s="8" t="str">
        <x:v>message124, message129</x:v>
      </x:c>
      <x:c r="R72" s="8"/>
      <x:c r="S72" s="8"/>
      <x:c r="T72" s="31" t="str">
        <x:v>Volunteer-funded.</x:v>
      </x:c>
      <x:c r="U72" s="31" t="str">
        <x:v>18:47, barcode …FX92HXB.</x:v>
      </x:c>
      <x:c r="V72" s="31" t="str">
        <x:v>telegram export/files/CamScanner 13-05-2026 12.43 (1).pdf#page=5
telegram export/files/CamScanner 13-05-2026 12.43 (1).pdf#page=5</x:v>
      </x:c>
      <x:c r="W72" s="13" t="n">
        <x:f>IF(AND(N72="Supported",E72="Receipt",ISNUMBER(H72)),H72,0)</x:f>
        <x:v>0</x:v>
      </x:c>
      <x:c r="X72" s="13" t="n">
        <x:f>IF(AND(N72="Supported",E72="Payment",ISNUMBER(H72)),H72,0)</x:f>
        <x:v>0</x:v>
      </x:c>
      <x:c r="Y72" s="13" t="n">
        <x:f>W72-X72</x:f>
        <x:v>0</x:v>
      </x:c>
    </x:row>
    <x:row r="73" ht="24" hidden="0" customHeight="1">
      <x:c r="A73" s="8" t="str">
        <x:v>TX0069</x:v>
      </x:c>
      <x:c r="B73" s="9" t="d">
        <x:v>2025-12-23T00:00:00.000Z</x:v>
      </x:c>
      <x:c r="C73" s="8" t="str">
        <x:v>1404/10/02</x:v>
      </x:c>
      <x:c r="D73" s="8" t="str">
        <x:v>1404/10</x:v>
      </x:c>
      <x:c r="E73" s="8" t="str">
        <x:v>Payment</x:v>
      </x:c>
      <x:c r="F73" s="11" t="n">
        <x:v>1790000</x:v>
      </x:c>
      <x:c r="G73" s="12" t="str">
        <x:v>rial</x:v>
      </x:c>
      <x:c r="H73" s="11" t="n">
        <x:v>179000</x:v>
      </x:c>
      <x:c r="I73" s="8" t="str">
        <x:v>Canbo Tarasht 1633</x:v>
      </x:c>
      <x:c r="J73" s="31" t="str">
        <x:v>Volunteer purchase C6, possible re-scan of C4</x:v>
      </x:c>
      <x:c r="K73" s="31" t="str">
        <x:v>۱۰ اسنک (C6، احتمال تکرار C4)</x:v>
      </x:c>
      <x:c r="L73" s="8" t="str">
        <x:v>Events</x:v>
      </x:c>
      <x:c r="M73" s="8" t="str">
        <x:v>Yalda 1404</x:v>
      </x:c>
      <x:c r="N73" s="8" t="str">
        <x:v>Review</x:v>
      </x:c>
      <x:c r="O73" s="8" t="str">
        <x:v>Receipt and message</x:v>
      </x:c>
      <x:c r="P73" s="8" t="str">
        <x:v>VOLUNTEER</x:v>
      </x:c>
      <x:c r="Q73" s="8" t="str">
        <x:v>message124, message129</x:v>
      </x:c>
      <x:c r="R73" s="8"/>
      <x:c r="S73" s="8" t="str">
        <x:v>TX0067</x:v>
      </x:c>
      <x:c r="T73" s="31" t="str">
        <x:v>Same minute as C4. Could be a pre-stamp and post-stamp scan of one slip; unresolved.</x:v>
      </x:c>
      <x:c r="U73" s="31" t="str"/>
      <x:c r="V73" s="31" t="str">
        <x:v>telegram export/files/CamScanner 13-05-2026 12.43 (1).pdf#page=6
telegram export/files/CamScanner 13-05-2026 12.43 (1).pdf#page=6</x:v>
      </x:c>
      <x:c r="W73" s="13" t="n">
        <x:f>IF(AND(N73="Supported",E73="Receipt",ISNUMBER(H73)),H73,0)</x:f>
        <x:v>0</x:v>
      </x:c>
      <x:c r="X73" s="13" t="n">
        <x:f>IF(AND(N73="Supported",E73="Payment",ISNUMBER(H73)),H73,0)</x:f>
        <x:v>0</x:v>
      </x:c>
      <x:c r="Y73" s="13" t="n">
        <x:f>W73-X73</x:f>
        <x:v>0</x:v>
      </x:c>
    </x:row>
    <x:row r="74" ht="24" hidden="0" customHeight="1">
      <x:c r="A74" s="8" t="str">
        <x:v>TX0070</x:v>
      </x:c>
      <x:c r="B74" s="9" t="d">
        <x:v>2025-12-23T00:00:00.000Z</x:v>
      </x:c>
      <x:c r="C74" s="8" t="str">
        <x:v>1404/10/02</x:v>
      </x:c>
      <x:c r="D74" s="8" t="str">
        <x:v>1404/10</x:v>
      </x:c>
      <x:c r="E74" s="8" t="str">
        <x:v>Payment</x:v>
      </x:c>
      <x:c r="F74" s="11" t="n">
        <x:v>19166400</x:v>
      </x:c>
      <x:c r="G74" s="12" t="str">
        <x:v>rial</x:v>
      </x:c>
      <x:c r="H74" s="11" t="n">
        <x:v>1916640</x:v>
      </x:c>
      <x:c r="I74" s="8" t="str">
        <x:v>Hyperfamili Tarasht</x:v>
      </x:c>
      <x:c r="J74" s="31" t="str">
        <x:v>Volunteer purchase H1, 99 Mozmoz snacks</x:v>
      </x:c>
      <x:c r="K74" s="31" t="str">
        <x:v>۹۹ عدد اسنک مزمز</x:v>
      </x:c>
      <x:c r="L74" s="8" t="str">
        <x:v>Events</x:v>
      </x:c>
      <x:c r="M74" s="8" t="str">
        <x:v>Yalda 1404</x:v>
      </x:c>
      <x:c r="N74" s="8" t="str">
        <x:v>Review</x:v>
      </x:c>
      <x:c r="O74" s="8" t="str">
        <x:v>Receipt and message</x:v>
      </x:c>
      <x:c r="P74" s="8" t="str">
        <x:v>VOLUNTEER</x:v>
      </x:c>
      <x:c r="Q74" s="8" t="str">
        <x:v>message124, message129</x:v>
      </x:c>
      <x:c r="R74" s="8"/>
      <x:c r="S74" s="8"/>
      <x:c r="T74" s="31" t="str">
        <x:v>Volunteer-funded.</x:v>
      </x:c>
      <x:c r="U74" s="31" t="str">
        <x:v>Receipt no. 11-13-100361. VAT 1,742,400 rial. The date is partly stamped over.</x:v>
      </x:c>
      <x:c r="V74" s="31" t="str">
        <x:v>telegram export/files/CamScanner 13-05-2026 12.43 (1).pdf#page=7
telegram export/files/CamScanner 13-05-2026 12.43 (1).pdf#page=7</x:v>
      </x:c>
      <x:c r="W74" s="13" t="n">
        <x:f>IF(AND(N74="Supported",E74="Receipt",ISNUMBER(H74)),H74,0)</x:f>
        <x:v>0</x:v>
      </x:c>
      <x:c r="X74" s="13" t="n">
        <x:f>IF(AND(N74="Supported",E74="Payment",ISNUMBER(H74)),H74,0)</x:f>
        <x:v>0</x:v>
      </x:c>
      <x:c r="Y74" s="13" t="n">
        <x:f>W74-X74</x:f>
        <x:v>0</x:v>
      </x:c>
    </x:row>
    <x:row r="75" ht="24" hidden="0" customHeight="1">
      <x:c r="A75" s="8" t="str">
        <x:v>TX0071</x:v>
      </x:c>
      <x:c r="B75" s="9" t="d">
        <x:v>2025-12-24T00:00:00.000Z</x:v>
      </x:c>
      <x:c r="C75" s="8" t="str">
        <x:v>1404/10/03</x:v>
      </x:c>
      <x:c r="D75" s="8" t="str">
        <x:v>1404/10</x:v>
      </x:c>
      <x:c r="E75" s="8" t="str">
        <x:v>Payment</x:v>
      </x:c>
      <x:c r="F75" s="11" t="n">
        <x:v>1357999</x:v>
      </x:c>
      <x:c r="G75" s="12" t="str">
        <x:v>rial</x:v>
      </x:c>
      <x:c r="H75" s="11" t="n">
        <x:v>135799.9</x:v>
      </x:c>
      <x:c r="I75" s="8" t="str">
        <x:v>Ekano</x:v>
      </x:c>
      <x:c r="J75" s="31" t="str">
        <x:v>Volunteer purchase E1, chocolate</x:v>
      </x:c>
      <x:c r="K75" s="31" t="str">
        <x:v>شکلات تابلت گالا</x:v>
      </x:c>
      <x:c r="L75" s="8" t="str">
        <x:v>Events</x:v>
      </x:c>
      <x:c r="M75" s="8" t="str">
        <x:v>Yalda 1404</x:v>
      </x:c>
      <x:c r="N75" s="8" t="str">
        <x:v>Review</x:v>
      </x:c>
      <x:c r="O75" s="8" t="str">
        <x:v>Receipt and message</x:v>
      </x:c>
      <x:c r="P75" s="8" t="str">
        <x:v>VOLUNTEER</x:v>
      </x:c>
      <x:c r="Q75" s="8" t="str">
        <x:v>message124, message129</x:v>
      </x:c>
      <x:c r="R75" s="8" t="str">
        <x:v>140622005550/11396</x:v>
      </x:c>
      <x:c r="S75" s="8"/>
      <x:c r="T75" s="31" t="str">
        <x:v>Volunteer-funded.</x:v>
      </x:c>
      <x:c r="U75" s="31" t="str">
        <x:v>Exact amount 135,799.9 toman, rounded.</x:v>
      </x:c>
      <x:c r="V75" s="31" t="str">
        <x:v>telegram export/files/CamScanner 13-05-2026 12.43 (1).pdf#page=8
telegram export/files/CamScanner 13-05-2026 12.43 (1).pdf#page=8</x:v>
      </x:c>
      <x:c r="W75" s="13" t="n">
        <x:f>IF(AND(N75="Supported",E75="Receipt",ISNUMBER(H75)),H75,0)</x:f>
        <x:v>0</x:v>
      </x:c>
      <x:c r="X75" s="13" t="n">
        <x:f>IF(AND(N75="Supported",E75="Payment",ISNUMBER(H75)),H75,0)</x:f>
        <x:v>0</x:v>
      </x:c>
      <x:c r="Y75" s="13" t="n">
        <x:f>W75-X75</x:f>
        <x:v>0</x:v>
      </x:c>
    </x:row>
    <x:row r="76" ht="24" hidden="0" customHeight="1">
      <x:c r="A76" s="8" t="str">
        <x:v>TX0072</x:v>
      </x:c>
      <x:c r="B76" s="9" t="d">
        <x:v>2025-12-23T00:00:00.000Z</x:v>
      </x:c>
      <x:c r="C76" s="8" t="str">
        <x:v>1404/10/02</x:v>
      </x:c>
      <x:c r="D76" s="8" t="str">
        <x:v>1404/10</x:v>
      </x:c>
      <x:c r="E76" s="8" t="str">
        <x:v>Payment</x:v>
      </x:c>
      <x:c r="F76" s="11" t="n">
        <x:v>1790000</x:v>
      </x:c>
      <x:c r="G76" s="12" t="str">
        <x:v>rial</x:v>
      </x:c>
      <x:c r="H76" s="11" t="n">
        <x:v>179000</x:v>
      </x:c>
      <x:c r="I76" s="8" t="str">
        <x:v>Canbo Tarasht Metro 2224</x:v>
      </x:c>
      <x:c r="J76" s="31" t="str">
        <x:v>Volunteer purchase C7</x:v>
      </x:c>
      <x:c r="K76" s="31" t="str">
        <x:v>۱۰ اسنک (C7)</x:v>
      </x:c>
      <x:c r="L76" s="8" t="str">
        <x:v>Events</x:v>
      </x:c>
      <x:c r="M76" s="8" t="str">
        <x:v>Yalda 1404</x:v>
      </x:c>
      <x:c r="N76" s="8" t="str">
        <x:v>Review</x:v>
      </x:c>
      <x:c r="O76" s="8" t="str">
        <x:v>Receipt and message</x:v>
      </x:c>
      <x:c r="P76" s="8" t="str">
        <x:v>VOLUNTEER</x:v>
      </x:c>
      <x:c r="Q76" s="8" t="str">
        <x:v>message124, message129</x:v>
      </x:c>
      <x:c r="R76" s="8"/>
      <x:c r="S76" s="8"/>
      <x:c r="T76" s="31" t="str">
        <x:v>Volunteer-funded.</x:v>
      </x:c>
      <x:c r="U76" s="31" t="str">
        <x:v>Barcode 99T1XLWSMFVK3PB.</x:v>
      </x:c>
      <x:c r="V76" s="31" t="str">
        <x:v>telegram export/files/CamScanner 13-05-2026 12.43 (1).pdf#page=9
telegram export/files/CamScanner 13-05-2026 12.43 (1).pdf#page=9</x:v>
      </x:c>
      <x:c r="W76" s="13" t="n">
        <x:f>IF(AND(N76="Supported",E76="Receipt",ISNUMBER(H76)),H76,0)</x:f>
        <x:v>0</x:v>
      </x:c>
      <x:c r="X76" s="13" t="n">
        <x:f>IF(AND(N76="Supported",E76="Payment",ISNUMBER(H76)),H76,0)</x:f>
        <x:v>0</x:v>
      </x:c>
      <x:c r="Y76" s="13" t="n">
        <x:f>W76-X76</x:f>
        <x:v>0</x:v>
      </x:c>
    </x:row>
    <x:row r="77" ht="24" hidden="0" customHeight="1">
      <x:c r="A77" s="8" t="str">
        <x:v>TX0073</x:v>
      </x:c>
      <x:c r="B77" s="9" t="d">
        <x:v>2025-12-23T00:00:00.000Z</x:v>
      </x:c>
      <x:c r="C77" s="8" t="str">
        <x:v>1404/10/02</x:v>
      </x:c>
      <x:c r="D77" s="8" t="str">
        <x:v>1404/10</x:v>
      </x:c>
      <x:c r="E77" s="8" t="str">
        <x:v>Payment</x:v>
      </x:c>
      <x:c r="F77" s="11" t="n">
        <x:v>1253000</x:v>
      </x:c>
      <x:c r="G77" s="12" t="str">
        <x:v>rial</x:v>
      </x:c>
      <x:c r="H77" s="11" t="n">
        <x:v>125300</x:v>
      </x:c>
      <x:c r="I77" s="8" t="str">
        <x:v>Canbo Tarasht Metro 2224</x:v>
      </x:c>
      <x:c r="J77" s="31" t="str">
        <x:v>Volunteer purchase C8</x:v>
      </x:c>
      <x:c r="K77" s="31" t="str">
        <x:v>۷ اسنک (C8)</x:v>
      </x:c>
      <x:c r="L77" s="8" t="str">
        <x:v>Events</x:v>
      </x:c>
      <x:c r="M77" s="8" t="str">
        <x:v>Yalda 1404</x:v>
      </x:c>
      <x:c r="N77" s="8" t="str">
        <x:v>Review</x:v>
      </x:c>
      <x:c r="O77" s="8" t="str">
        <x:v>Receipt and message</x:v>
      </x:c>
      <x:c r="P77" s="8" t="str">
        <x:v>VOLUNTEER</x:v>
      </x:c>
      <x:c r="Q77" s="8" t="str">
        <x:v>message124, message129</x:v>
      </x:c>
      <x:c r="R77" s="8"/>
      <x:c r="S77" s="8"/>
      <x:c r="T77" s="31" t="str">
        <x:v>Volunteer-funded.</x:v>
      </x:c>
      <x:c r="U77" s="31" t="str">
        <x:v>18:56.</x:v>
      </x:c>
      <x:c r="V77" s="31" t="str">
        <x:v>telegram export/files/CamScanner 13-05-2026 12.43 (1).pdf#page=10
telegram export/files/CamScanner 13-05-2026 12.43 (1).pdf#page=10</x:v>
      </x:c>
      <x:c r="W77" s="13" t="n">
        <x:f>IF(AND(N77="Supported",E77="Receipt",ISNUMBER(H77)),H77,0)</x:f>
        <x:v>0</x:v>
      </x:c>
      <x:c r="X77" s="13" t="n">
        <x:f>IF(AND(N77="Supported",E77="Payment",ISNUMBER(H77)),H77,0)</x:f>
        <x:v>0</x:v>
      </x:c>
      <x:c r="Y77" s="13" t="n">
        <x:f>W77-X77</x:f>
        <x:v>0</x:v>
      </x:c>
    </x:row>
    <x:row r="78" ht="24" hidden="0" customHeight="1">
      <x:c r="A78" s="8" t="str">
        <x:v>TX0074</x:v>
      </x:c>
      <x:c r="B78" s="9"/>
      <x:c r="C78" s="8"/>
      <x:c r="D78" s="8" t="str">
        <x:v>1404/10</x:v>
      </x:c>
      <x:c r="E78" s="8" t="str">
        <x:v>Payment</x:v>
      </x:c>
      <x:c r="F78" s="11" t="n">
        <x:v>4950000</x:v>
      </x:c>
      <x:c r="G78" s="12" t="str">
        <x:v>rial</x:v>
      </x:c>
      <x:c r="H78" s="11" t="n">
        <x:v>495000</x:v>
      </x:c>
      <x:c r="I78" s="8" t="str">
        <x:v>RIBAR coffee/fast food</x:v>
      </x:c>
      <x:c r="J78" s="31" t="str">
        <x:v>Handwritten invoice, likely chocolate cookies</x:v>
      </x:c>
      <x:c r="K78" s="31" t="str">
        <x:v>فاکتور دست‌نویس کوکی شکلاتی (احتمالی)</x:v>
      </x:c>
      <x:c r="L78" s="8" t="str">
        <x:v>Events</x:v>
      </x:c>
      <x:c r="M78" s="8" t="str">
        <x:v>Yalda 1404</x:v>
      </x:c>
      <x:c r="N78" s="8" t="str">
        <x:v>Invoice only</x:v>
      </x:c>
      <x:c r="O78" s="8" t="str">
        <x:v>Invoice</x:v>
      </x:c>
      <x:c r="P78" s="8" t="str">
        <x:v>VOLUNTEER</x:v>
      </x:c>
      <x:c r="Q78" s="8" t="str">
        <x:v>message124, message128, message129</x:v>
      </x:c>
      <x:c r="R78" s="8"/>
      <x:c r="S78" s="8"/>
      <x:c r="T78" s="31" t="str">
        <x:v>Date (≈1404/10/13?) and amount are low-confidence. No payment proof.</x:v>
      </x:c>
      <x:c r="U78" s="31" t="str">
        <x:v>Year-month only retained.</x:v>
      </x:c>
      <x:c r="V78" s="31" t="str">
        <x:v>telegram export/files/CamScanner 13-05-2026 12.43 (1).pdf#page=11
telegram export/files/CamScanner 13-05-2026 12.43 (1).pdf#page=11</x:v>
      </x:c>
      <x:c r="W78" s="13" t="n">
        <x:f>IF(AND(N78="Supported",E78="Receipt",ISNUMBER(H78)),H78,0)</x:f>
        <x:v>0</x:v>
      </x:c>
      <x:c r="X78" s="13" t="n">
        <x:f>IF(AND(N78="Supported",E78="Payment",ISNUMBER(H78)),H78,0)</x:f>
        <x:v>0</x:v>
      </x:c>
      <x:c r="Y78" s="13" t="n">
        <x:f>W78-X78</x:f>
        <x:v>0</x:v>
      </x:c>
    </x:row>
    <x:row r="79" ht="60" hidden="0" customHeight="1">
      <x:c r="A79" s="8" t="str">
        <x:v>TX0075</x:v>
      </x:c>
      <x:c r="B79" s="9" t="d">
        <x:v>2026-08-12T00:00:00.000Z</x:v>
      </x:c>
      <x:c r="C79" s="8" t="str">
        <x:v>1405/05/21</x:v>
      </x:c>
      <x:c r="D79" s="8" t="str">
        <x:v>1405/05</x:v>
      </x:c>
      <x:c r="E79" s="8" t="str">
        <x:v>Payment</x:v>
      </x:c>
      <x:c r="F79" s="11" t="n">
        <x:v>63370000</x:v>
      </x:c>
      <x:c r="G79" s="12" t="str">
        <x:v>rial</x:v>
      </x:c>
      <x:c r="H79" s="11" t="n">
        <x:v>6337000</x:v>
      </x:c>
      <x:c r="I79" s="8" t="str">
        <x:v>Terminal 80957455</x:v>
      </x:c>
      <x:c r="J79" s="31" t="str">
        <x:v>Card purchase on association deposit, purpose unknown</x:v>
      </x:c>
      <x:c r="K79" s="31" t="str">
        <x:v>خرید با کارت ۵۰۴۷۰۶۱۱۵۴۴۷۲۱۶۷ از حساب انجمن</x:v>
      </x:c>
      <x:c r="L79" s="8" t="str">
        <x:v>Unclassified</x:v>
      </x:c>
      <x:c r="M79" s="8" t="str">
        <x:v>Unassigned</x:v>
      </x:c>
      <x:c r="N79" s="8" t="str">
        <x:v>Supported</x:v>
      </x:c>
      <x:c r="O79" s="8" t="str">
        <x:v>Receipt and user confirmation</x:v>
      </x:c>
      <x:c r="P79" s="8" t="str">
        <x:v>SHAHR-2167</x:v>
      </x:c>
      <x:c r="Q79" s="8" t="str"/>
      <x:c r="R79" s="8" t="str">
        <x:v>187300</x:v>
      </x:c>
      <x:c r="S79" s="8"/>
      <x:c r="T79" s="31" t="str"/>
      <x:c r="U79" s="31" t="str">
        <x:v>Balance after: 260,305,702 rial. The debit is on deposit 400816808774, the same deposit as SHAHR-8966, using a second card (…2167). The cash_account label 'SHAHR-2167' must not be read as a separate account. Card ownership is unconfirmed. User confirms all recipts/ documents represent association expenses. Purpose is retained as unclassified unless specifically identified. Prior project label: Unknown (1405). Project not specifically confirmed; retained as Unassigned.</x:v>
      </x:c>
      <x:c r="V79" s="31" t="str">
        <x:v>recipts/photo_3_2026-10-10_14-07-27.jpg
reports/2026-10-10/user_confirmation_2026-10-10.json</x:v>
      </x:c>
      <x:c r="W79" s="13" t="n">
        <x:f>IF(AND(N79="Supported",E79="Receipt",ISNUMBER(H79)),H79,0)</x:f>
        <x:v>0</x:v>
      </x:c>
      <x:c r="X79" s="13" t="n">
        <x:f>IF(AND(N79="Supported",E79="Payment",ISNUMBER(H79)),H79,0)</x:f>
        <x:v>6337000</x:v>
      </x:c>
      <x:c r="Y79" s="13" t="n">
        <x:f>W79-X79</x:f>
        <x:v>-6337000</x:v>
      </x:c>
    </x:row>
    <x:row r="80" ht="36" hidden="0" customHeight="1">
      <x:c r="A80" s="8" t="str">
        <x:v>TX0076</x:v>
      </x:c>
      <x:c r="B80" s="9" t="d">
        <x:v>2026-08-13T00:00:00.000Z</x:v>
      </x:c>
      <x:c r="C80" s="8" t="str">
        <x:v>1405/05/22</x:v>
      </x:c>
      <x:c r="D80" s="8" t="str">
        <x:v>1405/05</x:v>
      </x:c>
      <x:c r="E80" s="8" t="str">
        <x:v>Payment</x:v>
      </x:c>
      <x:c r="F80" s="11" t="n">
        <x:v>11000000</x:v>
      </x:c>
      <x:c r="G80" s="12" t="str">
        <x:v>rial</x:v>
      </x:c>
      <x:c r="H80" s="11" t="n">
        <x:v>1100000</x:v>
      </x:c>
      <x:c r="I80" s="8" t="str">
        <x:v>Terminal 09039608</x:v>
      </x:c>
      <x:c r="J80" s="31" t="str">
        <x:v>Card purchase, purpose unknown</x:v>
      </x:c>
      <x:c r="K80" s="31" t="str">
        <x:v>خرید با کارت، بابت نامشخص</x:v>
      </x:c>
      <x:c r="L80" s="8" t="str">
        <x:v>Unclassified</x:v>
      </x:c>
      <x:c r="M80" s="8" t="str">
        <x:v>Unassigned</x:v>
      </x:c>
      <x:c r="N80" s="8" t="str">
        <x:v>Supported</x:v>
      </x:c>
      <x:c r="O80" s="8" t="str">
        <x:v>Receipt and user confirmation</x:v>
      </x:c>
      <x:c r="P80" s="8" t="str">
        <x:v>SHAHR-2167</x:v>
      </x:c>
      <x:c r="Q80" s="8" t="str"/>
      <x:c r="R80" s="8" t="str">
        <x:v>308839</x:v>
      </x:c>
      <x:c r="S80" s="8"/>
      <x:c r="T80" s="31" t="str"/>
      <x:c r="U80" s="31" t="str">
        <x:v>Balance 217,675,702 rial. User confirms all recipts/ documents represent association expenses. Purpose is retained as unclassified unless specifically identified. Prior project label: Unknown (1405). Project not specifically confirmed; retained as Unassigned.</x:v>
      </x:c>
      <x:c r="V80" s="31" t="str">
        <x:v>recipts/photo_2_2026-10-10_14-07-27.jpg
reports/2026-10-10/user_confirmation_2026-10-10.json</x:v>
      </x:c>
      <x:c r="W80" s="13" t="n">
        <x:f>IF(AND(N80="Supported",E80="Receipt",ISNUMBER(H80)),H80,0)</x:f>
        <x:v>0</x:v>
      </x:c>
      <x:c r="X80" s="13" t="n">
        <x:f>IF(AND(N80="Supported",E80="Payment",ISNUMBER(H80)),H80,0)</x:f>
        <x:v>1100000</x:v>
      </x:c>
      <x:c r="Y80" s="13" t="n">
        <x:f>W80-X80</x:f>
        <x:v>-1100000</x:v>
      </x:c>
    </x:row>
    <x:row r="81" ht="36" hidden="0" customHeight="1">
      <x:c r="A81" s="8" t="str">
        <x:v>TX0077</x:v>
      </x:c>
      <x:c r="B81" s="9" t="d">
        <x:v>2026-08-13T00:00:00.000Z</x:v>
      </x:c>
      <x:c r="C81" s="8" t="str">
        <x:v>1405/05/22</x:v>
      </x:c>
      <x:c r="D81" s="8" t="str">
        <x:v>1405/05</x:v>
      </x:c>
      <x:c r="E81" s="8" t="str">
        <x:v>Payment</x:v>
      </x:c>
      <x:c r="F81" s="11" t="n">
        <x:v>13200000</x:v>
      </x:c>
      <x:c r="G81" s="12" t="str">
        <x:v>rial</x:v>
      </x:c>
      <x:c r="H81" s="11" t="n">
        <x:v>1320000</x:v>
      </x:c>
      <x:c r="I81" s="8" t="str">
        <x:v>Terminal 09039608</x:v>
      </x:c>
      <x:c r="J81" s="31" t="str">
        <x:v>Card purchase, purpose unknown</x:v>
      </x:c>
      <x:c r="K81" s="31" t="str">
        <x:v>خرید با کارت، بابت نامشخص</x:v>
      </x:c>
      <x:c r="L81" s="8" t="str">
        <x:v>Unclassified</x:v>
      </x:c>
      <x:c r="M81" s="8" t="str">
        <x:v>Unassigned</x:v>
      </x:c>
      <x:c r="N81" s="8" t="str">
        <x:v>Supported</x:v>
      </x:c>
      <x:c r="O81" s="8" t="str">
        <x:v>Receipt and user confirmation</x:v>
      </x:c>
      <x:c r="P81" s="8" t="str">
        <x:v>SHAHR-2167</x:v>
      </x:c>
      <x:c r="Q81" s="8" t="str"/>
      <x:c r="R81" s="8" t="str">
        <x:v>666086</x:v>
      </x:c>
      <x:c r="S81" s="8"/>
      <x:c r="T81" s="31" t="str"/>
      <x:c r="U81" s="31" t="str">
        <x:v>Balance chain consistent: 204,475,702 rial. User confirms all recipts/ documents represent association expenses. Purpose is retained as unclassified unless specifically identified. Prior project label: Unknown (1405). Project not specifically confirmed; retained as Unassigned.</x:v>
      </x:c>
      <x:c r="V81" s="31" t="str">
        <x:v>recipts/photo_5_2026-10-10_14-07-27.jpg
reports/2026-10-10/user_confirmation_2026-10-10.json</x:v>
      </x:c>
      <x:c r="W81" s="13" t="n">
        <x:f>IF(AND(N81="Supported",E81="Receipt",ISNUMBER(H81)),H81,0)</x:f>
        <x:v>0</x:v>
      </x:c>
      <x:c r="X81" s="13" t="n">
        <x:f>IF(AND(N81="Supported",E81="Payment",ISNUMBER(H81)),H81,0)</x:f>
        <x:v>1320000</x:v>
      </x:c>
      <x:c r="Y81" s="13" t="n">
        <x:f>W81-X81</x:f>
        <x:v>-1320000</x:v>
      </x:c>
    </x:row>
    <x:row r="82" ht="36" hidden="0" customHeight="1">
      <x:c r="A82" s="8" t="str">
        <x:v>TX0078</x:v>
      </x:c>
      <x:c r="B82" s="9" t="d">
        <x:v>2026-08-13T00:00:00.000Z</x:v>
      </x:c>
      <x:c r="C82" s="8" t="str">
        <x:v>1405/05/22</x:v>
      </x:c>
      <x:c r="D82" s="8" t="str">
        <x:v>1405/05</x:v>
      </x:c>
      <x:c r="E82" s="8" t="str">
        <x:v>Payment</x:v>
      </x:c>
      <x:c r="F82" s="11" t="n">
        <x:v>13000000</x:v>
      </x:c>
      <x:c r="G82" s="12" t="str">
        <x:v>rial</x:v>
      </x:c>
      <x:c r="H82" s="11" t="n">
        <x:v>1300000</x:v>
      </x:c>
      <x:c r="I82" s="8" t="str">
        <x:v>Terminal 03202703</x:v>
      </x:c>
      <x:c r="J82" s="31" t="str">
        <x:v>Card purchase, purpose unknown</x:v>
      </x:c>
      <x:c r="K82" s="31" t="str">
        <x:v>خرید با کارت، بابت نامشخص</x:v>
      </x:c>
      <x:c r="L82" s="8" t="str">
        <x:v>Unclassified</x:v>
      </x:c>
      <x:c r="M82" s="8" t="str">
        <x:v>Unassigned</x:v>
      </x:c>
      <x:c r="N82" s="8" t="str">
        <x:v>Supported</x:v>
      </x:c>
      <x:c r="O82" s="8" t="str">
        <x:v>Receipt and user confirmation</x:v>
      </x:c>
      <x:c r="P82" s="8" t="str">
        <x:v>SHAHR-2167</x:v>
      </x:c>
      <x:c r="Q82" s="8" t="str"/>
      <x:c r="R82" s="8" t="str">
        <x:v>008584</x:v>
      </x:c>
      <x:c r="S82" s="8"/>
      <x:c r="T82" s="31" t="str"/>
      <x:c r="U82" s="31" t="str">
        <x:v>Balance 191,475,702 rial. User confirms all recipts/ documents represent association expenses. Purpose is retained as unclassified unless specifically identified. Prior project label: Unknown (1405). Project not specifically confirmed; retained as Unassigned.</x:v>
      </x:c>
      <x:c r="V82" s="31" t="str">
        <x:v>recipts/photo_8_2026-10-10_14-07-27.jpg
reports/2026-10-10/user_confirmation_2026-10-10.json</x:v>
      </x:c>
      <x:c r="W82" s="13" t="n">
        <x:f>IF(AND(N82="Supported",E82="Receipt",ISNUMBER(H82)),H82,0)</x:f>
        <x:v>0</x:v>
      </x:c>
      <x:c r="X82" s="13" t="n">
        <x:f>IF(AND(N82="Supported",E82="Payment",ISNUMBER(H82)),H82,0)</x:f>
        <x:v>1300000</x:v>
      </x:c>
      <x:c r="Y82" s="13" t="n">
        <x:f>W82-X82</x:f>
        <x:v>-1300000</x:v>
      </x:c>
    </x:row>
    <x:row r="83" ht="36" hidden="0" customHeight="1">
      <x:c r="A83" s="8" t="str">
        <x:v>TX0079</x:v>
      </x:c>
      <x:c r="B83" s="9" t="d">
        <x:v>2026-08-13T00:00:00.000Z</x:v>
      </x:c>
      <x:c r="C83" s="8" t="str">
        <x:v>1405/05/22</x:v>
      </x:c>
      <x:c r="D83" s="8" t="str">
        <x:v>1405/05</x:v>
      </x:c>
      <x:c r="E83" s="8" t="str">
        <x:v>Payment</x:v>
      </x:c>
      <x:c r="F83" s="11" t="n">
        <x:v>11600000</x:v>
      </x:c>
      <x:c r="G83" s="12" t="str">
        <x:v>rial</x:v>
      </x:c>
      <x:c r="H83" s="11" t="n">
        <x:v>1160000</x:v>
      </x:c>
      <x:c r="I83" s="8" t="str">
        <x:v>Terminal 22958772</x:v>
      </x:c>
      <x:c r="J83" s="31" t="str">
        <x:v>Card purchase, purpose unknown</x:v>
      </x:c>
      <x:c r="K83" s="31" t="str">
        <x:v>خرید با کارت، بابت نامشخص</x:v>
      </x:c>
      <x:c r="L83" s="8" t="str">
        <x:v>Unclassified</x:v>
      </x:c>
      <x:c r="M83" s="8" t="str">
        <x:v>Unassigned</x:v>
      </x:c>
      <x:c r="N83" s="8" t="str">
        <x:v>Supported</x:v>
      </x:c>
      <x:c r="O83" s="8" t="str">
        <x:v>Receipt and user confirmation</x:v>
      </x:c>
      <x:c r="P83" s="8" t="str">
        <x:v>SHAHR-2167</x:v>
      </x:c>
      <x:c r="Q83" s="8" t="str"/>
      <x:c r="R83" s="8" t="str">
        <x:v>972094</x:v>
      </x:c>
      <x:c r="S83" s="8"/>
      <x:c r="T83" s="31" t="str"/>
      <x:c r="U83" s="31" t="str">
        <x:v>Balance 179,875,702 rial. User confirms all recipts/ documents represent association expenses. Purpose is retained as unclassified unless specifically identified. Prior project label: Unknown (1405). Project not specifically confirmed; retained as Unassigned.</x:v>
      </x:c>
      <x:c r="V83" s="31" t="str">
        <x:v>recipts/photo_7_2026-10-10_14-07-27.jpg
reports/2026-10-10/user_confirmation_2026-10-10.json</x:v>
      </x:c>
      <x:c r="W83" s="13" t="n">
        <x:f>IF(AND(N83="Supported",E83="Receipt",ISNUMBER(H83)),H83,0)</x:f>
        <x:v>0</x:v>
      </x:c>
      <x:c r="X83" s="13" t="n">
        <x:f>IF(AND(N83="Supported",E83="Payment",ISNUMBER(H83)),H83,0)</x:f>
        <x:v>1160000</x:v>
      </x:c>
      <x:c r="Y83" s="13" t="n">
        <x:f>W83-X83</x:f>
        <x:v>-1160000</x:v>
      </x:c>
    </x:row>
    <x:row r="84" ht="24" hidden="0" customHeight="1">
      <x:c r="A84" s="8" t="str">
        <x:v>TX0080</x:v>
      </x:c>
      <x:c r="B84" s="9" t="d">
        <x:v>2026-08-27T00:00:00.000Z</x:v>
      </x:c>
      <x:c r="C84" s="8" t="str">
        <x:v>1405/06/05</x:v>
      </x:c>
      <x:c r="D84" s="8" t="str">
        <x:v>1405/06</x:v>
      </x:c>
      <x:c r="E84" s="8" t="str">
        <x:v>Payment</x:v>
      </x:c>
      <x:c r="F84" s="11" t="n">
        <x:v>4500000</x:v>
      </x:c>
      <x:c r="G84" s="12" t="str">
        <x:v>rial</x:v>
      </x:c>
      <x:c r="H84" s="11" t="n">
        <x:v>450000</x:v>
      </x:c>
      <x:c r="I84" s="8" t="str">
        <x:v>محمدحسین مشک افشان</x:v>
      </x:c>
      <x:c r="J84" s="31" t="str">
        <x:v>Blu transfer; possibly advertising (inference from prior ad payee)</x:v>
      </x:c>
      <x:c r="K84" s="31" t="str">
        <x:v>انتقال بلو؛ احتمالاً تبلیغ (استنباطی)</x:v>
      </x:c>
      <x:c r="L84" s="8" t="str">
        <x:v>Unclassified</x:v>
      </x:c>
      <x:c r="M84" s="8" t="str">
        <x:v>Unassigned</x:v>
      </x:c>
      <x:c r="N84" s="8" t="str">
        <x:v>Supported</x:v>
      </x:c>
      <x:c r="O84" s="8" t="str">
        <x:v>Receipt and user confirmation</x:v>
      </x:c>
      <x:c r="P84" s="8" t="str">
        <x:v>BLU-CUSTODIAN</x:v>
      </x:c>
      <x:c r="Q84" s="8" t="str"/>
      <x:c r="R84" s="8" t="str">
        <x:v>14054456800606</x:v>
      </x:c>
      <x:c r="S84" s="8"/>
      <x:c r="T84" s="31" t="str"/>
      <x:c r="U84" s="31" t="str">
        <x:v> User confirms all recipts/ documents represent association expenses. Purpose is retained as unclassified unless specifically identified. Prior project label: Unknown (1405). Project not specifically confirmed; retained as Unassigned.</x:v>
      </x:c>
      <x:c r="V84" s="31" t="str">
        <x:v>recipts/photo_5_2026-10-10_11-09-04.jpg
reports/2026-10-10/user_confirmation_2026-10-10.json</x:v>
      </x:c>
      <x:c r="W84" s="13" t="n">
        <x:f>IF(AND(N84="Supported",E84="Receipt",ISNUMBER(H84)),H84,0)</x:f>
        <x:v>0</x:v>
      </x:c>
      <x:c r="X84" s="13" t="n">
        <x:f>IF(AND(N84="Supported",E84="Payment",ISNUMBER(H84)),H84,0)</x:f>
        <x:v>450000</x:v>
      </x:c>
      <x:c r="Y84" s="13" t="n">
        <x:f>W84-X84</x:f>
        <x:v>-450000</x:v>
      </x:c>
    </x:row>
    <x:row r="85" ht="48" hidden="0" customHeight="1">
      <x:c r="A85" s="8" t="str">
        <x:v>TX0081</x:v>
      </x:c>
      <x:c r="B85" s="9" t="d">
        <x:v>2026-08-28T00:00:00.000Z</x:v>
      </x:c>
      <x:c r="C85" s="8" t="str">
        <x:v>1405/06/06</x:v>
      </x:c>
      <x:c r="D85" s="8" t="str">
        <x:v>1405/06</x:v>
      </x:c>
      <x:c r="E85" s="8" t="str">
        <x:v>Payment</x:v>
      </x:c>
      <x:c r="F85" s="11" t="n">
        <x:v>45000000</x:v>
      </x:c>
      <x:c r="G85" s="12" t="str">
        <x:v>rial</x:v>
      </x:c>
      <x:c r="H85" s="11" t="n">
        <x:v>4500000</x:v>
      </x:c>
      <x:c r="I85" s="8" t="str">
        <x:v>عاطفه نخعی</x:v>
      </x:c>
      <x:c r="J85" s="31" t="str">
        <x:v>Card transfer, purpose unknown</x:v>
      </x:c>
      <x:c r="K85" s="31" t="str">
        <x:v>انتقال کارت به کارت، بابت نامشخص</x:v>
      </x:c>
      <x:c r="L85" s="8" t="str">
        <x:v>Unclassified</x:v>
      </x:c>
      <x:c r="M85" s="8" t="str">
        <x:v>Unassigned</x:v>
      </x:c>
      <x:c r="N85" s="8" t="str">
        <x:v>Supported</x:v>
      </x:c>
      <x:c r="O85" s="8" t="str">
        <x:v>Receipt and user confirmation</x:v>
      </x:c>
      <x:c r="P85" s="8" t="str">
        <x:v>BLU-CUSTODIAN</x:v>
      </x:c>
      <x:c r="Q85" s="8" t="str"/>
      <x:c r="R85" s="8" t="str">
        <x:v>233888</x:v>
      </x:c>
      <x:c r="S85" s="8"/>
      <x:c r="T85" s="31" t="str"/>
      <x:c r="U85" s="31" t="str">
        <x:v> User confirms all recipts/ documents represent association expenses. Purpose is retained as unclassified unless specifically identified. Source identification: masked source card ending 5780. Association attribution is user-attested; no balance reconciliation is implied. Prior project label: Unknown (1405). Project not specifically confirmed; retained as Unassigned.</x:v>
      </x:c>
      <x:c r="V85" s="31" t="str">
        <x:v>recipts/photo_4_2026-10-10_11-09-04.jpg
reports/2026-10-10/user_confirmation_2026-10-10.json</x:v>
      </x:c>
      <x:c r="W85" s="13" t="n">
        <x:f>IF(AND(N85="Supported",E85="Receipt",ISNUMBER(H85)),H85,0)</x:f>
        <x:v>0</x:v>
      </x:c>
      <x:c r="X85" s="13" t="n">
        <x:f>IF(AND(N85="Supported",E85="Payment",ISNUMBER(H85)),H85,0)</x:f>
        <x:v>4500000</x:v>
      </x:c>
      <x:c r="Y85" s="13" t="n">
        <x:f>W85-X85</x:f>
        <x:v>-4500000</x:v>
      </x:c>
    </x:row>
    <x:row r="86" ht="15" hidden="0" customHeight="1">
      <x:c r="A86" s="8" t="str">
        <x:v>TX0082</x:v>
      </x:c>
      <x:c r="B86" s="9" t="d">
        <x:v>2026-08-29T00:00:00.000Z</x:v>
      </x:c>
      <x:c r="C86" s="8" t="str">
        <x:v>1405/06/07</x:v>
      </x:c>
      <x:c r="D86" s="8" t="str">
        <x:v>1405/06</x:v>
      </x:c>
      <x:c r="E86" s="8" t="str">
        <x:v>Payment</x:v>
      </x:c>
      <x:c r="F86" s="11" t="n">
        <x:v>42570000</x:v>
      </x:c>
      <x:c r="G86" s="12" t="str">
        <x:v>rial</x:v>
      </x:c>
      <x:c r="H86" s="11" t="n">
        <x:v>4257000</x:v>
      </x:c>
      <x:c r="I86" s="8" t="str">
        <x:v>مهبانگ فن‌آوری‌های پارس (Skyroom)</x:v>
      </x:c>
      <x:c r="J86" s="31" t="str">
        <x:v>Skyroom 1-month licence and 20h recording package</x:v>
      </x:c>
      <x:c r="K86" s="31" t="str">
        <x:v>فاکتور اسکای‌روم ۵۰ کاربره و بسته ضبط ۲۰ ساعت</x:v>
      </x:c>
      <x:c r="L86" s="8" t="str">
        <x:v>Teaching</x:v>
      </x:c>
      <x:c r="M86" s="8" t="str">
        <x:v>Unknown (likely 1405 summer school)</x:v>
      </x:c>
      <x:c r="N86" s="8" t="str">
        <x:v>Invoice only</x:v>
      </x:c>
      <x:c r="O86" s="8" t="str">
        <x:v>Invoice</x:v>
      </x:c>
      <x:c r="P86" s="8" t="str">
        <x:v>UNKNOWN</x:v>
      </x:c>
      <x:c r="Q86" s="8" t="str"/>
      <x:c r="R86" s="8"/>
      <x:c r="S86" s="8"/>
      <x:c r="T86" s="31" t="str">
        <x:v>No payment proof. Buyer is Hassan personally.</x:v>
      </x:c>
      <x:c r="U86" s="31" t="str">
        <x:v>Tax 387,000 toman. The refined workbook TX-00044 wrongly marks this confirmed.</x:v>
      </x:c>
      <x:c r="V86" s="31" t="str">
        <x:v>invoice-61150.pdf#page=1</x:v>
      </x:c>
      <x:c r="W86" s="13" t="n">
        <x:f>IF(AND(N86="Supported",E86="Receipt",ISNUMBER(H86)),H86,0)</x:f>
        <x:v>0</x:v>
      </x:c>
      <x:c r="X86" s="13" t="n">
        <x:f>IF(AND(N86="Supported",E86="Payment",ISNUMBER(H86)),H86,0)</x:f>
        <x:v>0</x:v>
      </x:c>
      <x:c r="Y86" s="13" t="n">
        <x:f>W86-X86</x:f>
        <x:v>0</x:v>
      </x:c>
    </x:row>
    <x:row r="87" ht="48" hidden="0" customHeight="1">
      <x:c r="A87" s="8" t="str">
        <x:v>TX0083</x:v>
      </x:c>
      <x:c r="B87" s="9" t="d">
        <x:v>2026-09-21T00:00:00.000Z</x:v>
      </x:c>
      <x:c r="C87" s="8" t="str">
        <x:v>1405/06/30</x:v>
      </x:c>
      <x:c r="D87" s="8" t="str">
        <x:v>1405/06</x:v>
      </x:c>
      <x:c r="E87" s="8" t="str">
        <x:v>Payment</x:v>
      </x:c>
      <x:c r="F87" s="11" t="n">
        <x:v>6000000</x:v>
      </x:c>
      <x:c r="G87" s="12" t="str">
        <x:v>rial</x:v>
      </x:c>
      <x:c r="H87" s="11" t="n">
        <x:v>600000</x:v>
      </x:c>
      <x:c r="I87" s="8" t="str">
        <x:v>زهرا صالح کوشالی</x:v>
      </x:c>
      <x:c r="J87" s="31" t="str">
        <x:v>Summer School 1405 instructor fee: Course not specified</x:v>
      </x:c>
      <x:c r="K87" s="31" t="str">
        <x:v>حق تدریس مدرسه تابستانه ۱۴۰۵ — زهرا صالح کوشالی</x:v>
      </x:c>
      <x:c r="L87" s="8" t="str">
        <x:v>Teaching</x:v>
      </x:c>
      <x:c r="M87" s="8" t="str">
        <x:v>Summer School 1405</x:v>
      </x:c>
      <x:c r="N87" s="8" t="str">
        <x:v>Supported</x:v>
      </x:c>
      <x:c r="O87" s="8" t="str">
        <x:v>Receipt and user confirmation</x:v>
      </x:c>
      <x:c r="P87" s="8" t="str">
        <x:v>BLU-CUSTODIAN</x:v>
      </x:c>
      <x:c r="Q87" s="8" t="str"/>
      <x:c r="R87" s="8" t="str">
        <x:v>140506301533582360563628293194</x:v>
      </x:c>
      <x:c r="S87" s="8"/>
      <x:c r="T87" s="31" t="str"/>
      <x:c r="U87" s="31" t="str">
        <x:v>1405/06/30 = 2026-09-21, which is a Monday and matches the printed weekday 'دوشنبه'. There is no weekday conflict. The OCR's 2026-09-22 was a conversion error. User confirms all recipts/ documents represent association expenses. Purpose specifically classified from user confirmation. Original image is a provisional transfer screen; completion is accepted from user confirmation, not independently proven by the image.</x:v>
      </x:c>
      <x:c r="V87" s="31" t="str">
        <x:v>recipts/photo_1_2026-10-10_11-09-04.jpg
reports/2026-10-10/user_confirmation_2026-10-10.json</x:v>
      </x:c>
      <x:c r="W87" s="13" t="n">
        <x:f>IF(AND(N87="Supported",E87="Receipt",ISNUMBER(H87)),H87,0)</x:f>
        <x:v>0</x:v>
      </x:c>
      <x:c r="X87" s="13" t="n">
        <x:f>IF(AND(N87="Supported",E87="Payment",ISNUMBER(H87)),H87,0)</x:f>
        <x:v>600000</x:v>
      </x:c>
      <x:c r="Y87" s="13" t="n">
        <x:f>W87-X87</x:f>
        <x:v>-600000</x:v>
      </x:c>
    </x:row>
    <x:row r="88" ht="48" hidden="0" customHeight="1">
      <x:c r="A88" s="8" t="str">
        <x:v>TX0084</x:v>
      </x:c>
      <x:c r="B88" s="9" t="d">
        <x:v>2026-09-21T00:00:00.000Z</x:v>
      </x:c>
      <x:c r="C88" s="8" t="str">
        <x:v>1405/06/30</x:v>
      </x:c>
      <x:c r="D88" s="8" t="str">
        <x:v>1405/06</x:v>
      </x:c>
      <x:c r="E88" s="8" t="str">
        <x:v>Payment</x:v>
      </x:c>
      <x:c r="F88" s="11" t="n">
        <x:v>12000000</x:v>
      </x:c>
      <x:c r="G88" s="12" t="str">
        <x:v>rial</x:v>
      </x:c>
      <x:c r="H88" s="11" t="n">
        <x:v>1200000</x:v>
      </x:c>
      <x:c r="I88" s="8" t="str">
        <x:v>رضا فرهادی</x:v>
      </x:c>
      <x:c r="J88" s="31" t="str">
        <x:v>Summer School 1405 instructor fee: Course not specified</x:v>
      </x:c>
      <x:c r="K88" s="31" t="str">
        <x:v>حق تدریس مدرسه تابستانه ۱۴۰۵ — رضا فرهادی</x:v>
      </x:c>
      <x:c r="L88" s="8" t="str">
        <x:v>Teaching</x:v>
      </x:c>
      <x:c r="M88" s="8" t="str">
        <x:v>Summer School 1405</x:v>
      </x:c>
      <x:c r="N88" s="8" t="str">
        <x:v>Supported</x:v>
      </x:c>
      <x:c r="O88" s="8" t="str">
        <x:v>Receipt and user confirmation</x:v>
      </x:c>
      <x:c r="P88" s="8" t="str">
        <x:v>BLU-CUSTODIAN</x:v>
      </x:c>
      <x:c r="Q88" s="8" t="str"/>
      <x:c r="R88" s="8" t="str">
        <x:v>140506301534578220563979207732</x:v>
      </x:c>
      <x:c r="S88" s="8"/>
      <x:c r="T88" s="31" t="str"/>
      <x:c r="U88" s="31" t="str">
        <x:v>1405/06/30 = Monday 2026-09-21, consistent with the receipt. Provisional ('این رسید نهایی نیست'). User confirms all recipts/ documents represent association expenses. Purpose specifically classified from user confirmation. Original image is a provisional transfer screen; completion is accepted from user confirmation, not independently proven by the image.</x:v>
      </x:c>
      <x:c r="V88" s="31" t="str">
        <x:v>recipts/photo_2_2026-10-10_11-09-04.jpg
reports/2026-10-10/user_confirmation_2026-10-10.json</x:v>
      </x:c>
      <x:c r="W88" s="13" t="n">
        <x:f>IF(AND(N88="Supported",E88="Receipt",ISNUMBER(H88)),H88,0)</x:f>
        <x:v>0</x:v>
      </x:c>
      <x:c r="X88" s="13" t="n">
        <x:f>IF(AND(N88="Supported",E88="Payment",ISNUMBER(H88)),H88,0)</x:f>
        <x:v>1200000</x:v>
      </x:c>
      <x:c r="Y88" s="13" t="n">
        <x:f>W88-X88</x:f>
        <x:v>-1200000</x:v>
      </x:c>
    </x:row>
    <x:row r="89" ht="36" hidden="0" customHeight="1">
      <x:c r="A89" s="8" t="str">
        <x:v>TX0085</x:v>
      </x:c>
      <x:c r="B89" s="9" t="d">
        <x:v>2026-09-21T00:00:00.000Z</x:v>
      </x:c>
      <x:c r="C89" s="8" t="str">
        <x:v>1405/06/30</x:v>
      </x:c>
      <x:c r="D89" s="8" t="str">
        <x:v>1405/06</x:v>
      </x:c>
      <x:c r="E89" s="8" t="str">
        <x:v>Payment</x:v>
      </x:c>
      <x:c r="F89" s="11" t="n">
        <x:v>24000000</x:v>
      </x:c>
      <x:c r="G89" s="12" t="str">
        <x:v>rial</x:v>
      </x:c>
      <x:c r="H89" s="11" t="n">
        <x:v>2400000</x:v>
      </x:c>
      <x:c r="I89" s="8" t="str">
        <x:v>ابوالفضل احمدی (paid to علیرضا کچویی محقق یعقوبی)</x:v>
      </x:c>
      <x:c r="J89" s="31" t="str">
        <x:v>Summer School 1405 instructor fee: LaTeX and API</x:v>
      </x:c>
      <x:c r="K89" s="31" t="str">
        <x:v>حق تدریس مدرسه تابستانه ۱۴۰۵ — ابوالفضل احمدی</x:v>
      </x:c>
      <x:c r="L89" s="8" t="str">
        <x:v>Teaching</x:v>
      </x:c>
      <x:c r="M89" s="8" t="str">
        <x:v>Summer School 1405</x:v>
      </x:c>
      <x:c r="N89" s="8" t="str">
        <x:v>Supported</x:v>
      </x:c>
      <x:c r="O89" s="8" t="str">
        <x:v>Receipt and user confirmation</x:v>
      </x:c>
      <x:c r="P89" s="8" t="str">
        <x:v>BLU-CUSTODIAN</x:v>
      </x:c>
      <x:c r="Q89" s="8" t="str"/>
      <x:c r="R89" s="8" t="str">
        <x:v>14055256207674</x:v>
      </x:c>
      <x:c r="S89" s="8"/>
      <x:c r="T89" s="31" t="str"/>
      <x:c r="U89" s="31" t="str">
        <x:v> User confirms all recipts/ documents represent association expenses. Purpose specifically classified from user confirmation. Instructor beneficiary: Abolfazl Ahmadi; bank account payee: Alireza Kachooei Mohaghegh Yaghoubi. Explicit user-confirmed relationship.</x:v>
      </x:c>
      <x:c r="V89" s="31" t="str">
        <x:v>recipts/photo_3_2026-10-10_11-09-04.jpg
reports/2026-10-10/user_confirmation_2026-10-10.json</x:v>
      </x:c>
      <x:c r="W89" s="13" t="n">
        <x:f>IF(AND(N89="Supported",E89="Receipt",ISNUMBER(H89)),H89,0)</x:f>
        <x:v>0</x:v>
      </x:c>
      <x:c r="X89" s="13" t="n">
        <x:f>IF(AND(N89="Supported",E89="Payment",ISNUMBER(H89)),H89,0)</x:f>
        <x:v>2400000</x:v>
      </x:c>
      <x:c r="Y89" s="13" t="n">
        <x:f>W89-X89</x:f>
        <x:v>-2400000</x:v>
      </x:c>
    </x:row>
    <x:row r="90" ht="24" hidden="0" customHeight="1">
      <x:c r="A90" s="8" t="str">
        <x:v>TX0086</x:v>
      </x:c>
      <x:c r="B90" s="9" t="d">
        <x:v>2026-09-23T00:00:00.000Z</x:v>
      </x:c>
      <x:c r="C90" s="8" t="str">
        <x:v>1405/07/01</x:v>
      </x:c>
      <x:c r="D90" s="8" t="str">
        <x:v>1405/07</x:v>
      </x:c>
      <x:c r="E90" s="8" t="str">
        <x:v>Payment</x:v>
      </x:c>
      <x:c r="F90" s="11" t="n">
        <x:v>47000000</x:v>
      </x:c>
      <x:c r="G90" s="12" t="str">
        <x:v>rial</x:v>
      </x:c>
      <x:c r="H90" s="11" t="n">
        <x:v>4700000</x:v>
      </x:c>
      <x:c r="I90" s="8" t="str">
        <x:v>بهاره خویش‌خواه</x:v>
      </x:c>
      <x:c r="J90" s="31" t="str">
        <x:v>Summer School 1405 instructor fee: Physical simulation with Python</x:v>
      </x:c>
      <x:c r="K90" s="31" t="str">
        <x:v>حق تدریس مدرسه تابستانه ۱۴۰۵ — بهاره خویش خواه</x:v>
      </x:c>
      <x:c r="L90" s="8" t="str">
        <x:v>Teaching</x:v>
      </x:c>
      <x:c r="M90" s="8" t="str">
        <x:v>Summer School 1405</x:v>
      </x:c>
      <x:c r="N90" s="8" t="str">
        <x:v>Supported</x:v>
      </x:c>
      <x:c r="O90" s="8" t="str">
        <x:v>Receipt and user confirmation</x:v>
      </x:c>
      <x:c r="P90" s="8" t="str">
        <x:v>BLU-CUSTODIAN</x:v>
      </x:c>
      <x:c r="Q90" s="8" t="str"/>
      <x:c r="R90" s="8" t="str">
        <x:v>140507010562889372</x:v>
      </x:c>
      <x:c r="S90" s="8"/>
      <x:c r="T90" s="31" t="str"/>
      <x:c r="U90" s="31" t="str">
        <x:v> User confirms all recipts/ documents represent association expenses. Purpose specifically classified from user confirmation.</x:v>
      </x:c>
      <x:c r="V90" s="31" t="str">
        <x:v>recipts/photo_7_2026-10-10_11-09-04.jpg
reports/2026-10-10/user_confirmation_2026-10-10.json</x:v>
      </x:c>
      <x:c r="W90" s="13" t="n">
        <x:f>IF(AND(N90="Supported",E90="Receipt",ISNUMBER(H90)),H90,0)</x:f>
        <x:v>0</x:v>
      </x:c>
      <x:c r="X90" s="13" t="n">
        <x:f>IF(AND(N90="Supported",E90="Payment",ISNUMBER(H90)),H90,0)</x:f>
        <x:v>4700000</x:v>
      </x:c>
      <x:c r="Y90" s="13" t="n">
        <x:f>W90-X90</x:f>
        <x:v>-4700000</x:v>
      </x:c>
    </x:row>
    <x:row r="91" ht="24" hidden="0" customHeight="1">
      <x:c r="A91" s="8" t="str">
        <x:v>TX0087</x:v>
      </x:c>
      <x:c r="B91" s="9" t="d">
        <x:v>2026-09-23T00:00:00.000Z</x:v>
      </x:c>
      <x:c r="C91" s="8" t="str">
        <x:v>1405/07/01</x:v>
      </x:c>
      <x:c r="D91" s="8" t="str">
        <x:v>1405/07</x:v>
      </x:c>
      <x:c r="E91" s="8" t="str">
        <x:v>Payment</x:v>
      </x:c>
      <x:c r="F91" s="11" t="n">
        <x:v>26000000</x:v>
      </x:c>
      <x:c r="G91" s="12" t="str">
        <x:v>rial</x:v>
      </x:c>
      <x:c r="H91" s="11" t="n">
        <x:v>2600000</x:v>
      </x:c>
      <x:c r="I91" s="8" t="str">
        <x:v>ایلیا اصغریان دهکردی</x:v>
      </x:c>
      <x:c r="J91" s="31" t="str">
        <x:v>Summer School 1405 instructor fee: Course not specified</x:v>
      </x:c>
      <x:c r="K91" s="31" t="str">
        <x:v>حق تدریس مدرسه تابستانه ۱۴۰۵ — ایلیا اصغریان دهکردی</x:v>
      </x:c>
      <x:c r="L91" s="8" t="str">
        <x:v>Teaching</x:v>
      </x:c>
      <x:c r="M91" s="8" t="str">
        <x:v>Summer School 1405</x:v>
      </x:c>
      <x:c r="N91" s="8" t="str">
        <x:v>Supported</x:v>
      </x:c>
      <x:c r="O91" s="8" t="str">
        <x:v>Receipt and user confirmation</x:v>
      </x:c>
      <x:c r="P91" s="8" t="str">
        <x:v>BLU-CUSTODIAN</x:v>
      </x:c>
      <x:c r="Q91" s="8" t="str"/>
      <x:c r="R91" s="8" t="str">
        <x:v>14055311988732</x:v>
      </x:c>
      <x:c r="S91" s="8"/>
      <x:c r="T91" s="31" t="str"/>
      <x:c r="U91" s="31" t="str">
        <x:v> User confirms all recipts/ documents represent association expenses. Purpose specifically classified from user confirmation.</x:v>
      </x:c>
      <x:c r="V91" s="31" t="str">
        <x:v>recipts/photo_8_2026-10-10_11-09-04.jpg
reports/2026-10-10/user_confirmation_2026-10-10.json</x:v>
      </x:c>
      <x:c r="W91" s="13" t="n">
        <x:f>IF(AND(N91="Supported",E91="Receipt",ISNUMBER(H91)),H91,0)</x:f>
        <x:v>0</x:v>
      </x:c>
      <x:c r="X91" s="13" t="n">
        <x:f>IF(AND(N91="Supported",E91="Payment",ISNUMBER(H91)),H91,0)</x:f>
        <x:v>2600000</x:v>
      </x:c>
      <x:c r="Y91" s="13" t="n">
        <x:f>W91-X91</x:f>
        <x:v>-2600000</x:v>
      </x:c>
    </x:row>
    <x:row r="92" ht="36" hidden="0" customHeight="1">
      <x:c r="A92" s="8" t="str">
        <x:v>TX0088</x:v>
      </x:c>
      <x:c r="B92" s="9" t="d">
        <x:v>2026-09-23T00:00:00.000Z</x:v>
      </x:c>
      <x:c r="C92" s="8" t="str">
        <x:v>1405/07/01</x:v>
      </x:c>
      <x:c r="D92" s="8" t="str">
        <x:v>1405/07</x:v>
      </x:c>
      <x:c r="E92" s="8" t="str">
        <x:v>Payment</x:v>
      </x:c>
      <x:c r="F92" s="11" t="n">
        <x:v>9500000</x:v>
      </x:c>
      <x:c r="G92" s="12" t="str">
        <x:v>rial</x:v>
      </x:c>
      <x:c r="H92" s="11" t="n">
        <x:v>950000</x:v>
      </x:c>
      <x:c r="I92" s="8" t="str">
        <x:v>زهرا امیری</x:v>
      </x:c>
      <x:c r="J92" s="31" t="str">
        <x:v>Sticker packs for introduction event</x:v>
      </x:c>
      <x:c r="K92" s="31" t="str">
        <x:v>خرید بسته‌های استیکر برای رویداد معرفی</x:v>
      </x:c>
      <x:c r="L92" s="8" t="str">
        <x:v>Supplies</x:v>
      </x:c>
      <x:c r="M92" s="8" t="str">
        <x:v>Intro Event 1405</x:v>
      </x:c>
      <x:c r="N92" s="8" t="str">
        <x:v>Supported</x:v>
      </x:c>
      <x:c r="O92" s="8" t="str">
        <x:v>Receipt and user confirmation</x:v>
      </x:c>
      <x:c r="P92" s="8" t="str">
        <x:v>BLU-CUSTODIAN</x:v>
      </x:c>
      <x:c r="Q92" s="8" t="str"/>
      <x:c r="R92" s="8" t="str">
        <x:v>140507010417015540563175074696</x:v>
      </x:c>
      <x:c r="S92" s="8"/>
      <x:c r="T92" s="31" t="str"/>
      <x:c r="U92" s="31" t="str">
        <x:v> User confirms all recipts/ documents represent association expenses. Purpose specifically classified from user confirmation. Original image is a provisional transfer screen; completion is accepted from user confirmation, not independently proven by the image. User confirms sticker packs; not teaching fees or design fee.</x:v>
      </x:c>
      <x:c r="V92" s="31" t="str">
        <x:v>recipts/photo_6_2026-10-10_11-09-04.jpg
reports/2026-10-10/user_confirmation_2026-10-10.json</x:v>
      </x:c>
      <x:c r="W92" s="13" t="n">
        <x:f>IF(AND(N92="Supported",E92="Receipt",ISNUMBER(H92)),H92,0)</x:f>
        <x:v>0</x:v>
      </x:c>
      <x:c r="X92" s="13" t="n">
        <x:f>IF(AND(N92="Supported",E92="Payment",ISNUMBER(H92)),H92,0)</x:f>
        <x:v>950000</x:v>
      </x:c>
      <x:c r="Y92" s="13" t="n">
        <x:f>W92-X92</x:f>
        <x:v>-950000</x:v>
      </x:c>
    </x:row>
    <x:row r="93" ht="48" hidden="0" customHeight="1">
      <x:c r="A93" s="8" t="str">
        <x:v>TX0089</x:v>
      </x:c>
      <x:c r="B93" s="9" t="d">
        <x:v>2026-09-23T00:00:00.000Z</x:v>
      </x:c>
      <x:c r="C93" s="8" t="str">
        <x:v>1405/07/01</x:v>
      </x:c>
      <x:c r="D93" s="8" t="str">
        <x:v>1405/07</x:v>
      </x:c>
      <x:c r="E93" s="8" t="str">
        <x:v>Payment</x:v>
      </x:c>
      <x:c r="F93" s="11" t="n">
        <x:v>99879000</x:v>
      </x:c>
      <x:c r="G93" s="12" t="str">
        <x:v>rial</x:v>
      </x:c>
      <x:c r="H93" s="11" t="n">
        <x:v>9987900</x:v>
      </x:c>
      <x:c r="I93" s="8" t="str">
        <x:v>یاران دریان لوکس گیشا</x:v>
      </x:c>
      <x:c r="J93" s="31" t="str">
        <x:v>Food and beverage purchase, settlement confirmed by user</x:v>
      </x:c>
      <x:c r="K93" s="31" t="str">
        <x:v>فاکتور ۱۹۰ قلم شیرکاکائو و کیک به نام حسن شیری</x:v>
      </x:c>
      <x:c r="L93" s="8" t="str">
        <x:v>Hospitality</x:v>
      </x:c>
      <x:c r="M93" s="8" t="str">
        <x:v>Unassigned</x:v>
      </x:c>
      <x:c r="N93" s="8" t="str">
        <x:v>Supported</x:v>
      </x:c>
      <x:c r="O93" s="8" t="str">
        <x:v>Invoice and user payment confirmation</x:v>
      </x:c>
      <x:c r="P93" s="8" t="str">
        <x:v>UNKNOWN</x:v>
      </x:c>
      <x:c r="Q93" s="8" t="str"/>
      <x:c r="R93" s="8"/>
      <x:c r="S93" s="8"/>
      <x:c r="T93" s="31" t="str"/>
      <x:c r="U93" s="31" t="str">
        <x:v>Payment attested by user; payment method/account not independently evidenced. Invoice line amounts total 100,100,000 rial versus printed total 99,879,000 (221,000 rial unexplained). Recorded at printed 9,987,900 toman. Original customer balance is retained; user confirms settlement. Prior project label: Unknown (possibly Intro Event 1405, 1405/07/02). Project not specifically confirmed; retained as Unassigned.</x:v>
      </x:c>
      <x:c r="V93" s="31" t="str">
        <x:v>recipts/photo_2026-10-10_12-16-28.jpg
reports/2026-10-10/user_confirmation_2026-10-10.json</x:v>
      </x:c>
      <x:c r="W93" s="13" t="n">
        <x:f>IF(AND(N93="Supported",E93="Receipt",ISNUMBER(H93)),H93,0)</x:f>
        <x:v>0</x:v>
      </x:c>
      <x:c r="X93" s="13" t="n">
        <x:f>IF(AND(N93="Supported",E93="Payment",ISNUMBER(H93)),H93,0)</x:f>
        <x:v>9987900</x:v>
      </x:c>
      <x:c r="Y93" s="13" t="n">
        <x:f>W93-X93</x:f>
        <x:v>-9987900</x:v>
      </x:c>
    </x:row>
    <x:row r="94" ht="48" hidden="0" customHeight="1">
      <x:c r="A94" s="8" t="str">
        <x:v>TX0090</x:v>
      </x:c>
      <x:c r="B94" s="9" t="d">
        <x:v>2026-09-24T00:00:00.000Z</x:v>
      </x:c>
      <x:c r="C94" s="8" t="str">
        <x:v>1405/07/02</x:v>
      </x:c>
      <x:c r="D94" s="8" t="str">
        <x:v>1405/07</x:v>
      </x:c>
      <x:c r="E94" s="8" t="str">
        <x:v>Payment</x:v>
      </x:c>
      <x:c r="F94" s="11" t="n">
        <x:v>139000000</x:v>
      </x:c>
      <x:c r="G94" s="12" t="str">
        <x:v>rial</x:v>
      </x:c>
      <x:c r="H94" s="11" t="n">
        <x:v>13900000</x:v>
      </x:c>
      <x:c r="I94" s="8" t="str">
        <x:v>پریا هاشمی</x:v>
      </x:c>
      <x:c r="J94" s="31" t="str">
        <x:v>Card transfer, purpose unknown</x:v>
      </x:c>
      <x:c r="K94" s="31" t="str">
        <x:v>انتقال کارت به کارت، بابت نامشخص</x:v>
      </x:c>
      <x:c r="L94" s="8" t="str">
        <x:v>Unclassified</x:v>
      </x:c>
      <x:c r="M94" s="8" t="str">
        <x:v>Unassigned</x:v>
      </x:c>
      <x:c r="N94" s="8" t="str">
        <x:v>Supported</x:v>
      </x:c>
      <x:c r="O94" s="8" t="str">
        <x:v>Receipt and user confirmation</x:v>
      </x:c>
      <x:c r="P94" s="8" t="str">
        <x:v>BLU-CUSTODIAN</x:v>
      </x:c>
      <x:c r="Q94" s="8" t="str"/>
      <x:c r="R94" s="8" t="str">
        <x:v>487065</x:v>
      </x:c>
      <x:c r="S94" s="8"/>
      <x:c r="T94" s="31" t="str"/>
      <x:c r="U94" s="31" t="str">
        <x:v>Reference 487026636208. User confirms all recipts/ documents represent association expenses. Purpose is retained as unclassified unless specifically identified. Source identification: masked source card ending 6947. Association attribution is user-attested; no balance reconciliation is implied. Prior project label: Unknown (1405). Project not specifically confirmed; retained as Unassigned.</x:v>
      </x:c>
      <x:c r="V94" s="31" t="str">
        <x:v>recipts/photo_10_2026-10-10_11-09-04.jpg
reports/2026-10-10/user_confirmation_2026-10-10.json</x:v>
      </x:c>
      <x:c r="W94" s="13" t="n">
        <x:f>IF(AND(N94="Supported",E94="Receipt",ISNUMBER(H94)),H94,0)</x:f>
        <x:v>0</x:v>
      </x:c>
      <x:c r="X94" s="13" t="n">
        <x:f>IF(AND(N94="Supported",E94="Payment",ISNUMBER(H94)),H94,0)</x:f>
        <x:v>13900000</x:v>
      </x:c>
      <x:c r="Y94" s="13" t="n">
        <x:f>W94-X94</x:f>
        <x:v>-13900000</x:v>
      </x:c>
    </x:row>
    <x:row r="95" ht="48" hidden="0" customHeight="1">
      <x:c r="A95" s="8" t="str">
        <x:v>TX0091</x:v>
      </x:c>
      <x:c r="B95" s="9" t="d">
        <x:v>2026-09-24T00:00:00.000Z</x:v>
      </x:c>
      <x:c r="C95" s="8" t="str">
        <x:v>1405/07/02</x:v>
      </x:c>
      <x:c r="D95" s="8" t="str">
        <x:v>1405/07</x:v>
      </x:c>
      <x:c r="E95" s="8" t="str">
        <x:v>Payment</x:v>
      </x:c>
      <x:c r="F95" s="11" t="n">
        <x:v>23322500</x:v>
      </x:c>
      <x:c r="G95" s="12" t="str">
        <x:v>rial</x:v>
      </x:c>
      <x:c r="H95" s="11" t="n">
        <x:v>2332250</x:v>
      </x:c>
      <x:c r="I95" s="8" t="str">
        <x:v>Merchant 12738006</x:v>
      </x:c>
      <x:c r="J95" s="31" t="str">
        <x:v>Store purchase</x:v>
      </x:c>
      <x:c r="K95" s="31" t="str">
        <x:v>خرید از فروشگاه</x:v>
      </x:c>
      <x:c r="L95" s="8" t="str">
        <x:v>Unclassified</x:v>
      </x:c>
      <x:c r="M95" s="8" t="str">
        <x:v>Unassigned</x:v>
      </x:c>
      <x:c r="N95" s="8" t="str">
        <x:v>Supported</x:v>
      </x:c>
      <x:c r="O95" s="8" t="str">
        <x:v>Receipt and user confirmation</x:v>
      </x:c>
      <x:c r="P95" s="8" t="str">
        <x:v>BLU-CUSTODIAN</x:v>
      </x:c>
      <x:c r="Q95" s="8" t="str"/>
      <x:c r="R95" s="8"/>
      <x:c r="S95" s="8"/>
      <x:c r="T95" s="31" t="str"/>
      <x:c r="U95" s="31" t="str">
        <x:v>Balance after: 16,921,310 rial. User confirms all recipts/ documents represent association expenses. Purpose is retained as unclassified unless specifically identified. Source identification: holder not shown. Association attribution is user-attested; no balance reconciliation is implied. Prior project label: Unknown (1405). Project not specifically confirmed; retained as Unassigned.</x:v>
      </x:c>
      <x:c r="V95" s="31" t="str">
        <x:v>recipts/photo_11_2026-10-10_11-09-04.jpg
reports/2026-10-10/user_confirmation_2026-10-10.json</x:v>
      </x:c>
      <x:c r="W95" s="13" t="n">
        <x:f>IF(AND(N95="Supported",E95="Receipt",ISNUMBER(H95)),H95,0)</x:f>
        <x:v>0</x:v>
      </x:c>
      <x:c r="X95" s="13" t="n">
        <x:f>IF(AND(N95="Supported",E95="Payment",ISNUMBER(H95)),H95,0)</x:f>
        <x:v>2332250</x:v>
      </x:c>
      <x:c r="Y95" s="13" t="n">
        <x:f>W95-X95</x:f>
        <x:v>-2332250</x:v>
      </x:c>
    </x:row>
    <x:row r="96" ht="48" hidden="0" customHeight="1">
      <x:c r="A96" s="8" t="str">
        <x:v>TX0092</x:v>
      </x:c>
      <x:c r="B96" s="9" t="d">
        <x:v>2026-10-06T00:00:00.000Z</x:v>
      </x:c>
      <x:c r="C96" s="8" t="str">
        <x:v>1405/07/14</x:v>
      </x:c>
      <x:c r="D96" s="8" t="str">
        <x:v>1405/07</x:v>
      </x:c>
      <x:c r="E96" s="8" t="str">
        <x:v>Payment</x:v>
      </x:c>
      <x:c r="F96" s="11" t="n">
        <x:v>3050000</x:v>
      </x:c>
      <x:c r="G96" s="12" t="str">
        <x:v>rial</x:v>
      </x:c>
      <x:c r="H96" s="11" t="n">
        <x:v>305000</x:v>
      </x:c>
      <x:c r="I96" s="8" t="str">
        <x:v>مژده سلمانی سرشکی</x:v>
      </x:c>
      <x:c r="J96" s="31" t="str">
        <x:v>Card transfer, purpose unknown</x:v>
      </x:c>
      <x:c r="K96" s="31" t="str">
        <x:v>انتقال کارت به کارت</x:v>
      </x:c>
      <x:c r="L96" s="8" t="str">
        <x:v>Unclassified</x:v>
      </x:c>
      <x:c r="M96" s="8" t="str">
        <x:v>Unassigned</x:v>
      </x:c>
      <x:c r="N96" s="8" t="str">
        <x:v>Supported</x:v>
      </x:c>
      <x:c r="O96" s="8" t="str">
        <x:v>Receipt and user confirmation</x:v>
      </x:c>
      <x:c r="P96" s="8" t="str">
        <x:v>BLU-CUSTODIAN</x:v>
      </x:c>
      <x:c r="Q96" s="8" t="str"/>
      <x:c r="R96" s="8" t="str">
        <x:v>981431</x:v>
      </x:c>
      <x:c r="S96" s="8"/>
      <x:c r="T96" s="31" t="str"/>
      <x:c r="U96" s="31" t="str">
        <x:v> User confirms all recipts/ documents represent association expenses. Purpose is retained as unclassified unless specifically identified. Source identification: masked source card ending 6947. Association attribution is user-attested; no balance reconciliation is implied. Prior project label: Unknown (1405). Project not specifically confirmed; retained as Unassigned.</x:v>
      </x:c>
      <x:c r="V96" s="31" t="str">
        <x:v>recipts/photo_12_2026-10-10_11-09-04.jpg
reports/2026-10-10/user_confirmation_2026-10-10.json</x:v>
      </x:c>
      <x:c r="W96" s="13" t="n">
        <x:f>IF(AND(N96="Supported",E96="Receipt",ISNUMBER(H96)),H96,0)</x:f>
        <x:v>0</x:v>
      </x:c>
      <x:c r="X96" s="13" t="n">
        <x:f>IF(AND(N96="Supported",E96="Payment",ISNUMBER(H96)),H96,0)</x:f>
        <x:v>305000</x:v>
      </x:c>
      <x:c r="Y96" s="13" t="n">
        <x:f>W96-X96</x:f>
        <x:v>-305000</x:v>
      </x:c>
    </x:row>
    <x:row r="97" ht="15" hidden="0" customHeight="1">
      <x:c r="A97" s="8" t="str">
        <x:v>TX0093</x:v>
      </x:c>
      <x:c r="B97" s="9"/>
      <x:c r="C97" s="8"/>
      <x:c r="D97" s="8" t="str">
        <x:v>1405/07</x:v>
      </x:c>
      <x:c r="E97" s="8" t="str">
        <x:v>Receipt</x:v>
      </x:c>
      <x:c r="F97" s="11" t="n">
        <x:v>23000000</x:v>
      </x:c>
      <x:c r="G97" s="12" t="str">
        <x:v>toman</x:v>
      </x:c>
      <x:c r="H97" s="11" t="n">
        <x:v>23000000</x:v>
      </x:c>
      <x:c r="I97" s="8" t="str">
        <x:v>Event platform / participants</x:v>
      </x:c>
      <x:c r="J97" s="31" t="str">
        <x:v>Intro event 1405 receipts per ledger</x:v>
      </x:c>
      <x:c r="K97" s="31" t="str">
        <x:v>درآمد معرفی رشته (مهر ۰۵)</x:v>
      </x:c>
      <x:c r="L97" s="8" t="str">
        <x:v>Events</x:v>
      </x:c>
      <x:c r="M97" s="8" t="str">
        <x:v>Intro Event 1405</x:v>
      </x:c>
      <x:c r="N97" s="8" t="str">
        <x:v>Supported</x:v>
      </x:c>
      <x:c r="O97" s="8" t="str">
        <x:v>Original ledger</x:v>
      </x:c>
      <x:c r="P97" s="8" t="str">
        <x:v>UNKNOWN</x:v>
      </x:c>
      <x:c r="Q97" s="8" t="str"/>
      <x:c r="R97" s="8"/>
      <x:c r="S97" s="8"/>
      <x:c r="T97" s="31" t="str">
        <x:v>No settlement deposit. A bridge to the 27,235,000 gross is required (ISS004).</x:v>
      </x:c>
      <x:c r="U97" s="31" t="str">
        <x:v>Ledger-derived. Included on original-ledger/treasurer-statement basis only; no bank deposit corroboration.</x:v>
      </x:c>
      <x:c r="V97" s="31" t="str">
        <x:v>Anjoman accounting.xlsx#مجموع!B45</x:v>
      </x:c>
      <x:c r="W97" s="13" t="n">
        <x:f>IF(AND(N97="Supported",E97="Receipt",ISNUMBER(H97)),H97,0)</x:f>
        <x:v>23000000</x:v>
      </x:c>
      <x:c r="X97" s="13" t="n">
        <x:f>IF(AND(N97="Supported",E97="Payment",ISNUMBER(H97)),H97,0)</x:f>
        <x:v>0</x:v>
      </x:c>
      <x:c r="Y97" s="13" t="n">
        <x:f>W97-X97</x:f>
        <x:v>23000000</x:v>
      </x:c>
    </x:row>
    <x:row r="98" ht="24" hidden="0" customHeight="1">
      <x:c r="A98" s="8" t="str">
        <x:v>TX0094</x:v>
      </x:c>
      <x:c r="B98" s="9" t="d">
        <x:v>2026-09-24T00:00:00.000Z</x:v>
      </x:c>
      <x:c r="C98" s="8" t="str">
        <x:v>1405/07/02</x:v>
      </x:c>
      <x:c r="D98" s="8" t="str">
        <x:v>1405/07</x:v>
      </x:c>
      <x:c r="E98" s="8" t="str">
        <x:v>Receipt</x:v>
      </x:c>
      <x:c r="F98" s="11" t="n">
        <x:v>27235000</x:v>
      </x:c>
      <x:c r="G98" s="12" t="str">
        <x:v>toman</x:v>
      </x:c>
      <x:c r="H98" s="11" t="n">
        <x:v>27235000</x:v>
      </x:c>
      <x:c r="I98" s="8" t="str">
        <x:v>Ticket buyers (90)</x:v>
      </x:c>
      <x:c r="J98" s="31" t="str">
        <x:v>Platform-reported gross ticket sales</x:v>
      </x:c>
      <x:c r="K98" s="31" t="str">
        <x:v>فروش بلیت ناخالص طبق گزارش پلتفرم</x:v>
      </x:c>
      <x:c r="L98" s="8" t="str">
        <x:v>Events</x:v>
      </x:c>
      <x:c r="M98" s="8" t="str">
        <x:v>Intro Event 1405</x:v>
      </x:c>
      <x:c r="N98" s="8" t="str">
        <x:v>Summary only</x:v>
      </x:c>
      <x:c r="O98" s="8" t="str">
        <x:v>Report</x:v>
      </x:c>
      <x:c r="P98" s="8" t="str">
        <x:v>UNKNOWN</x:v>
      </x:c>
      <x:c r="Q98" s="8" t="str"/>
      <x:c r="R98" s="8"/>
      <x:c r="S98" s="8"/>
      <x:c r="T98" s="31" t="str">
        <x:v>Gross sales, not settlement. Not additive to TX0093.</x:v>
      </x:c>
      <x:c r="U98" s="31" t="str">
        <x:v>Gap of 4,235,000 vs ledger (fees, refunds or timing unknown).</x:v>
      </x:c>
      <x:c r="V98" s="31" t="str">
        <x:v>physics_intro full report.pdf#page=1
physics_intro full report.pdf#page=2</x:v>
      </x:c>
      <x:c r="W98" s="13" t="n">
        <x:f>IF(AND(N98="Supported",E98="Receipt",ISNUMBER(H98)),H98,0)</x:f>
        <x:v>0</x:v>
      </x:c>
      <x:c r="X98" s="13" t="n">
        <x:f>IF(AND(N98="Supported",E98="Payment",ISNUMBER(H98)),H98,0)</x:f>
        <x:v>0</x:v>
      </x:c>
      <x:c r="Y98" s="13" t="n">
        <x:f>W98-X98</x:f>
        <x:v>0</x:v>
      </x:c>
    </x:row>
    <x:row r="99" ht="15" hidden="0" customHeight="1">
      <x:c r="A99" s="8" t="str">
        <x:v>TX0095</x:v>
      </x:c>
      <x:c r="B99" s="9"/>
      <x:c r="C99" s="8"/>
      <x:c r="D99" s="8" t="str">
        <x:v>1405/07</x:v>
      </x:c>
      <x:c r="E99" s="8" t="str">
        <x:v>Payment</x:v>
      </x:c>
      <x:c r="F99" s="11" t="n">
        <x:v>5000000</x:v>
      </x:c>
      <x:c r="G99" s="12" t="str">
        <x:v>toman</x:v>
      </x:c>
      <x:c r="H99" s="11" t="n">
        <x:v>5000000</x:v>
      </x:c>
      <x:c r="I99" s="8" t="str">
        <x:v>Unknown</x:v>
      </x:c>
      <x:c r="J99" s="31" t="str">
        <x:v>Post-event gathering</x:v>
      </x:c>
      <x:c r="K99" s="31" t="str">
        <x:v>دورهمی بعد از رویداد معرفی رشته</x:v>
      </x:c>
      <x:c r="L99" s="8" t="str">
        <x:v>Events</x:v>
      </x:c>
      <x:c r="M99" s="8" t="str">
        <x:v>Intro Event 1405</x:v>
      </x:c>
      <x:c r="N99" s="8" t="str">
        <x:v>Supported</x:v>
      </x:c>
      <x:c r="O99" s="8" t="str">
        <x:v>Original ledger</x:v>
      </x:c>
      <x:c r="P99" s="8" t="str">
        <x:v>UNKNOWN</x:v>
      </x:c>
      <x:c r="Q99" s="8" t="str"/>
      <x:c r="R99" s="8"/>
      <x:c r="S99" s="8"/>
      <x:c r="T99" s="31" t="str">
        <x:v>No receipt; round amount.</x:v>
      </x:c>
      <x:c r="U99" s="31" t="str">
        <x:v>Ledger-derived.</x:v>
      </x:c>
      <x:c r="V99" s="31" t="str">
        <x:v>Anjoman accounting.xlsx#مجموع!D45</x:v>
      </x:c>
      <x:c r="W99" s="13" t="n">
        <x:f>IF(AND(N99="Supported",E99="Receipt",ISNUMBER(H99)),H99,0)</x:f>
        <x:v>0</x:v>
      </x:c>
      <x:c r="X99" s="13" t="n">
        <x:f>IF(AND(N99="Supported",E99="Payment",ISNUMBER(H99)),H99,0)</x:f>
        <x:v>5000000</x:v>
      </x:c>
      <x:c r="Y99" s="13" t="n">
        <x:f>W99-X99</x:f>
        <x:v>-5000000</x:v>
      </x:c>
    </x:row>
  </x:sheetData>
  <x:mergeCells>
    <x:mergeCell ref="A2:F2"/>
  </x:mergeCells>
  <x:conditionalFormatting sqref="N5:N99">
    <x:cfRule type="containsText" dxfId="0" priority="1" operator="containsText" text="Review"/>
  </x:conditionalFormatting>
  <x:dataValidations count="2">
    <x:dataValidation type="list" sqref="N5:N99">
      <x:formula1>"Supported,Review,Duplicate,Invoice only,Summary only"</x:formula1>
    </x:dataValidation>
    <x:dataValidation type="list" sqref="E5:E99">
      <x:formula1>"Receipt,Payment,Internal transfer,Unknown"</x:formula1>
    </x:dataValidation>
  </x:dataValidations>
  <x:pageMargins left="0.7" right="0.7" top="0.75" bottom="0.75" header="0.3" footer="0.3"/>
  <x:tableParts count="1">
    <x:tablePart xmlns:r="http://schemas.openxmlformats.org/officeDocument/2006/relationships" r:id="R42ab8608d7634931"/>
  </x:tableParts>
</x:worksheet>
</file>

<file path=xl/worksheets/sheet8.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4" hidden="0" customWidth="1"/>
    <x:col min="2" max="2" width="17" hidden="0" customWidth="1"/>
    <x:col min="3" max="3" width="42" hidden="0" customWidth="1"/>
    <x:col min="4" max="4" width="80" hidden="0" customWidth="1"/>
    <x:col min="5" max="5" width="26" hidden="0" customWidth="1"/>
    <x:col min="6" max="6" width="23" hidden="0" customWidth="1"/>
    <x:col min="7" max="7" width="23" hidden="0" customWidth="1"/>
    <x:col min="8" max="8" width="30" hidden="0" customWidth="1"/>
    <x:col min="9" max="9" width="24" hidden="0" customWidth="1"/>
    <x:col min="10" max="10" width="85" hidden="0" customWidth="1"/>
    <x:col min="11" max="11" width="100" hidden="0" customWidth="1"/>
  </x:cols>
  <x:sheetData>
    <x:row r="1" ht="15" hidden="0" customHeight="1">
      <x:c r="A1" s="33"/>
      <x:c r="B1" s="33"/>
      <x:c r="C1" s="33"/>
      <x:c r="D1" s="33"/>
      <x:c r="E1" s="33"/>
      <x:c r="F1" s="33"/>
      <x:c r="G1" s="33"/>
      <x:c r="H1" s="33"/>
      <x:c r="I1" s="33"/>
      <x:c r="J1" s="33"/>
      <x:c r="K1" s="33"/>
    </x:row>
    <x:row r="2" ht="16.799999237060547" hidden="0" customHeight="1">
      <x:c r="A2" s="34" t="str">
        <x:v>Supplier invoice and payment matching register</x:v>
      </x:c>
      <x:c r="B2" s="33"/>
      <x:c r="C2" s="33"/>
      <x:c r="D2" s="33"/>
      <x:c r="E2" s="33"/>
      <x:c r="F2" s="33"/>
      <x:c r="G2" s="33"/>
      <x:c r="H2" s="33"/>
      <x:c r="I2" s="33"/>
      <x:c r="J2" s="33"/>
      <x:c r="K2" s="33"/>
    </x:row>
    <x:row r="3" ht="15" hidden="0" customHeight="1">
      <x:c r="A3" s="33"/>
      <x:c r="B3" s="33"/>
      <x:c r="C3" s="33"/>
      <x:c r="D3" s="33"/>
      <x:c r="E3" s="33"/>
      <x:c r="F3" s="33"/>
      <x:c r="G3" s="33"/>
      <x:c r="H3" s="33"/>
      <x:c r="I3" s="33"/>
      <x:c r="J3" s="33"/>
      <x:c r="K3" s="33"/>
    </x:row>
    <x:row r="4" ht="15" hidden="0" customHeight="1">
      <x:c r="A4" s="7" t="str">
        <x:v>ID</x:v>
      </x:c>
      <x:c r="B4" s="7" t="str">
        <x:v>Jalali date</x:v>
      </x:c>
      <x:c r="C4" s="7" t="str">
        <x:v>Supplier</x:v>
      </x:c>
      <x:c r="D4" s="7" t="str">
        <x:v>Description</x:v>
      </x:c>
      <x:c r="E4" s="7" t="str">
        <x:v>Invoice reference</x:v>
      </x:c>
      <x:c r="F4" s="7" t="str">
        <x:v>Gross (toman)</x:v>
      </x:c>
      <x:c r="G4" s="7" t="str">
        <x:v>Tax (toman)</x:v>
      </x:c>
      <x:c r="H4" s="7" t="str">
        <x:v>Matched transaction IDs</x:v>
      </x:c>
      <x:c r="I4" s="7" t="str">
        <x:v>Status</x:v>
      </x:c>
      <x:c r="J4" s="7" t="str">
        <x:v>Source reference</x:v>
      </x:c>
      <x:c r="K4" s="7" t="str">
        <x:v>Notes</x:v>
      </x:c>
    </x:row>
    <x:row r="5" ht="15" hidden="0" customHeight="1">
      <x:c r="A5" s="31" t="str">
        <x:v>INV001</x:v>
      </x:c>
      <x:c r="B5" s="31" t="str">
        <x:v>1404/07/22</x:v>
      </x:c>
      <x:c r="C5" s="31" t="str">
        <x:v>نوآوران فن‌آوازه (Digikala)</x:v>
      </x:c>
      <x:c r="D5" s="31" t="str">
        <x:v>Sony NP-FV50 battery, invoice 15628595</x:v>
      </x:c>
      <x:c r="E5" s="31"/>
      <x:c r="F5" s="35" t="n">
        <x:v>696000</x:v>
      </x:c>
      <x:c r="G5" s="35" t="n">
        <x:v>0</x:v>
      </x:c>
      <x:c r="H5" s="31" t="str">
        <x:v>TX0032</x:v>
      </x:c>
      <x:c r="I5" s="31" t="str">
        <x:v>Matched payment</x:v>
      </x:c>
      <x:c r="J5" s="31" t="str">
        <x:v>telegram export/files/dk-file-2025-10-16-14-43-08.pdf#page=1</x:v>
      </x:c>
      <x:c r="K5" s="31" t="str">
        <x:v>Buyer Matin Ghassami. Paid via Nima Kouhi reimbursement (with INV002 = 725,000).</x:v>
      </x:c>
    </x:row>
    <x:row r="6" ht="15" hidden="0" customHeight="1">
      <x:c r="A6" s="31" t="str">
        <x:v>INV002</x:v>
      </x:c>
      <x:c r="B6" s="31" t="str">
        <x:v>1404/07/22</x:v>
      </x:c>
      <x:c r="C6" s="31" t="str">
        <x:v>نوآوران فن‌آوازه (Digikala)</x:v>
      </x:c>
      <x:c r="D6" s="31" t="str">
        <x:v>Shipping and insurance, invoice 12050044</x:v>
      </x:c>
      <x:c r="E6" s="31"/>
      <x:c r="F6" s="35" t="n">
        <x:v>29000</x:v>
      </x:c>
      <x:c r="G6" s="35" t="n">
        <x:v>0</x:v>
      </x:c>
      <x:c r="H6" s="31" t="str">
        <x:v>TX0032</x:v>
      </x:c>
      <x:c r="I6" s="31" t="str">
        <x:v>Matched payment</x:v>
      </x:c>
      <x:c r="J6" s="31" t="str">
        <x:v>telegram export/files/dk-file-2025-10-16-14-43-08.pdf#page=1</x:v>
      </x:c>
      <x:c r="K6" s="31" t="str">
        <x:v>Same order as INV001.</x:v>
      </x:c>
    </x:row>
    <x:row r="7" ht="24" hidden="0" customHeight="1">
      <x:c r="A7" s="31" t="str">
        <x:v>INV003</x:v>
      </x:c>
      <x:c r="B7" s="31" t="str">
        <x:v>1404/08/07</x:v>
      </x:c>
      <x:c r="C7" s="31" t="str">
        <x:v>شادزی</x:v>
      </x:c>
      <x:c r="D7" s="31" t="str">
        <x:v>4 balloon glue, invoice 29449</x:v>
      </x:c>
      <x:c r="E7" s="31"/>
      <x:c r="F7" s="35" t="n">
        <x:v>120000</x:v>
      </x:c>
      <x:c r="G7" s="35"/>
      <x:c r="H7" s="31" t="str">
        <x:v>TX0037</x:v>
      </x:c>
      <x:c r="I7" s="31" t="str">
        <x:v>Matched payment</x:v>
      </x:c>
      <x:c r="J7" s="31" t="str">
        <x:v>telegram export/photos/photo_21@09-11-2025_23-16-09.jpg
telegram export/photos/photo_30@27-06-2026_18-24-31.jpg</x:v>
      </x:c>
      <x:c r="K7" s="31" t="str">
        <x:v>Two photos of one invoice. Paid via Ardavan reimbursement.</x:v>
      </x:c>
    </x:row>
    <x:row r="8" ht="24" hidden="0" customHeight="1">
      <x:c r="A8" s="31" t="str">
        <x:v>INV004</x:v>
      </x:c>
      <x:c r="B8" s="31" t="str">
        <x:v>1404/08/06</x:v>
      </x:c>
      <x:c r="C8" s="31" t="str">
        <x:v>شادزی</x:v>
      </x:c>
      <x:c r="D8" s="31" t="str">
        <x:v>Balloons, pump, thread, foils; invoice 2935/29350</x:v>
      </x:c>
      <x:c r="E8" s="31"/>
      <x:c r="F8" s="35" t="n">
        <x:v>1310000</x:v>
      </x:c>
      <x:c r="G8" s="35"/>
      <x:c r="H8" s="31" t="str">
        <x:v>TX0038</x:v>
      </x:c>
      <x:c r="I8" s="31" t="str">
        <x:v>Matched payment</x:v>
      </x:c>
      <x:c r="J8" s="31" t="str">
        <x:v>telegram export/photos/photo_22@09-11-2025_23-16-15.jpg
telegram export/photos/photo_29@27-06-2026_18-24-14.jpg</x:v>
      </x:c>
      <x:c r="K8" s="31" t="str">
        <x:v>Matched by amount to the Raheleh reimbursement. The 'Yalda' caption is a mislabel.</x:v>
      </x:c>
    </x:row>
    <x:row r="9" ht="15" hidden="0" customHeight="1">
      <x:c r="A9" s="31" t="str">
        <x:v>INV005</x:v>
      </x:c>
      <x:c r="B9" s="31"/>
      <x:c r="C9" s="31" t="str">
        <x:v>Unknown (handwritten)</x:v>
      </x:c>
      <x:c r="D9" s="31" t="str">
        <x:v>Freshman prizes: holders, spinners, bow ties</x:v>
      </x:c>
      <x:c r="E9" s="31"/>
      <x:c r="F9" s="35"/>
      <x:c r="G9" s="35"/>
      <x:c r="H9" s="31" t="str">
        <x:v>TX0033</x:v>
      </x:c>
      <x:c r="I9" s="31" t="str">
        <x:v>Uncertain</x:v>
      </x:c>
      <x:c r="J9" s="31" t="str">
        <x:v>telegram export/photos/photo_34@27-06-2026_18-26-03.jpg</x:v>
      </x:c>
      <x:c r="K9" s="31" t="str">
        <x:v>Total 14,350,000, unit unknown. Possibly the TX0033 or TX0035 prizes.</x:v>
      </x:c>
    </x:row>
    <x:row r="10" ht="15" hidden="0" customHeight="1">
      <x:c r="A10" s="31" t="str">
        <x:v>INV006</x:v>
      </x:c>
      <x:c r="B10" s="31" t="str">
        <x:v>1404/08/07</x:v>
      </x:c>
      <x:c r="C10" s="31" t="str">
        <x:v>T…Mobile (احمدی)</x:v>
      </x:c>
      <x:c r="D10" s="31" t="str">
        <x:v>USB flash 32G and earphones</x:v>
      </x:c>
      <x:c r="E10" s="31"/>
      <x:c r="F10" s="35" t="n">
        <x:v>1500000</x:v>
      </x:c>
      <x:c r="G10" s="35"/>
      <x:c r="H10" s="31" t="str">
        <x:v>TX0034</x:v>
      </x:c>
      <x:c r="I10" s="31" t="str">
        <x:v>Matched payment</x:v>
      </x:c>
      <x:c r="J10" s="31" t="str">
        <x:v>telegram export/photos/photo_35@27-06-2026_18-26-22.jpg</x:v>
      </x:c>
      <x:c r="K10" s="31" t="str">
        <x:v>POS slip stapled to the invoice.</x:v>
      </x:c>
    </x:row>
    <x:row r="11" ht="15" hidden="0" customHeight="1">
      <x:c r="A11" s="31" t="str">
        <x:v>INV007</x:v>
      </x:c>
      <x:c r="B11" s="31" t="str">
        <x:v>1404/07/22</x:v>
      </x:c>
      <x:c r="C11" s="31" t="str">
        <x:v>شیرینی مارژولن</x:v>
      </x:c>
      <x:c r="D11" s="31" t="str">
        <x:v>Pineapple pie and pastry order</x:v>
      </x:c>
      <x:c r="E11" s="31"/>
      <x:c r="F11" s="35" t="n">
        <x:v>1052375</x:v>
      </x:c>
      <x:c r="G11" s="35"/>
      <x:c r="H11" s="31" t="str">
        <x:v>TX0024</x:v>
      </x:c>
      <x:c r="I11" s="31" t="str">
        <x:v>Matched payment</x:v>
      </x:c>
      <x:c r="J11" s="31" t="str">
        <x:v>telegram export/photos/photo_36@27-06-2026_18-26-45.jpg</x:v>
      </x:c>
      <x:c r="K11" s="31" t="str">
        <x:v>Order screen.</x:v>
      </x:c>
    </x:row>
    <x:row r="12" ht="15" hidden="0" customHeight="1">
      <x:c r="A12" s="31" t="str">
        <x:v>INV008</x:v>
      </x:c>
      <x:c r="B12" s="31" t="str">
        <x:v>1404/07/20</x:v>
      </x:c>
      <x:c r="C12" s="31" t="str">
        <x:v>شیرینی مارژولن</x:v>
      </x:c>
      <x:c r="D12" s="31" t="str">
        <x:v>French chocolate cream pastry</x:v>
      </x:c>
      <x:c r="E12" s="31"/>
      <x:c r="F12" s="35" t="n">
        <x:v>912850</x:v>
      </x:c>
      <x:c r="G12" s="35"/>
      <x:c r="H12" s="31" t="str">
        <x:v>TX0023</x:v>
      </x:c>
      <x:c r="I12" s="31" t="str">
        <x:v>Matched payment</x:v>
      </x:c>
      <x:c r="J12" s="31" t="str">
        <x:v>telegram export/photos/photo_37@27-06-2026_18-27-12.jpg</x:v>
      </x:c>
      <x:c r="K12" s="31" t="str">
        <x:v>Arithmetic conflict noted.</x:v>
      </x:c>
    </x:row>
    <x:row r="13" ht="15" hidden="0" customHeight="1">
      <x:c r="A13" s="31" t="str">
        <x:v>INV009</x:v>
      </x:c>
      <x:c r="B13" s="31"/>
      <x:c r="C13" s="31" t="str">
        <x:v>Unknown online grocer</x:v>
      </x:c>
      <x:c r="D13" s="31" t="str">
        <x:v>7 × 2kg pomegranates</x:v>
      </x:c>
      <x:c r="E13" s="31"/>
      <x:c r="F13" s="35" t="n">
        <x:v>1664700</x:v>
      </x:c>
      <x:c r="G13" s="35"/>
      <x:c r="H13" s="31" t="str"/>
      <x:c r="I13" s="31" t="str">
        <x:v>Unmatched invoice</x:v>
      </x:c>
      <x:c r="J13" s="31" t="str">
        <x:v>telegram export/photos/photo_38@27-06-2026_18-27-25.jpg</x:v>
      </x:c>
      <x:c r="K13" s="31" t="str">
        <x:v>Yalda caption.</x:v>
      </x:c>
    </x:row>
    <x:row r="14" ht="24" hidden="0" customHeight="1">
      <x:c r="A14" s="31" t="str">
        <x:v>INV010</x:v>
      </x:c>
      <x:c r="B14" s="31" t="str">
        <x:v>1404/10/01</x:v>
      </x:c>
      <x:c r="C14" s="31" t="str">
        <x:v>Canbo (Everest Modern Pars)</x:v>
      </x:c>
      <x:c r="D14" s="31" t="str">
        <x:v>Jelly powder and cherry syrup</x:v>
      </x:c>
      <x:c r="E14" s="31"/>
      <x:c r="F14" s="35" t="n">
        <x:v>2150000</x:v>
      </x:c>
      <x:c r="G14" s="35" t="n">
        <x:v>195454.5</x:v>
      </x:c>
      <x:c r="H14" s="31" t="str">
        <x:v>TX0056</x:v>
      </x:c>
      <x:c r="I14" s="31" t="str">
        <x:v>Uncertain</x:v>
      </x:c>
      <x:c r="J14" s="31" t="str">
        <x:v>telegram export/photos/photo_46@27-06-2026_18-38-52.jpg
telegram export/photos/photo_47@27-06-2026_18-43-30.jpg</x:v>
      </x:c>
      <x:c r="K14" s="31" t="str">
        <x:v>Paid by a volunteer; no association reimbursement found.</x:v>
      </x:c>
    </x:row>
    <x:row r="15" ht="24" hidden="0" customHeight="1">
      <x:c r="A15" s="31" t="str">
        <x:v>INV011</x:v>
      </x:c>
      <x:c r="B15" s="31" t="str">
        <x:v>1404/10/02</x:v>
      </x:c>
      <x:c r="C15" s="31" t="str">
        <x:v>Canbo Tarasht 1633 / Metro 2224</x:v>
      </x:c>
      <x:c r="D15" s="31" t="str">
        <x:v>Snack receipts C1-C8 (eight slips)</x:v>
      </x:c>
      <x:c r="E15" s="31"/>
      <x:c r="F15" s="35" t="n">
        <x:v>1306700</x:v>
      </x:c>
      <x:c r="G15" s="35"/>
      <x:c r="H15" s="31" t="str">
        <x:v>TX0064, TX0065, TX0066, TX0067, TX0068, TX0069, TX0072, TX0073</x:v>
      </x:c>
      <x:c r="I15" s="31" t="str">
        <x:v>Uncertain</x:v>
      </x:c>
      <x:c r="J15" s="31" t="str">
        <x:v>telegram export/files/CamScanner 13-05-2026 12.43 (1).pdf</x:v>
      </x:c>
      <x:c r="K15" s="31" t="str">
        <x:v>Includes C6 (possible duplicate). Volunteer-paid; supports the Parnian reimbursement.</x:v>
      </x:c>
    </x:row>
    <x:row r="16" ht="15" hidden="0" customHeight="1">
      <x:c r="A16" s="31" t="str">
        <x:v>INV012</x:v>
      </x:c>
      <x:c r="B16" s="31" t="str">
        <x:v>1404/10/02</x:v>
      </x:c>
      <x:c r="C16" s="31" t="str">
        <x:v>Hyperfamili</x:v>
      </x:c>
      <x:c r="D16" s="31" t="str">
        <x:v>99 Mozmoz snacks</x:v>
      </x:c>
      <x:c r="E16" s="31"/>
      <x:c r="F16" s="35" t="n">
        <x:v>1916640</x:v>
      </x:c>
      <x:c r="G16" s="35" t="n">
        <x:v>174240</x:v>
      </x:c>
      <x:c r="H16" s="31" t="str">
        <x:v>TX0070</x:v>
      </x:c>
      <x:c r="I16" s="31" t="str">
        <x:v>Uncertain</x:v>
      </x:c>
      <x:c r="J16" s="31" t="str">
        <x:v>telegram export/files/CamScanner 13-05-2026 12.43 (1).pdf#page=7</x:v>
      </x:c>
      <x:c r="K16" s="31" t="str">
        <x:v>Volunteer-paid.</x:v>
      </x:c>
    </x:row>
    <x:row r="17" ht="15" hidden="0" customHeight="1">
      <x:c r="A17" s="31" t="str">
        <x:v>INV013</x:v>
      </x:c>
      <x:c r="B17" s="31" t="str">
        <x:v>1404/10/03</x:v>
      </x:c>
      <x:c r="C17" s="31" t="str">
        <x:v>Ekano</x:v>
      </x:c>
      <x:c r="D17" s="31" t="str">
        <x:v>Gala chocolate</x:v>
      </x:c>
      <x:c r="E17" s="31"/>
      <x:c r="F17" s="35" t="n">
        <x:v>135800</x:v>
      </x:c>
      <x:c r="G17" s="35" t="n">
        <x:v>12345.4</x:v>
      </x:c>
      <x:c r="H17" s="31" t="str">
        <x:v>TX0071</x:v>
      </x:c>
      <x:c r="I17" s="31" t="str">
        <x:v>Uncertain</x:v>
      </x:c>
      <x:c r="J17" s="31" t="str">
        <x:v>telegram export/files/CamScanner 13-05-2026 12.43 (1).pdf#page=8</x:v>
      </x:c>
      <x:c r="K17" s="31" t="str">
        <x:v>Volunteer-paid.</x:v>
      </x:c>
    </x:row>
    <x:row r="18" ht="15" hidden="0" customHeight="1">
      <x:c r="A18" s="31" t="str">
        <x:v>INV014</x:v>
      </x:c>
      <x:c r="B18" s="31"/>
      <x:c r="C18" s="31" t="str">
        <x:v>RIBAR coffee/fast food</x:v>
      </x:c>
      <x:c r="D18" s="31" t="str">
        <x:v>Handwritten, likely chocolate cookies</x:v>
      </x:c>
      <x:c r="E18" s="31"/>
      <x:c r="F18" s="35" t="n">
        <x:v>495000</x:v>
      </x:c>
      <x:c r="G18" s="35"/>
      <x:c r="H18" s="31" t="str"/>
      <x:c r="I18" s="31" t="str">
        <x:v>Unmatched invoice</x:v>
      </x:c>
      <x:c r="J18" s="31" t="str">
        <x:v>telegram export/files/CamScanner 13-05-2026 12.43 (1).pdf#page=11</x:v>
      </x:c>
      <x:c r="K18" s="31" t="str">
        <x:v>Low-confidence reading; date ≈1404/10/13?.</x:v>
      </x:c>
    </x:row>
    <x:row r="19" ht="15" hidden="0" customHeight="1">
      <x:c r="A19" s="31" t="str">
        <x:v>INV015</x:v>
      </x:c>
      <x:c r="B19" s="31" t="str">
        <x:v>1405/06/07</x:v>
      </x:c>
      <x:c r="C19" s="31" t="str">
        <x:v>مهبانگ فن‌آوری‌های پارس</x:v>
      </x:c>
      <x:c r="D19" s="31" t="str">
        <x:v>Skyroom licence + recording, invoice 61150</x:v>
      </x:c>
      <x:c r="E19" s="31"/>
      <x:c r="F19" s="35" t="n">
        <x:v>4257000</x:v>
      </x:c>
      <x:c r="G19" s="35" t="n">
        <x:v>387000</x:v>
      </x:c>
      <x:c r="H19" s="31" t="str"/>
      <x:c r="I19" s="31" t="str">
        <x:v>Unmatched invoice</x:v>
      </x:c>
      <x:c r="J19" s="31" t="str">
        <x:v>invoice-61150.pdf#page=1</x:v>
      </x:c>
      <x:c r="K19" s="31" t="str">
        <x:v>Buyer Hassan Shiri.</x:v>
      </x:c>
    </x:row>
    <x:row r="20" ht="24" hidden="0" customHeight="1">
      <x:c r="A20" s="31" t="str">
        <x:v>INV016</x:v>
      </x:c>
      <x:c r="B20" s="31" t="str">
        <x:v>1405/07/01</x:v>
      </x:c>
      <x:c r="C20" s="31" t="str">
        <x:v>یاران دریان لوکس گیشا</x:v>
      </x:c>
      <x:c r="D20" s="31" t="str">
        <x:v>190 dairy drinks and cakes, order 165826</x:v>
      </x:c>
      <x:c r="E20" s="31"/>
      <x:c r="F20" s="35" t="n">
        <x:v>9987900</x:v>
      </x:c>
      <x:c r="G20" s="35"/>
      <x:c r="H20" s="31" t="str">
        <x:v>TX0089</x:v>
      </x:c>
      <x:c r="I20" s="31" t="str">
        <x:v>Matched payment</x:v>
      </x:c>
      <x:c r="J20" s="31" t="str">
        <x:v>recipts/photo_2026-10-10_12-16-28.jpg
reports/2026-10-10/user_confirmation_2026-10-10.json</x:v>
      </x:c>
      <x:c r="K20" s="31" t="str">
        <x:v>Unpaid at issue. User explicitly confirms this folder document is a settled association expense. Matched to TX0089 based on attestation; no separate bank transfer is supplied.</x:v>
      </x:c>
    </x:row>
  </x:sheetData>
  <x:mergeCells>
    <x:mergeCell ref="A2:F2"/>
  </x:mergeCells>
  <x:pageMargins left="0.7" right="0.7" top="0.75" bottom="0.75" header="0.3" footer="0.3"/>
  <x:tableParts count="1">
    <x:tablePart xmlns:r="http://schemas.openxmlformats.org/officeDocument/2006/relationships" r:id="R44849797a5ce4847"/>
  </x:tableParts>
</x:worksheet>
</file>

<file path=xl/worksheets/sheet9.xml><?xml version="1.0" encoding="utf-8"?>
<x:worksheet xmlns:x="http://schemas.openxmlformats.org/spreadsheetml/2006/main">
  <x:sheetPr>
    <x:tabColor rgb="FFEDF2F7"/>
  </x:sheetPr>
  <x:sheetViews>
    <x:sheetView showGridLines="0" workbookViewId="0"/>
  </x:sheetViews>
  <x:sheetFormatPr defaultRowHeight="15"/>
  <x:cols>
    <x:col min="1" max="1" width="13" hidden="0" customWidth="1"/>
    <x:col min="2" max="2" width="15" hidden="0" customWidth="1"/>
    <x:col min="3" max="3" width="56" hidden="0" customWidth="1"/>
    <x:col min="4" max="4" width="110" hidden="0" customWidth="1"/>
    <x:col min="5" max="5" width="23" hidden="0" customWidth="1"/>
    <x:col min="6" max="6" width="30" hidden="0" customWidth="1"/>
    <x:col min="7" max="7" width="110" hidden="0" customWidth="1"/>
    <x:col min="8" max="8" width="85" hidden="0" customWidth="1"/>
  </x:cols>
  <x:sheetData>
    <x:row r="1" ht="15" hidden="0" customHeight="1">
      <x:c r="A1" s="33"/>
      <x:c r="B1" s="33"/>
      <x:c r="C1" s="33"/>
      <x:c r="D1" s="33"/>
      <x:c r="E1" s="33"/>
      <x:c r="F1" s="33"/>
      <x:c r="G1" s="33"/>
      <x:c r="H1" s="33"/>
    </x:row>
    <x:row r="2" ht="16.799999237060547" hidden="0" customHeight="1">
      <x:c r="A2" s="34" t="str">
        <x:v>Reconciliation issues and required follow-up</x:v>
      </x:c>
      <x:c r="B2" s="33"/>
      <x:c r="C2" s="33"/>
      <x:c r="D2" s="33"/>
      <x:c r="E2" s="33"/>
      <x:c r="F2" s="33"/>
      <x:c r="G2" s="33"/>
      <x:c r="H2" s="33"/>
    </x:row>
    <x:row r="3" ht="15" hidden="0" customHeight="1">
      <x:c r="A3" s="33"/>
      <x:c r="B3" s="33"/>
      <x:c r="C3" s="33"/>
      <x:c r="D3" s="33"/>
      <x:c r="E3" s="33"/>
      <x:c r="F3" s="33"/>
      <x:c r="G3" s="33"/>
      <x:c r="H3" s="33"/>
    </x:row>
    <x:row r="4" ht="15" hidden="0" customHeight="1">
      <x:c r="A4" s="7" t="str">
        <x:v>Issue ID</x:v>
      </x:c>
      <x:c r="B4" s="7" t="str">
        <x:v>Priority</x:v>
      </x:c>
      <x:c r="C4" s="7" t="str">
        <x:v>Issue</x:v>
      </x:c>
      <x:c r="D4" s="7" t="str">
        <x:v>Description</x:v>
      </x:c>
      <x:c r="E4" s="7" t="str">
        <x:v>Amount (toman)</x:v>
      </x:c>
      <x:c r="F4" s="7" t="str">
        <x:v>Transaction IDs</x:v>
      </x:c>
      <x:c r="G4" s="7" t="str">
        <x:v>Required action</x:v>
      </x:c>
      <x:c r="H4" s="7" t="str">
        <x:v>Source reference</x:v>
      </x:c>
    </x:row>
    <x:row r="5" ht="48" hidden="0" customHeight="1">
      <x:c r="A5" s="31" t="str">
        <x:v>ISS001</x:v>
      </x:c>
      <x:c r="B5" s="31" t="str">
        <x:v>High</x:v>
      </x:c>
      <x:c r="C5" s="31" t="str">
        <x:v>No bank statements; opening and closing cash unverifiable</x:v>
      </x:c>
      <x:c r="D5" s="31" t="str">
        <x:v>Only fragments are available: receipts, SMS and screenshots. There is no opening balance, and balance snapshots conflict (230,203,965 rial on 1404/05/02; 22,953,913 rial on 1404/07/20; '560,800,163' on 1404/07/22; 22,765,000 in message52; 29,200 in message86). The 560,800,163 and 565,800,163 rial snapshots are mutually consistent with a 5,000,000 rial deposit; their relation to the earlier 22,953,913 snapshot remains unexplained. On 1404/05/03 the balance drop of 9,614,400 rial is 7,394,600 smaller than recorded intervening debits of 17,009,000 rial, requiring inflows or other explanation.</x:v>
      </x:c>
      <x:c r="E5" s="35"/>
      <x:c r="F5" s="31" t="str"/>
      <x:c r="G5" s="31" t="str">
        <x:v>Obtain full Shahr 400816808774, Sepah 3001254062925 and Blu statements.</x:v>
      </x:c>
      <x:c r="H5" s="31" t="str">
        <x:v>telegram export/messages.html</x:v>
      </x:c>
    </x:row>
    <x:row r="6" ht="36" hidden="0" customHeight="1">
      <x:c r="A6" s="31" t="str">
        <x:v>ISS002</x:v>
      </x:c>
      <x:c r="B6" s="31" t="str">
        <x:v>Medium</x:v>
      </x:c>
      <x:c r="C6" s="31" t="str">
        <x:v>Allocation details for user-confirmed association payments</x:v>
      </x:c>
      <x:c r="D6" s="31" t="str">
        <x:v>User confirms all eleven Blu outflows totaling 33,937,250 are association expenses. Five identified Summer School 1405 fees total 11,500,000; sticker packs cost 950,000. Remaining 21,487,250 requires purpose/project allocation, not income/expense-direction confirmation.</x:v>
      </x:c>
      <x:c r="E6" s="35" t="n">
        <x:v>33937250</x:v>
      </x:c>
      <x:c r="F6" s="31" t="str">
        <x:v>TX0080, TX0081, TX0083, TX0084, TX0085, TX0086, TX0087, TX0088, TX0090, TX0091, TX0092</x:v>
      </x:c>
      <x:c r="G6" s="31" t="str">
        <x:v>Identify remaining project/category allocations and the sixth Summer School instructor payment. Preserve user attestation separately from bank evidence.</x:v>
      </x:c>
      <x:c r="H6" s="31" t="str">
        <x:v>recipts/photo_10_2026-10-10_11-09-04.jpg</x:v>
      </x:c>
    </x:row>
    <x:row r="7" ht="24" hidden="0" customHeight="1">
      <x:c r="A7" s="31" t="str">
        <x:v>ISS003</x:v>
      </x:c>
      <x:c r="B7" s="31" t="str">
        <x:v>High</x:v>
      </x:c>
      <x:c r="C7" s="31" t="str">
        <x:v>User-confirmed Shahr expenses and bank-balance gaps</x:v>
      </x:c>
      <x:c r="D7" s="31" t="str">
        <x:v>User confirms seven Shahr-folder outflows totaling 14,038,220 are association expenses, including TX0061 previously unclassified in direction. Merchant/project allocation remains pending. The unlogged balance movement remains unexplained.</x:v>
      </x:c>
      <x:c r="E7" s="35" t="n">
        <x:v>14038220</x:v>
      </x:c>
      <x:c r="F7" s="31" t="str">
        <x:v>TX0075, TX0076, TX0077, TX0078, TX0079, TX0043, TX0061</x:v>
      </x:c>
      <x:c r="G7" s="31" t="str">
        <x:v>Assign purposes/projects to merchant payments and obtain complete statements to explain the 31,630,000 rial balance gap.</x:v>
      </x:c>
      <x:c r="H7" s="31" t="str">
        <x:v>recipts/photo_3_2026-10-10_14-07-27.jpg</x:v>
      </x:c>
    </x:row>
    <x:row r="8" ht="24" hidden="0" customHeight="1">
      <x:c r="A8" s="31" t="str">
        <x:v>ISS004</x:v>
      </x:c>
      <x:c r="B8" s="31" t="str">
        <x:v>High</x:v>
      </x:c>
      <x:c r="C8" s="31" t="str">
        <x:v>Intro Event 1405 bridge: 27,235,000 gross vs 23,000,000 ledger</x:v>
      </x:c>
      <x:c r="D8" s="31" t="str">
        <x:v>Platform gross sales 27,235,000 vs original-ledger receipts 23,000,000 remain unreconciled. Skyroom invoice 4,257,000 remains unmatched. Food invoice 9,987,900 is now user-confirmed paid (TX0089); sticker purchase 950,000 belongs to this event (TX0088). No new registration receipts are inferred.</x:v>
      </x:c>
      <x:c r="E8" s="35" t="n">
        <x:v>4235000</x:v>
      </x:c>
      <x:c r="F8" s="31" t="str">
        <x:v>TX0093, TX0094, TX0095, TX0082, TX0089</x:v>
      </x:c>
      <x:c r="G8" s="31" t="str">
        <x:v>Obtain the platform payout statement (fees and refunds) and the deposit. Record either gross with fees or net, never both.</x:v>
      </x:c>
      <x:c r="H8" s="31" t="str">
        <x:v>physics_intro full report.pdf#page=1
Anjoman accounting.xlsx#مجموع!B45</x:v>
      </x:c>
    </x:row>
    <x:row r="9" ht="15" hidden="0" customHeight="1">
      <x:c r="A9" s="31" t="str">
        <x:v>ISS005</x:v>
      </x:c>
      <x:c r="B9" s="31" t="str">
        <x:v>Medium</x:v>
      </x:c>
      <x:c r="C9" s="31" t="str">
        <x:v>Intro Event 1404 net transfer has no unit</x:v>
      </x:c>
      <x:c r="D9" s="31" t="str">
        <x:v>17,650,000 without a unit. As rial (1,765,000 toman) it equals ledger M3 net. Treated as an internal transfer.</x:v>
      </x:c>
      <x:c r="E9" s="35"/>
      <x:c r="F9" s="31" t="str">
        <x:v>TX0018, TX0014</x:v>
      </x:c>
      <x:c r="G9" s="31" t="str">
        <x:v>Confirm the unit with Amin or the bank.</x:v>
      </x:c>
      <x:c r="H9" s="31" t="str">
        <x:v>telegram export/photos/photo_12@01-10-2025_18-02-44.jpg</x:v>
      </x:c>
    </x:row>
    <x:row r="10" ht="24" hidden="0" customHeight="1">
      <x:c r="A10" s="31" t="str">
        <x:v>ISS006</x:v>
      </x:c>
      <x:c r="B10" s="31" t="str">
        <x:v>Medium</x:v>
      </x:c>
      <x:c r="C10" s="31" t="str">
        <x:v>Duplicate ledger rows</x:v>
      </x:c>
      <x:c r="D10" s="31" t="str">
        <x:v>مجموع D23 duplicates the D20 pastry (1,052,375). D12 likely duplicates the D9 ad (400,000).</x:v>
      </x:c>
      <x:c r="E10" s="35" t="n">
        <x:v>1452375</x:v>
      </x:c>
      <x:c r="F10" s="31" t="str">
        <x:v>TX0025, TX0010</x:v>
      </x:c>
      <x:c r="G10" s="31" t="str">
        <x:v>Delete D23. Confirm D12 with Hassan.</x:v>
      </x:c>
      <x:c r="H10" s="31" t="str">
        <x:v>Anjoman accounting.xlsx#مجموع!D23
Anjoman accounting.xlsx#مجموع!D12</x:v>
      </x:c>
    </x:row>
    <x:row r="11" ht="24" hidden="0" customHeight="1">
      <x:c r="A11" s="31" t="str">
        <x:v>ISS007</x:v>
      </x:c>
      <x:c r="B11" s="31" t="str">
        <x:v>Medium</x:v>
      </x:c>
      <x:c r="C11" s="31" t="str">
        <x:v>Cash shabash direction unresolved</x:v>
      </x:c>
      <x:c r="D11" s="31" t="str">
        <x:v>message111 reads '300000 cash shabash for the party'. The ledger treats it as an expense (D29), but it could be cash received. This Telegram/workbook item is outside recipts/ and is not resolved by the folder-wide expense confirmation.</x:v>
      </x:c>
      <x:c r="E11" s="35" t="n">
        <x:v>300000</x:v>
      </x:c>
      <x:c r="F11" s="31" t="str">
        <x:v>TX0036</x:v>
      </x:c>
      <x:c r="G11" s="31" t="str">
        <x:v>Ask the treasurer whether the cash came in or was given out, and who holds it.</x:v>
      </x:c>
      <x:c r="H11" s="31" t="str">
        <x:v>telegram export/messages.html#message111</x:v>
      </x:c>
    </x:row>
    <x:row r="12" ht="36" hidden="0" customHeight="1">
      <x:c r="A12" s="31" t="str">
        <x:v>ISS008</x:v>
      </x:c>
      <x:c r="B12" s="31" t="str">
        <x:v>Medium</x:v>
      </x:c>
      <x:c r="C12" s="31" t="str">
        <x:v>Yalda reimbursements and volunteer purchases</x:v>
      </x:c>
      <x:c r="D12" s="31" t="str">
        <x:v>Parnian reimbursement 4,050,000 is absent from the original ledger. Printed purchases total 3,359,139.9, or 3,180,139.9 excluding possible C6 duplicate. Including invoice-only Ribar 495,000 gives 3,854,139.9 or 3,675,139.9. These are provisional documentation gaps, not confirmed overpayment. Hossein reimbursement is undocumented. Bardia claims vs payment need a separate bridge.</x:v>
      </x:c>
      <x:c r="E12" s="35" t="n">
        <x:v>4050000</x:v>
      </x:c>
      <x:c r="F12" s="31" t="str">
        <x:v>TX0050, TX0062, TX0063, TX0056, TX0058, TX0064, TX0069, TX0074</x:v>
      </x:c>
      <x:c r="G12" s="31" t="str">
        <x:v>Prepare a reimbursement schedule per volunteer. Confirm the C6 duplicate and the Ribar amount.</x:v>
      </x:c>
      <x:c r="H12" s="31" t="str">
        <x:v>telegram export/files/CamScanner 13-05-2026 12.43 (1).pdf</x:v>
      </x:c>
    </x:row>
    <x:row r="13" ht="36" hidden="0" customHeight="1">
      <x:c r="A13" s="31" t="str">
        <x:v>ISS009</x:v>
      </x:c>
      <x:c r="B13" s="31" t="str">
        <x:v>Medium</x:v>
      </x:c>
      <x:c r="C13" s="31" t="str">
        <x:v>Sepah Yalda SMS inconsistent</x:v>
      </x:c>
      <x:c r="D13" s="31" t="str">
        <x:v>The SMS withdrawal is 100,037,800 in an unprinted unit (10,003,780 toman if rial). Message120 describes expense payments or transfers, not income. It remains unconverted and may overlap recorded expenses. Deposit lines are explicitly rial: 150,000, 500,000 and 1,000,000 toman; they do not sum to the treasurer total 15,790,000. Balances imply unlogged movements.</x:v>
      </x:c>
      <x:c r="E13" s="35"/>
      <x:c r="F13" s="31" t="str">
        <x:v>TX0049, TX0047</x:v>
      </x:c>
      <x:c r="G13" s="31" t="str">
        <x:v>Obtain the full Sepah statement and list the payees of the withdrawal.</x:v>
      </x:c>
      <x:c r="H13" s="31" t="str">
        <x:v>telegram export/messages.html#message115</x:v>
      </x:c>
    </x:row>
    <x:row r="14" ht="15" hidden="0" customHeight="1">
      <x:c r="A14" s="31" t="str">
        <x:v>ISS010</x:v>
      </x:c>
      <x:c r="B14" s="31" t="str">
        <x:v>Low</x:v>
      </x:c>
      <x:c r="C14" s="31" t="str">
        <x:v>Booth catering amount</x:v>
      </x:c>
      <x:c r="D14" s="31" t="str">
        <x:v>The receipt shows 235,000; the ledger and message show 230,000.</x:v>
      </x:c>
      <x:c r="E14" s="35" t="n">
        <x:v>5000</x:v>
      </x:c>
      <x:c r="F14" s="31" t="str">
        <x:v>TX0031</x:v>
      </x:c>
      <x:c r="G14" s="31" t="str">
        <x:v>Correct the ledger to the receipt amount.</x:v>
      </x:c>
      <x:c r="H14" s="31" t="str">
        <x:v>telegram export/photos/photo_40@27-06-2026_18-31-08.jpg</x:v>
      </x:c>
    </x:row>
    <x:row r="15" ht="15" hidden="0" customHeight="1">
      <x:c r="A15" s="31" t="str">
        <x:v>ISS011</x:v>
      </x:c>
      <x:c r="B15" s="31" t="str">
        <x:v>Low</x:v>
      </x:c>
      <x:c r="C15" s="31" t="str">
        <x:v>Items missing from original ledger</x:v>
      </x:c>
      <x:c r="D15" s="31" t="str">
        <x:v>Transfer fee 900, Dina Zali 180,000, Parnian 4,050,000. The poster print of 13,000 is unmatched.</x:v>
      </x:c>
      <x:c r="E15" s="35" t="n">
        <x:v>4230900</x:v>
      </x:c>
      <x:c r="F15" s="31" t="str">
        <x:v>TX0008, TX0059, TX0062, TX0063, TX0042</x:v>
      </x:c>
      <x:c r="G15" s="31" t="str">
        <x:v>Add these to the ledger.</x:v>
      </x:c>
      <x:c r="H15" s="31" t="str"/>
    </x:row>
    <x:row r="16" ht="24" hidden="0" customHeight="1">
      <x:c r="A16" s="31" t="str">
        <x:v>ISS012</x:v>
      </x:c>
      <x:c r="B16" s="31" t="str">
        <x:v>Low</x:v>
      </x:c>
      <x:c r="C16" s="31" t="str">
        <x:v>Workbook formula and label errors</x:v>
      </x:c>
      <x:c r="D16" s="31" t="str">
        <x:v>Refined تطبیق!B7 is circular (=B6-B7; should be B5-B6). TX-00002 counterparty is wrong. TX-00044 is marked confirmed with no payment. The مرداد sheet omits D10-D12. Sohrab's fee does not follow the 100k rounding rule (2,934→3,000).</x:v>
      </x:c>
      <x:c r="E16" s="35"/>
      <x:c r="F16" s="31" t="str">
        <x:v>TX0001, TX0002, TX0082</x:v>
      </x:c>
      <x:c r="G16" s="31" t="str">
        <x:v>Fix formulas and statuses.</x:v>
      </x:c>
      <x:c r="H16" s="31" t="str">
        <x:v>Anjoman accounting - refined.xlsx#تطبیق!B7</x:v>
      </x:c>
    </x:row>
    <x:row r="17" ht="15" hidden="0" customHeight="1">
      <x:c r="A17" s="31" t="str">
        <x:v>ISS013</x:v>
      </x:c>
      <x:c r="B17" s="31" t="str">
        <x:v>Low</x:v>
      </x:c>
      <x:c r="C17" s="31" t="str">
        <x:v>Donation date conflict</x:v>
      </x:c>
      <x:c r="D17" s="31" t="str">
        <x:v>Moghimi's 10m receipt has no date. The forward header is 1404/08/28 but the ledger month is آذر.</x:v>
      </x:c>
      <x:c r="E17" s="35" t="n">
        <x:v>10000000</x:v>
      </x:c>
      <x:c r="F17" s="31" t="str">
        <x:v>TX0044</x:v>
      </x:c>
      <x:c r="G17" s="31" t="str">
        <x:v>Obtain the bank date.</x:v>
      </x:c>
      <x:c r="H17" s="31" t="str">
        <x:v>telegram export/photos/photo_25@19-11-2025_11-46-31.jpg</x:v>
      </x:c>
    </x:row>
    <x:row r="18" ht="24" hidden="0" customHeight="1">
      <x:c r="A18" s="31" t="str">
        <x:v>ISS014</x:v>
      </x:c>
      <x:c r="B18" s="31" t="str">
        <x:v>Low</x:v>
      </x:c>
      <x:c r="C18" s="31" t="str">
        <x:v>Course report revenue allocation</x:v>
      </x:c>
      <x:c r="D18" s="31" t="str">
        <x:v>Course reports label 11,601, 12,261 and 9,781 as toman. The printed-unit total is 33,643 toman. A possible thousand-toman scale would total 33,643,000, versus the ledger 33,642,000; that scale is unconfirmed and is used only as a comparison, not additional revenue. Reports contain student phone numbers.</x:v>
      </x:c>
      <x:c r="E18" s="35" t="n">
        <x:v>1000</x:v>
      </x:c>
      <x:c r="F18" s="31" t="str">
        <x:v>TX0001</x:v>
      </x:c>
      <x:c r="G18" s="31" t="str">
        <x:v>Treat as an allocation control only. Redact phone numbers.</x:v>
      </x:c>
      <x:c r="H18" s="31" t="str">
        <x:v>telegram export/files/report_Python.txt</x:v>
      </x:c>
    </x:row>
    <x:row r="19" ht="24" hidden="0" customHeight="1">
      <x:c r="A19" s="31" t="str">
        <x:v>ISS015</x:v>
      </x:c>
      <x:c r="B19" s="31" t="str">
        <x:v>Medium</x:v>
      </x:c>
      <x:c r="C19" s="31" t="str">
        <x:v>Sixth Summer School 1405 instructor payment not identified</x:v>
      </x:c>
      <x:c r="D19" s="31" t="str">
        <x:v>User states six folder receipts are instructor payments. Five are matched by recipient-name evidence and explicit clarification: TX0083-87, total 11,500,000. TX0088 is explicitly sticker packs, not an instructor fee. The sixth remains unmatched among already recorded folder expenses.</x:v>
      </x:c>
      <x:c r="E19" s="35"/>
      <x:c r="F19" s="31" t="str">
        <x:v>TX0083, TX0084, TX0085, TX0086, TX0087</x:v>
      </x:c>
      <x:c r="G19" s="31" t="str">
        <x:v>Provide the sixth instructor/payee name or receipt filename. Do not create an additional payment or infer registration income.</x:v>
      </x:c>
      <x:c r="H19" s="31" t="str">
        <x:v>reports/2026-10-10/user_confirmation_2026-10-10.json</x:v>
      </x:c>
    </x:row>
  </x:sheetData>
  <x:mergeCells>
    <x:mergeCell ref="A2:F2"/>
  </x:mergeCells>
  <x:pageMargins left="0.7" right="0.7" top="0.75" bottom="0.75" header="0.3" footer="0.3"/>
  <x:tableParts count="1">
    <x:tablePart xmlns:r="http://schemas.openxmlformats.org/officeDocument/2006/relationships" r:id="Rc9cbf4759baa4eb2"/>
  </x:tableParts>
</x:worksheet>
</file>

<file path=xl/worksheets/sheet10.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5" hidden="0" customWidth="1"/>
    <x:col min="2" max="2" width="85" hidden="0" customWidth="1"/>
    <x:col min="3" max="3" width="15" hidden="0" customWidth="1"/>
    <x:col min="4" max="4" width="16" hidden="0" customWidth="1"/>
    <x:col min="5" max="5" width="75" hidden="0" customWidth="1"/>
    <x:col min="6" max="6" width="18" hidden="0" customWidth="1"/>
    <x:col min="7" max="7" width="40" hidden="0" customWidth="1"/>
    <x:col min="8" max="8" width="26" hidden="0" customWidth="1"/>
    <x:col min="9" max="9" width="25" hidden="0" customWidth="1"/>
    <x:col min="10" max="10" width="110" hidden="0" customWidth="1"/>
    <x:col min="11" max="11" width="120" hidden="0" customWidth="1"/>
  </x:cols>
  <x:sheetData>
    <x:row r="1" ht="15" hidden="0" customHeight="1">
      <x:c r="A1" s="33"/>
      <x:c r="B1" s="33"/>
      <x:c r="C1" s="33"/>
      <x:c r="D1" s="33"/>
      <x:c r="E1" s="33"/>
      <x:c r="F1" s="33"/>
      <x:c r="G1" s="33"/>
      <x:c r="H1" s="33"/>
      <x:c r="I1" s="33"/>
      <x:c r="J1" s="33"/>
      <x:c r="K1" s="33"/>
    </x:row>
    <x:row r="2" ht="16.799999237060547" hidden="0" customHeight="1">
      <x:c r="A2" s="34" t="str">
        <x:v>Source inventory and extraction coverage</x:v>
      </x:c>
      <x:c r="B2" s="33"/>
      <x:c r="C2" s="33"/>
      <x:c r="D2" s="33"/>
      <x:c r="E2" s="33"/>
      <x:c r="F2" s="33"/>
      <x:c r="G2" s="33"/>
      <x:c r="H2" s="33"/>
      <x:c r="I2" s="33"/>
      <x:c r="J2" s="33"/>
      <x:c r="K2" s="33"/>
    </x:row>
    <x:row r="3" ht="15" hidden="0" customHeight="1">
      <x:c r="A3" s="33"/>
      <x:c r="B3" s="33"/>
      <x:c r="C3" s="33"/>
      <x:c r="D3" s="33"/>
      <x:c r="E3" s="33"/>
      <x:c r="F3" s="33"/>
      <x:c r="G3" s="33"/>
      <x:c r="H3" s="33"/>
      <x:c r="I3" s="33"/>
      <x:c r="J3" s="33"/>
      <x:c r="K3" s="33"/>
    </x:row>
    <x:row r="4" ht="15" hidden="0" customHeight="1">
      <x:c r="A4" s="7" t="str">
        <x:v>Source ID</x:v>
      </x:c>
      <x:c r="B4" s="7" t="str">
        <x:v>Repository file</x:v>
      </x:c>
      <x:c r="C4" s="7" t="str">
        <x:v>File type</x:v>
      </x:c>
      <x:c r="D4" s="7" t="str">
        <x:v>Bytes</x:v>
      </x:c>
      <x:c r="E4" s="7" t="str">
        <x:v>SHA-256</x:v>
      </x:c>
      <x:c r="F4" s="7" t="str">
        <x:v>Read status</x:v>
      </x:c>
      <x:c r="G4" s="7" t="str">
        <x:v>Ledger IDs</x:v>
      </x:c>
      <x:c r="H4" s="7" t="str">
        <x:v>Message IDs</x:v>
      </x:c>
      <x:c r="I4" s="7" t="str">
        <x:v>Treatment</x:v>
      </x:c>
      <x:c r="J4" s="7" t="str">
        <x:v>Notes</x:v>
      </x:c>
      <x:c r="K4" s="7" t="str">
        <x:v>GitHub source snapshot</x:v>
      </x:c>
    </x:row>
    <x:row r="5" ht="15" hidden="0" customHeight="1">
      <x:c r="A5" s="31" t="str">
        <x:v>SRC001</x:v>
      </x:c>
      <x:c r="B5" s="31" t="str">
        <x:v>Anjoman accounting - refined.xlsx</x:v>
      </x:c>
      <x:c r="C5" s="31" t="str">
        <x:v>xlsx</x:v>
      </x:c>
      <x:c r="D5" s="31" t="n">
        <x:v>63212</x:v>
      </x:c>
      <x:c r="E5" s="31" t="str">
        <x:v>d77c540aba056a0bce5abaef9ac974fbf1f91ead2f0ea55d7ac1bc96b94a2228</x:v>
      </x:c>
      <x:c r="F5" s="31" t="str">
        <x:v>Read</x:v>
      </x:c>
      <x:c r="G5" s="31" t="str"/>
      <x:c r="H5" s="31" t="str"/>
      <x:c r="I5" s="31" t="str">
        <x:v>Context only</x:v>
      </x:c>
      <x:c r="J5" s="31" t="str">
        <x:v>Derived copy of مجموع plus TX-00044..48 proposals. Errors flagged in ISS012.</x:v>
      </x:c>
      <x:c r="K5" s="31" t="str">
        <x:v>https://github.com/SireJeff/anjoman-accounting/blob/6a005a29ab910c0599fc061d27ea33fcbf7aa5d7/Anjoman%20accounting%20-%20refined.xlsx</x:v>
      </x:c>
    </x:row>
    <x:row r="6" ht="24" hidden="0" customHeight="1">
      <x:c r="A6" s="31" t="str">
        <x:v>SRC002</x:v>
      </x:c>
      <x:c r="B6" s="31" t="str">
        <x:v>Anjoman accounting.xlsx</x:v>
      </x:c>
      <x:c r="C6" s="31" t="str">
        <x:v>xlsx</x:v>
      </x:c>
      <x:c r="D6" s="31" t="n">
        <x:v>130028</x:v>
      </x:c>
      <x:c r="E6" s="31" t="str">
        <x:v>5701b246ebee5bd5db7fc022de097f47c34354e420bb59f08f4f2fc74a0bfcf0</x:v>
      </x:c>
      <x:c r="F6" s="31" t="str">
        <x:v>Read</x:v>
      </x:c>
      <x:c r="G6" s="31" t="str">
        <x:v>TX0001, TX0013, TX0014, TX0016, TX0017, TX0045, TX0093, TX0095</x:v>
      </x:c>
      <x:c r="H6" s="31" t="str"/>
      <x:c r="I6" s="31" t="str">
        <x:v>Reconciled</x:v>
      </x:c>
      <x:c r="J6" s="31" t="str">
        <x:v>Every مجموع row is mapped in original_ledger_reconciliation. The مرداد and شهریور sheets are subsets.</x:v>
      </x:c>
      <x:c r="K6" s="31" t="str">
        <x:v>https://github.com/SireJeff/anjoman-accounting/blob/6a005a29ab910c0599fc061d27ea33fcbf7aa5d7/Anjoman%20accounting.xlsx</x:v>
      </x:c>
    </x:row>
    <x:row r="7" ht="15" hidden="0" customHeight="1">
      <x:c r="A7" s="31" t="str">
        <x:v>SRC003</x:v>
      </x:c>
      <x:c r="B7" s="31" t="str">
        <x:v>invoice-61150.pdf</x:v>
      </x:c>
      <x:c r="C7" s="31" t="str">
        <x:v>pdf</x:v>
      </x:c>
      <x:c r="D7" s="31" t="n">
        <x:v>153863</x:v>
      </x:c>
      <x:c r="E7" s="31" t="str">
        <x:v>06626a709e2a23bc59d3a5185c64e0a85b64e59ccf244cbb3b0867344bc07b57</x:v>
      </x:c>
      <x:c r="F7" s="31" t="str">
        <x:v>Read</x:v>
      </x:c>
      <x:c r="G7" s="31" t="str">
        <x:v>TX0082</x:v>
      </x:c>
      <x:c r="H7" s="31" t="str"/>
      <x:c r="I7" s="31" t="str">
        <x:v>Extracted</x:v>
      </x:c>
      <x:c r="J7" s="31" t="str">
        <x:v>Invoice only.</x:v>
      </x:c>
      <x:c r="K7" s="31" t="str">
        <x:v>https://github.com/SireJeff/anjoman-accounting/blob/6a005a29ab910c0599fc061d27ea33fcbf7aa5d7/invoice-61150.pdf</x:v>
      </x:c>
    </x:row>
    <x:row r="8" ht="15" hidden="0" customHeight="1">
      <x:c r="A8" s="31" t="str">
        <x:v>SRC004</x:v>
      </x:c>
      <x:c r="B8" s="31" t="str">
        <x:v>physics_intro full report.pdf</x:v>
      </x:c>
      <x:c r="C8" s="31" t="str">
        <x:v>pdf</x:v>
      </x:c>
      <x:c r="D8" s="31" t="n">
        <x:v>52198</x:v>
      </x:c>
      <x:c r="E8" s="31" t="str">
        <x:v>993061f6f022016308bbd6585c6ae0e8a2b67575c39f21e740659cc25da7dc70</x:v>
      </x:c>
      <x:c r="F8" s="31" t="str">
        <x:v>Read</x:v>
      </x:c>
      <x:c r="G8" s="31" t="str">
        <x:v>TX0094</x:v>
      </x:c>
      <x:c r="H8" s="31" t="str"/>
      <x:c r="I8" s="31" t="str">
        <x:v>Extracted</x:v>
      </x:c>
      <x:c r="J8" s="31" t="str">
        <x:v>Summary only.</x:v>
      </x:c>
      <x:c r="K8" s="31" t="str">
        <x:v>https://github.com/SireJeff/anjoman-accounting/blob/6a005a29ab910c0599fc061d27ea33fcbf7aa5d7/physics_intro%20full%20report.pdf</x:v>
      </x:c>
    </x:row>
    <x:row r="9" ht="15" hidden="0" customHeight="1">
      <x:c r="A9" s="31" t="str">
        <x:v>SRC005</x:v>
      </x:c>
      <x:c r="B9" s="31" t="str">
        <x:v>recipts/photo_10_2026-10-10_11-09-04.jpg</x:v>
      </x:c>
      <x:c r="C9" s="31" t="str">
        <x:v>jpg</x:v>
      </x:c>
      <x:c r="D9" s="31" t="n">
        <x:v>49752</x:v>
      </x:c>
      <x:c r="E9" s="31" t="str">
        <x:v>b424f88e66186c7fdfcd19043e65ade1aef245c80f81328c53bd4c1354047ea3</x:v>
      </x:c>
      <x:c r="F9" s="31" t="str">
        <x:v>Read</x:v>
      </x:c>
      <x:c r="G9" s="31" t="str">
        <x:v>TX0090</x:v>
      </x:c>
      <x:c r="H9" s="31" t="str"/>
      <x:c r="I9" s="31" t="str">
        <x:v>Extracted</x:v>
      </x:c>
      <x:c r="J9" s="31" t="str"/>
      <x:c r="K9" s="31" t="str">
        <x:v>https://github.com/SireJeff/anjoman-accounting/blob/6a005a29ab910c0599fc061d27ea33fcbf7aa5d7/recipts/photo_10_2026-10-10_11-09-04.jpg</x:v>
      </x:c>
    </x:row>
    <x:row r="10" ht="15" hidden="0" customHeight="1">
      <x:c r="A10" s="31" t="str">
        <x:v>SRC006</x:v>
      </x:c>
      <x:c r="B10" s="31" t="str">
        <x:v>recipts/photo_11_2026-10-10_11-09-04.jpg</x:v>
      </x:c>
      <x:c r="C10" s="31" t="str">
        <x:v>jpg</x:v>
      </x:c>
      <x:c r="D10" s="31" t="n">
        <x:v>31986</x:v>
      </x:c>
      <x:c r="E10" s="31" t="str">
        <x:v>4b6a665eaaa0ff0a14e2f665cd7ef1480d78c90efa576fa0f1cf910698baacc6</x:v>
      </x:c>
      <x:c r="F10" s="31" t="str">
        <x:v>Read</x:v>
      </x:c>
      <x:c r="G10" s="31" t="str">
        <x:v>TX0091</x:v>
      </x:c>
      <x:c r="H10" s="31" t="str"/>
      <x:c r="I10" s="31" t="str">
        <x:v>Extracted</x:v>
      </x:c>
      <x:c r="J10" s="31" t="str"/>
      <x:c r="K10" s="31" t="str">
        <x:v>https://github.com/SireJeff/anjoman-accounting/blob/6a005a29ab910c0599fc061d27ea33fcbf7aa5d7/recipts/photo_11_2026-10-10_11-09-04.jpg</x:v>
      </x:c>
    </x:row>
    <x:row r="11" ht="15" hidden="0" customHeight="1">
      <x:c r="A11" s="31" t="str">
        <x:v>SRC007</x:v>
      </x:c>
      <x:c r="B11" s="31" t="str">
        <x:v>recipts/photo_12_2026-10-10_11-09-04.jpg</x:v>
      </x:c>
      <x:c r="C11" s="31" t="str">
        <x:v>jpg</x:v>
      </x:c>
      <x:c r="D11" s="31" t="n">
        <x:v>50026</x:v>
      </x:c>
      <x:c r="E11" s="31" t="str">
        <x:v>77e952d643e05bc03bdd136daa677561a5610e8049fb8d8aedfc24280909d917</x:v>
      </x:c>
      <x:c r="F11" s="31" t="str">
        <x:v>Read</x:v>
      </x:c>
      <x:c r="G11" s="31" t="str">
        <x:v>TX0092</x:v>
      </x:c>
      <x:c r="H11" s="31" t="str"/>
      <x:c r="I11" s="31" t="str">
        <x:v>Extracted</x:v>
      </x:c>
      <x:c r="J11" s="31" t="str"/>
      <x:c r="K11" s="31" t="str">
        <x:v>https://github.com/SireJeff/anjoman-accounting/blob/6a005a29ab910c0599fc061d27ea33fcbf7aa5d7/recipts/photo_12_2026-10-10_11-09-04.jpg</x:v>
      </x:c>
    </x:row>
    <x:row r="12" ht="15" hidden="0" customHeight="1">
      <x:c r="A12" s="31" t="str">
        <x:v>SRC008</x:v>
      </x:c>
      <x:c r="B12" s="31" t="str">
        <x:v>recipts/photo_1_2026-10-10_11-09-04.jpg</x:v>
      </x:c>
      <x:c r="C12" s="31" t="str">
        <x:v>jpg</x:v>
      </x:c>
      <x:c r="D12" s="31" t="n">
        <x:v>58923</x:v>
      </x:c>
      <x:c r="E12" s="31" t="str">
        <x:v>9b398cb3fd79cacf08994828e10209d3739b9ec072ff9dbdb29e456ad1a29262</x:v>
      </x:c>
      <x:c r="F12" s="31" t="str">
        <x:v>Read</x:v>
      </x:c>
      <x:c r="G12" s="31" t="str">
        <x:v>TX0083</x:v>
      </x:c>
      <x:c r="H12" s="31" t="str"/>
      <x:c r="I12" s="31" t="str">
        <x:v>Extracted</x:v>
      </x:c>
      <x:c r="J12" s="31" t="str"/>
      <x:c r="K12" s="31" t="str">
        <x:v>https://github.com/SireJeff/anjoman-accounting/blob/6a005a29ab910c0599fc061d27ea33fcbf7aa5d7/recipts/photo_1_2026-10-10_11-09-04.jpg</x:v>
      </x:c>
    </x:row>
    <x:row r="13" ht="15" hidden="0" customHeight="1">
      <x:c r="A13" s="31" t="str">
        <x:v>SRC009</x:v>
      </x:c>
      <x:c r="B13" s="31" t="str">
        <x:v>recipts/photo_1_2026-10-10_14-07-27.jpg</x:v>
      </x:c>
      <x:c r="C13" s="31" t="str">
        <x:v>jpg</x:v>
      </x:c>
      <x:c r="D13" s="31" t="n">
        <x:v>44693</x:v>
      </x:c>
      <x:c r="E13" s="31" t="str">
        <x:v>a50d13d6abcf5b4aacd05fa7fa773b5c01a6d2739577691d719c1bf334433b52</x:v>
      </x:c>
      <x:c r="F13" s="31" t="str">
        <x:v>Read</x:v>
      </x:c>
      <x:c r="G13" s="31" t="str">
        <x:v>TX0022</x:v>
      </x:c>
      <x:c r="H13" s="31" t="str"/>
      <x:c r="I13" s="31" t="str">
        <x:v>Extracted</x:v>
      </x:c>
      <x:c r="J13" s="31" t="str">
        <x:v>Duplicate of photo_16.</x:v>
      </x:c>
      <x:c r="K13" s="31" t="str">
        <x:v>https://github.com/SireJeff/anjoman-accounting/blob/6a005a29ab910c0599fc061d27ea33fcbf7aa5d7/recipts/photo_1_2026-10-10_14-07-27.jpg</x:v>
      </x:c>
    </x:row>
    <x:row r="14" ht="15" hidden="0" customHeight="1">
      <x:c r="A14" s="31" t="str">
        <x:v>SRC010</x:v>
      </x:c>
      <x:c r="B14" s="31" t="str">
        <x:v>recipts/photo_2026-10-10_12-16-28.jpg</x:v>
      </x:c>
      <x:c r="C14" s="31" t="str">
        <x:v>jpg</x:v>
      </x:c>
      <x:c r="D14" s="31" t="n">
        <x:v>160143</x:v>
      </x:c>
      <x:c r="E14" s="31" t="str">
        <x:v>99a77eab001c2f3c72a639a7ec75b0a97bb90c5e5e244a8cf575d61107bedcc9</x:v>
      </x:c>
      <x:c r="F14" s="31" t="str">
        <x:v>Read</x:v>
      </x:c>
      <x:c r="G14" s="31" t="str">
        <x:v>TX0089</x:v>
      </x:c>
      <x:c r="H14" s="31" t="str"/>
      <x:c r="I14" s="31" t="str">
        <x:v>Extracted</x:v>
      </x:c>
      <x:c r="J14" s="31" t="str">
        <x:v>Invoice only.</x:v>
      </x:c>
      <x:c r="K14" s="31" t="str">
        <x:v>https://github.com/SireJeff/anjoman-accounting/blob/6a005a29ab910c0599fc061d27ea33fcbf7aa5d7/recipts/photo_2026-10-10_12-16-28.jpg</x:v>
      </x:c>
    </x:row>
    <x:row r="15" ht="15" hidden="0" customHeight="1">
      <x:c r="A15" s="31" t="str">
        <x:v>SRC011</x:v>
      </x:c>
      <x:c r="B15" s="31" t="str">
        <x:v>recipts/photo_2_2026-10-10_11-09-04.jpg</x:v>
      </x:c>
      <x:c r="C15" s="31" t="str">
        <x:v>jpg</x:v>
      </x:c>
      <x:c r="D15" s="31" t="n">
        <x:v>57944</x:v>
      </x:c>
      <x:c r="E15" s="31" t="str">
        <x:v>5b8abe4d9a9d270a1a5cb0583fbb4ff555d551b16023d63343affe459769150f</x:v>
      </x:c>
      <x:c r="F15" s="31" t="str">
        <x:v>Read</x:v>
      </x:c>
      <x:c r="G15" s="31" t="str">
        <x:v>TX0084</x:v>
      </x:c>
      <x:c r="H15" s="31" t="str"/>
      <x:c r="I15" s="31" t="str">
        <x:v>Extracted</x:v>
      </x:c>
      <x:c r="J15" s="31" t="str"/>
      <x:c r="K15" s="31" t="str">
        <x:v>https://github.com/SireJeff/anjoman-accounting/blob/6a005a29ab910c0599fc061d27ea33fcbf7aa5d7/recipts/photo_2_2026-10-10_11-09-04.jpg</x:v>
      </x:c>
    </x:row>
    <x:row r="16" ht="15" hidden="0" customHeight="1">
      <x:c r="A16" s="31" t="str">
        <x:v>SRC012</x:v>
      </x:c>
      <x:c r="B16" s="31" t="str">
        <x:v>recipts/photo_2_2026-10-10_14-07-27.jpg</x:v>
      </x:c>
      <x:c r="C16" s="31" t="str">
        <x:v>jpg</x:v>
      </x:c>
      <x:c r="D16" s="31" t="n">
        <x:v>39945</x:v>
      </x:c>
      <x:c r="E16" s="31" t="str">
        <x:v>6f9a6e2d264b36faa78b41d76c6a1448122e4a243a95c361fd1281ae2bc47e4a</x:v>
      </x:c>
      <x:c r="F16" s="31" t="str">
        <x:v>Read</x:v>
      </x:c>
      <x:c r="G16" s="31" t="str">
        <x:v>TX0076</x:v>
      </x:c>
      <x:c r="H16" s="31" t="str"/>
      <x:c r="I16" s="31" t="str">
        <x:v>Extracted</x:v>
      </x:c>
      <x:c r="J16" s="31" t="str"/>
      <x:c r="K16" s="31" t="str">
        <x:v>https://github.com/SireJeff/anjoman-accounting/blob/6a005a29ab910c0599fc061d27ea33fcbf7aa5d7/recipts/photo_2_2026-10-10_14-07-27.jpg</x:v>
      </x:c>
    </x:row>
    <x:row r="17" ht="15" hidden="0" customHeight="1">
      <x:c r="A17" s="31" t="str">
        <x:v>SRC013</x:v>
      </x:c>
      <x:c r="B17" s="31" t="str">
        <x:v>recipts/photo_3_2026-10-10_11-09-04.jpg</x:v>
      </x:c>
      <x:c r="C17" s="31" t="str">
        <x:v>jpg</x:v>
      </x:c>
      <x:c r="D17" s="31" t="n">
        <x:v>48603</x:v>
      </x:c>
      <x:c r="E17" s="31" t="str">
        <x:v>5e9f3828411eb9b655e40edf6506756897d37de7bd8a35ea38c9eee80d9742c0</x:v>
      </x:c>
      <x:c r="F17" s="31" t="str">
        <x:v>Read</x:v>
      </x:c>
      <x:c r="G17" s="31" t="str">
        <x:v>TX0085</x:v>
      </x:c>
      <x:c r="H17" s="31" t="str"/>
      <x:c r="I17" s="31" t="str">
        <x:v>Extracted</x:v>
      </x:c>
      <x:c r="J17" s="31" t="str"/>
      <x:c r="K17" s="31" t="str">
        <x:v>https://github.com/SireJeff/anjoman-accounting/blob/6a005a29ab910c0599fc061d27ea33fcbf7aa5d7/recipts/photo_3_2026-10-10_11-09-04.jpg</x:v>
      </x:c>
    </x:row>
    <x:row r="18" ht="15" hidden="0" customHeight="1">
      <x:c r="A18" s="31" t="str">
        <x:v>SRC014</x:v>
      </x:c>
      <x:c r="B18" s="31" t="str">
        <x:v>recipts/photo_3_2026-10-10_14-07-27.jpg</x:v>
      </x:c>
      <x:c r="C18" s="31" t="str">
        <x:v>jpg</x:v>
      </x:c>
      <x:c r="D18" s="31" t="n">
        <x:v>45037</x:v>
      </x:c>
      <x:c r="E18" s="31" t="str">
        <x:v>89cfe54d6ab70d44461da04c4318c4b7a11f78947d9a61bda0e7266fbcc3bdab</x:v>
      </x:c>
      <x:c r="F18" s="31" t="str">
        <x:v>Read</x:v>
      </x:c>
      <x:c r="G18" s="31" t="str">
        <x:v>TX0075</x:v>
      </x:c>
      <x:c r="H18" s="31" t="str"/>
      <x:c r="I18" s="31" t="str">
        <x:v>Extracted</x:v>
      </x:c>
      <x:c r="J18" s="31" t="str"/>
      <x:c r="K18" s="31" t="str">
        <x:v>https://github.com/SireJeff/anjoman-accounting/blob/6a005a29ab910c0599fc061d27ea33fcbf7aa5d7/recipts/photo_3_2026-10-10_14-07-27.jpg</x:v>
      </x:c>
    </x:row>
    <x:row r="19" ht="15" hidden="0" customHeight="1">
      <x:c r="A19" s="31" t="str">
        <x:v>SRC015</x:v>
      </x:c>
      <x:c r="B19" s="31" t="str">
        <x:v>recipts/photo_4_2026-10-10_11-09-04.jpg</x:v>
      </x:c>
      <x:c r="C19" s="31" t="str">
        <x:v>jpg</x:v>
      </x:c>
      <x:c r="D19" s="31" t="n">
        <x:v>49704</x:v>
      </x:c>
      <x:c r="E19" s="31" t="str">
        <x:v>da2ff247cc7b5f3f295635d3052d3d599eebc0806a657613e584d1cce0639769</x:v>
      </x:c>
      <x:c r="F19" s="31" t="str">
        <x:v>Read</x:v>
      </x:c>
      <x:c r="G19" s="31" t="str">
        <x:v>TX0081</x:v>
      </x:c>
      <x:c r="H19" s="31" t="str"/>
      <x:c r="I19" s="31" t="str">
        <x:v>Extracted</x:v>
      </x:c>
      <x:c r="J19" s="31" t="str"/>
      <x:c r="K19" s="31" t="str">
        <x:v>https://github.com/SireJeff/anjoman-accounting/blob/6a005a29ab910c0599fc061d27ea33fcbf7aa5d7/recipts/photo_4_2026-10-10_11-09-04.jpg</x:v>
      </x:c>
    </x:row>
    <x:row r="20" ht="15" hidden="0" customHeight="1">
      <x:c r="A20" s="31" t="str">
        <x:v>SRC016</x:v>
      </x:c>
      <x:c r="B20" s="31" t="str">
        <x:v>recipts/photo_4_2026-10-10_14-07-27.jpg</x:v>
      </x:c>
      <x:c r="C20" s="31" t="str">
        <x:v>jpg</x:v>
      </x:c>
      <x:c r="D20" s="31" t="n">
        <x:v>44990</x:v>
      </x:c>
      <x:c r="E20" s="31" t="str">
        <x:v>44a438cc79650702edcbab92c8d1b6d5bc74008f068089c928f463f0657d2162</x:v>
      </x:c>
      <x:c r="F20" s="31" t="str">
        <x:v>Read</x:v>
      </x:c>
      <x:c r="G20" s="31" t="str">
        <x:v>TX0043</x:v>
      </x:c>
      <x:c r="H20" s="31" t="str"/>
      <x:c r="I20" s="31" t="str">
        <x:v>Extracted</x:v>
      </x:c>
      <x:c r="J20" s="31" t="str"/>
      <x:c r="K20" s="31" t="str">
        <x:v>https://github.com/SireJeff/anjoman-accounting/blob/6a005a29ab910c0599fc061d27ea33fcbf7aa5d7/recipts/photo_4_2026-10-10_14-07-27.jpg</x:v>
      </x:c>
    </x:row>
    <x:row r="21" ht="15" hidden="0" customHeight="1">
      <x:c r="A21" s="31" t="str">
        <x:v>SRC017</x:v>
      </x:c>
      <x:c r="B21" s="31" t="str">
        <x:v>recipts/photo_5_2026-10-10_11-09-04.jpg</x:v>
      </x:c>
      <x:c r="C21" s="31" t="str">
        <x:v>jpg</x:v>
      </x:c>
      <x:c r="D21" s="31" t="n">
        <x:v>49513</x:v>
      </x:c>
      <x:c r="E21" s="31" t="str">
        <x:v>556c6c35f9ce9e0fb5845f3b0d5b9a1b2696d7e1377af7f4c39d6a23e4360af2</x:v>
      </x:c>
      <x:c r="F21" s="31" t="str">
        <x:v>Read</x:v>
      </x:c>
      <x:c r="G21" s="31" t="str">
        <x:v>TX0080</x:v>
      </x:c>
      <x:c r="H21" s="31" t="str"/>
      <x:c r="I21" s="31" t="str">
        <x:v>Extracted</x:v>
      </x:c>
      <x:c r="J21" s="31" t="str"/>
      <x:c r="K21" s="31" t="str">
        <x:v>https://github.com/SireJeff/anjoman-accounting/blob/6a005a29ab910c0599fc061d27ea33fcbf7aa5d7/recipts/photo_5_2026-10-10_11-09-04.jpg</x:v>
      </x:c>
    </x:row>
    <x:row r="22" ht="15" hidden="0" customHeight="1">
      <x:c r="A22" s="31" t="str">
        <x:v>SRC018</x:v>
      </x:c>
      <x:c r="B22" s="31" t="str">
        <x:v>recipts/photo_5_2026-10-10_14-07-27.jpg</x:v>
      </x:c>
      <x:c r="C22" s="31" t="str">
        <x:v>jpg</x:v>
      </x:c>
      <x:c r="D22" s="31" t="n">
        <x:v>39739</x:v>
      </x:c>
      <x:c r="E22" s="31" t="str">
        <x:v>63f59a169b5a2bb5dd1bc0587d75173d88da586a0b9b30cbe7effcd5b676c67c</x:v>
      </x:c>
      <x:c r="F22" s="31" t="str">
        <x:v>Read</x:v>
      </x:c>
      <x:c r="G22" s="31" t="str">
        <x:v>TX0077</x:v>
      </x:c>
      <x:c r="H22" s="31" t="str"/>
      <x:c r="I22" s="31" t="str">
        <x:v>Extracted</x:v>
      </x:c>
      <x:c r="J22" s="31" t="str"/>
      <x:c r="K22" s="31" t="str">
        <x:v>https://github.com/SireJeff/anjoman-accounting/blob/6a005a29ab910c0599fc061d27ea33fcbf7aa5d7/recipts/photo_5_2026-10-10_14-07-27.jpg</x:v>
      </x:c>
    </x:row>
    <x:row r="23" ht="15" hidden="0" customHeight="1">
      <x:c r="A23" s="31" t="str">
        <x:v>SRC019</x:v>
      </x:c>
      <x:c r="B23" s="31" t="str">
        <x:v>recipts/photo_6_2026-10-10_11-09-04.jpg</x:v>
      </x:c>
      <x:c r="C23" s="31" t="str">
        <x:v>jpg</x:v>
      </x:c>
      <x:c r="D23" s="31" t="n">
        <x:v>57246</x:v>
      </x:c>
      <x:c r="E23" s="31" t="str">
        <x:v>3e2419ef0ccbe67c3e775ffb4f32e97152e3923bab3c3760071727253938e142</x:v>
      </x:c>
      <x:c r="F23" s="31" t="str">
        <x:v>Read</x:v>
      </x:c>
      <x:c r="G23" s="31" t="str">
        <x:v>TX0088</x:v>
      </x:c>
      <x:c r="H23" s="31" t="str"/>
      <x:c r="I23" s="31" t="str">
        <x:v>Extracted</x:v>
      </x:c>
      <x:c r="J23" s="31" t="str"/>
      <x:c r="K23" s="31" t="str">
        <x:v>https://github.com/SireJeff/anjoman-accounting/blob/6a005a29ab910c0599fc061d27ea33fcbf7aa5d7/recipts/photo_6_2026-10-10_11-09-04.jpg</x:v>
      </x:c>
    </x:row>
    <x:row r="24" ht="15" hidden="0" customHeight="1">
      <x:c r="A24" s="31" t="str">
        <x:v>SRC020</x:v>
      </x:c>
      <x:c r="B24" s="31" t="str">
        <x:v>recipts/photo_6_2026-10-10_14-07-27.jpg</x:v>
      </x:c>
      <x:c r="C24" s="31" t="str">
        <x:v>jpg</x:v>
      </x:c>
      <x:c r="D24" s="31" t="n">
        <x:v>41211</x:v>
      </x:c>
      <x:c r="E24" s="31" t="str">
        <x:v>2a51ef05147371b78e220f491a2c3e82578cb8a9cc8a65128cd503f3f2eaf183</x:v>
      </x:c>
      <x:c r="F24" s="31" t="str">
        <x:v>Read</x:v>
      </x:c>
      <x:c r="G24" s="31" t="str">
        <x:v>TX0061</x:v>
      </x:c>
      <x:c r="H24" s="31" t="str"/>
      <x:c r="I24" s="31" t="str">
        <x:v>Extracted</x:v>
      </x:c>
      <x:c r="J24" s="31" t="str"/>
      <x:c r="K24" s="31" t="str">
        <x:v>https://github.com/SireJeff/anjoman-accounting/blob/6a005a29ab910c0599fc061d27ea33fcbf7aa5d7/recipts/photo_6_2026-10-10_14-07-27.jpg</x:v>
      </x:c>
    </x:row>
    <x:row r="25" ht="15" hidden="0" customHeight="1">
      <x:c r="A25" s="31" t="str">
        <x:v>SRC021</x:v>
      </x:c>
      <x:c r="B25" s="31" t="str">
        <x:v>recipts/photo_7_2026-10-10_11-09-04.jpg</x:v>
      </x:c>
      <x:c r="C25" s="31" t="str">
        <x:v>jpg</x:v>
      </x:c>
      <x:c r="D25" s="31" t="n">
        <x:v>49510</x:v>
      </x:c>
      <x:c r="E25" s="31" t="str">
        <x:v>805ebbd2b231c7cf1c2858b5a056938b59dd5c7ccaed44d74c4edc20f4b57ce2</x:v>
      </x:c>
      <x:c r="F25" s="31" t="str">
        <x:v>Read</x:v>
      </x:c>
      <x:c r="G25" s="31" t="str">
        <x:v>TX0086</x:v>
      </x:c>
      <x:c r="H25" s="31" t="str"/>
      <x:c r="I25" s="31" t="str">
        <x:v>Extracted</x:v>
      </x:c>
      <x:c r="J25" s="31" t="str"/>
      <x:c r="K25" s="31" t="str">
        <x:v>https://github.com/SireJeff/anjoman-accounting/blob/6a005a29ab910c0599fc061d27ea33fcbf7aa5d7/recipts/photo_7_2026-10-10_11-09-04.jpg</x:v>
      </x:c>
    </x:row>
    <x:row r="26" ht="15" hidden="0" customHeight="1">
      <x:c r="A26" s="31" t="str">
        <x:v>SRC022</x:v>
      </x:c>
      <x:c r="B26" s="31" t="str">
        <x:v>recipts/photo_7_2026-10-10_14-07-27.jpg</x:v>
      </x:c>
      <x:c r="C26" s="31" t="str">
        <x:v>jpg</x:v>
      </x:c>
      <x:c r="D26" s="31" t="n">
        <x:v>44918</x:v>
      </x:c>
      <x:c r="E26" s="31" t="str">
        <x:v>1bfe3e9b9076ece14313b068bc35b4b58c247e5b9fbf0c8ac9d9161c5a1eab10</x:v>
      </x:c>
      <x:c r="F26" s="31" t="str">
        <x:v>Read</x:v>
      </x:c>
      <x:c r="G26" s="31" t="str">
        <x:v>TX0079</x:v>
      </x:c>
      <x:c r="H26" s="31" t="str"/>
      <x:c r="I26" s="31" t="str">
        <x:v>Extracted</x:v>
      </x:c>
      <x:c r="J26" s="31" t="str"/>
      <x:c r="K26" s="31" t="str">
        <x:v>https://github.com/SireJeff/anjoman-accounting/blob/6a005a29ab910c0599fc061d27ea33fcbf7aa5d7/recipts/photo_7_2026-10-10_14-07-27.jpg</x:v>
      </x:c>
    </x:row>
    <x:row r="27" ht="15" hidden="0" customHeight="1">
      <x:c r="A27" s="31" t="str">
        <x:v>SRC023</x:v>
      </x:c>
      <x:c r="B27" s="31" t="str">
        <x:v>recipts/photo_8_2026-10-10_11-09-04.jpg</x:v>
      </x:c>
      <x:c r="C27" s="31" t="str">
        <x:v>jpg</x:v>
      </x:c>
      <x:c r="D27" s="31" t="n">
        <x:v>48893</x:v>
      </x:c>
      <x:c r="E27" s="31" t="str">
        <x:v>75fee797d13ddb85ea935721b36fb145c6c9fe6b2ea11406f10a551c57acac32</x:v>
      </x:c>
      <x:c r="F27" s="31" t="str">
        <x:v>Read</x:v>
      </x:c>
      <x:c r="G27" s="31" t="str">
        <x:v>TX0087</x:v>
      </x:c>
      <x:c r="H27" s="31" t="str"/>
      <x:c r="I27" s="31" t="str">
        <x:v>Extracted</x:v>
      </x:c>
      <x:c r="J27" s="31" t="str"/>
      <x:c r="K27" s="31" t="str">
        <x:v>https://github.com/SireJeff/anjoman-accounting/blob/6a005a29ab910c0599fc061d27ea33fcbf7aa5d7/recipts/photo_8_2026-10-10_11-09-04.jpg</x:v>
      </x:c>
    </x:row>
    <x:row r="28" ht="15" hidden="0" customHeight="1">
      <x:c r="A28" s="31" t="str">
        <x:v>SRC024</x:v>
      </x:c>
      <x:c r="B28" s="31" t="str">
        <x:v>recipts/photo_8_2026-10-10_14-07-27.jpg</x:v>
      </x:c>
      <x:c r="C28" s="31" t="str">
        <x:v>jpg</x:v>
      </x:c>
      <x:c r="D28" s="31" t="n">
        <x:v>39907</x:v>
      </x:c>
      <x:c r="E28" s="31" t="str">
        <x:v>ae9fe7eccdae6bf86a1de9ecb8dc330494dec3835c76a1f55a0dd695297689b8</x:v>
      </x:c>
      <x:c r="F28" s="31" t="str">
        <x:v>Read</x:v>
      </x:c>
      <x:c r="G28" s="31" t="str">
        <x:v>TX0078</x:v>
      </x:c>
      <x:c r="H28" s="31" t="str"/>
      <x:c r="I28" s="31" t="str">
        <x:v>Extracted</x:v>
      </x:c>
      <x:c r="J28" s="31" t="str"/>
      <x:c r="K28" s="31" t="str">
        <x:v>https://github.com/SireJeff/anjoman-accounting/blob/6a005a29ab910c0599fc061d27ea33fcbf7aa5d7/recipts/photo_8_2026-10-10_14-07-27.jpg</x:v>
      </x:c>
    </x:row>
    <x:row r="29" ht="24" hidden="0" customHeight="1">
      <x:c r="A29" s="31" t="str">
        <x:v>SRC025</x:v>
      </x:c>
      <x:c r="B29" s="31" t="str">
        <x:v>telegram export/files/CamScanner 13-05-2026 12.43 (1).pdf</x:v>
      </x:c>
      <x:c r="C29" s="31" t="str">
        <x:v>pdf</x:v>
      </x:c>
      <x:c r="D29" s="31" t="n">
        <x:v>7377808</x:v>
      </x:c>
      <x:c r="E29" s="31" t="str">
        <x:v>6710c8248b7f8f3fb3ccc8ef74c9e5f017aa69fcd6c02fb1e5e4f8d33d134b2b</x:v>
      </x:c>
      <x:c r="F29" s="31" t="str">
        <x:v>Read</x:v>
      </x:c>
      <x:c r="G29" s="31" t="str">
        <x:v>TX0064, TX0065, TX0066, TX0067, TX0068, TX0069, TX0070, TX0071, TX0072, TX0073, TX0074</x:v>
      </x:c>
      <x:c r="H29" s="31" t="str">
        <x:v>message124</x:v>
      </x:c>
      <x:c r="I29" s="31" t="str">
        <x:v>Extracted</x:v>
      </x:c>
      <x:c r="J29" s="31" t="str">
        <x:v>11 pages = scan_pages_01-03, 04-06, 07-09, 10-11. Independent page review used.</x:v>
      </x:c>
      <x:c r="K29" s="31" t="str">
        <x:v>https://github.com/SireJeff/anjoman-accounting/blob/6a005a29ab910c0599fc061d27ea33fcbf7aa5d7/telegram%20export/files/CamScanner%2013-05-2026%2012.43%20(1).pdf</x:v>
      </x:c>
    </x:row>
    <x:row r="30" ht="15" hidden="0" customHeight="1">
      <x:c r="A30" s="31" t="str">
        <x:v>SRC026</x:v>
      </x:c>
      <x:c r="B30" s="31" t="str">
        <x:v>telegram export/files/dk-file-2025-10-16-14-43-08.pdf</x:v>
      </x:c>
      <x:c r="C30" s="31" t="str">
        <x:v>pdf</x:v>
      </x:c>
      <x:c r="D30" s="31" t="n">
        <x:v>326283</x:v>
      </x:c>
      <x:c r="E30" s="31" t="str">
        <x:v>6e8ce528a639e8464eeb696a426eea1e00398cec8ff5e910340153fd01552139</x:v>
      </x:c>
      <x:c r="F30" s="31" t="str">
        <x:v>Read</x:v>
      </x:c>
      <x:c r="G30" s="31" t="str">
        <x:v>TX0032</x:v>
      </x:c>
      <x:c r="H30" s="31" t="str">
        <x:v>message66</x:v>
      </x:c>
      <x:c r="I30" s="31" t="str">
        <x:v>Reconciled</x:v>
      </x:c>
      <x:c r="J30" s="31" t="str">
        <x:v>INV001/002.</x:v>
      </x:c>
      <x:c r="K30" s="31" t="str">
        <x:v>https://github.com/SireJeff/anjoman-accounting/blob/6a005a29ab910c0599fc061d27ea33fcbf7aa5d7/telegram%20export/files/dk-file-2025-10-16-14-43-08.pdf</x:v>
      </x:c>
    </x:row>
    <x:row r="31" ht="15" hidden="0" customHeight="1">
      <x:c r="A31" s="31" t="str">
        <x:v>SRC027</x:v>
      </x:c>
      <x:c r="B31" s="31" t="str">
        <x:v>telegram export/files/report_LaTeX.txt</x:v>
      </x:c>
      <x:c r="C31" s="31" t="str">
        <x:v>txt</x:v>
      </x:c>
      <x:c r="D31" s="31" t="n">
        <x:v>6858</x:v>
      </x:c>
      <x:c r="E31" s="31" t="str">
        <x:v>31bbba72112289413c94d94087af8adf90da26ee8f61c7340c3042896a931038</x:v>
      </x:c>
      <x:c r="F31" s="31" t="str">
        <x:v>Read</x:v>
      </x:c>
      <x:c r="G31" s="31" t="str">
        <x:v>TX0001</x:v>
      </x:c>
      <x:c r="H31" s="31" t="str">
        <x:v>message7</x:v>
      </x:c>
      <x:c r="I31" s="31" t="str">
        <x:v>Context only</x:v>
      </x:c>
      <x:c r="J31" s="31" t="str">
        <x:v>Allocation control.</x:v>
      </x:c>
      <x:c r="K31" s="31" t="str">
        <x:v>https://github.com/SireJeff/anjoman-accounting/blob/6a005a29ab910c0599fc061d27ea33fcbf7aa5d7/telegram%20export/files/report_LaTeX.txt</x:v>
      </x:c>
    </x:row>
    <x:row r="32" ht="15" hidden="0" customHeight="1">
      <x:c r="A32" s="31" t="str">
        <x:v>SRC028</x:v>
      </x:c>
      <x:c r="B32" s="31" t="str">
        <x:v>telegram export/files/report_Mathematica.txt</x:v>
      </x:c>
      <x:c r="C32" s="31" t="str">
        <x:v>txt</x:v>
      </x:c>
      <x:c r="D32" s="31" t="n">
        <x:v>5711</x:v>
      </x:c>
      <x:c r="E32" s="31" t="str">
        <x:v>63b8607b7119b6c9b55fc9d03c59faa2b7722b6d12fd9ec43f51827b9048224b</x:v>
      </x:c>
      <x:c r="F32" s="31" t="str">
        <x:v>Read</x:v>
      </x:c>
      <x:c r="G32" s="31" t="str">
        <x:v>TX0001</x:v>
      </x:c>
      <x:c r="H32" s="31" t="str">
        <x:v>message8</x:v>
      </x:c>
      <x:c r="I32" s="31" t="str">
        <x:v>Context only</x:v>
      </x:c>
      <x:c r="J32" s="31" t="str">
        <x:v>Allocation control.</x:v>
      </x:c>
      <x:c r="K32" s="31" t="str">
        <x:v>https://github.com/SireJeff/anjoman-accounting/blob/6a005a29ab910c0599fc061d27ea33fcbf7aa5d7/telegram%20export/files/report_Mathematica.txt</x:v>
      </x:c>
    </x:row>
    <x:row r="33" ht="15" hidden="0" customHeight="1">
      <x:c r="A33" s="31" t="str">
        <x:v>SRC029</x:v>
      </x:c>
      <x:c r="B33" s="31" t="str">
        <x:v>telegram export/files/report_Python.txt</x:v>
      </x:c>
      <x:c r="C33" s="31" t="str">
        <x:v>txt</x:v>
      </x:c>
      <x:c r="D33" s="31" t="n">
        <x:v>6285</x:v>
      </x:c>
      <x:c r="E33" s="31" t="str">
        <x:v>8ff96f7277fc07553a6ac271872413e31de240ec23f25984e53ebd6202e8e6b6</x:v>
      </x:c>
      <x:c r="F33" s="31" t="str">
        <x:v>Read</x:v>
      </x:c>
      <x:c r="G33" s="31" t="str">
        <x:v>TX0001</x:v>
      </x:c>
      <x:c r="H33" s="31" t="str">
        <x:v>message6</x:v>
      </x:c>
      <x:c r="I33" s="31" t="str">
        <x:v>Context only</x:v>
      </x:c>
      <x:c r="J33" s="31" t="str">
        <x:v>Allocation control; contains personal data.</x:v>
      </x:c>
      <x:c r="K33" s="31" t="str">
        <x:v>https://github.com/SireJeff/anjoman-accounting/blob/6a005a29ab910c0599fc061d27ea33fcbf7aa5d7/telegram%20export/files/report_Python.txt</x:v>
      </x:c>
    </x:row>
    <x:row r="34" ht="36" hidden="0" customHeight="1">
      <x:c r="A34" s="31" t="str">
        <x:v>SRC030</x:v>
      </x:c>
      <x:c r="B34" s="31" t="str">
        <x:v>telegram export/messages.html</x:v>
      </x:c>
      <x:c r="C34" s="31" t="str">
        <x:v>html</x:v>
      </x:c>
      <x:c r="D34" s="31" t="n">
        <x:v>116651</x:v>
      </x:c>
      <x:c r="E34" s="31" t="str">
        <x:v>4ac19a5c1db97672da0893539fa00e862d2f986c2b12a577bfe816891b24e7e4</x:v>
      </x:c>
      <x:c r="F34" s="31" t="str">
        <x:v>Read</x:v>
      </x:c>
      <x:c r="G34" s="31" t="str">
        <x:v>TX0008, TX0018, TX0029, TX0030, TX0035, TX0036, TX0039, TX0040, TX0041, TX0047, TX0048, TX0049, TX0058</x:v>
      </x:c>
      <x:c r="H34" s="31" t="str"/>
      <x:c r="I34" s="31" t="str">
        <x:v>Reconciled</x:v>
      </x:c>
      <x:c r="J34" s="31" t="str">
        <x:v>All financial messages were mapped. Non-financial chat is context only (commitments in project_notes).</x:v>
      </x:c>
      <x:c r="K34" s="31" t="str">
        <x:v>https://github.com/SireJeff/anjoman-accounting/blob/6a005a29ab910c0599fc061d27ea33fcbf7aa5d7/telegram%20export/messages.html</x:v>
      </x:c>
    </x:row>
    <x:row r="35" ht="15" hidden="0" customHeight="1">
      <x:c r="A35" s="31" t="str">
        <x:v>SRC031</x:v>
      </x:c>
      <x:c r="B35" s="31" t="str">
        <x:v>telegram export/photos/photo_10@15-08-2025_18-28-22.jpg</x:v>
      </x:c>
      <x:c r="C35" s="31" t="str">
        <x:v>jpg</x:v>
      </x:c>
      <x:c r="D35" s="31" t="n">
        <x:v>74672</x:v>
      </x:c>
      <x:c r="E35" s="31" t="str">
        <x:v>28455c00bd0229cddc0b8874a8b025fc25700f4e553b6c67bdfc9082b2cad0b7</x:v>
      </x:c>
      <x:c r="F35" s="31" t="str">
        <x:v>Read</x:v>
      </x:c>
      <x:c r="G35" s="31" t="str">
        <x:v>TX0012</x:v>
      </x:c>
      <x:c r="H35" s="31" t="str">
        <x:v>message47</x:v>
      </x:c>
      <x:c r="I35" s="31" t="str">
        <x:v>Extracted</x:v>
      </x:c>
      <x:c r="J35" s="31" t="str"/>
      <x:c r="K35" s="31" t="str">
        <x:v>https://github.com/SireJeff/anjoman-accounting/blob/6a005a29ab910c0599fc061d27ea33fcbf7aa5d7/telegram%20export/photos/photo_10%4015-08-2025_18-28-22.jpg</x:v>
      </x:c>
    </x:row>
    <x:row r="36" ht="15" hidden="0" customHeight="1">
      <x:c r="A36" s="31" t="str">
        <x:v>SRC032</x:v>
      </x:c>
      <x:c r="B36" s="31" t="str">
        <x:v>telegram export/photos/photo_11@04-09-2025_14-05-56.jpg</x:v>
      </x:c>
      <x:c r="C36" s="31" t="str">
        <x:v>jpg</x:v>
      </x:c>
      <x:c r="D36" s="31" t="n">
        <x:v>56585</x:v>
      </x:c>
      <x:c r="E36" s="31" t="str">
        <x:v>dba6c9549b471a9a2d016b29b57970c53eedf21a4f80e3a841478cf04784555e</x:v>
      </x:c>
      <x:c r="F36" s="31" t="str">
        <x:v>Read</x:v>
      </x:c>
      <x:c r="G36" s="31" t="str">
        <x:v>TX0015</x:v>
      </x:c>
      <x:c r="H36" s="31" t="str">
        <x:v>message48</x:v>
      </x:c>
      <x:c r="I36" s="31" t="str">
        <x:v>Extracted</x:v>
      </x:c>
      <x:c r="J36" s="31" t="str"/>
      <x:c r="K36" s="31" t="str">
        <x:v>https://github.com/SireJeff/anjoman-accounting/blob/6a005a29ab910c0599fc061d27ea33fcbf7aa5d7/telegram%20export/photos/photo_11%4004-09-2025_14-05-56.jpg</x:v>
      </x:c>
    </x:row>
    <x:row r="37" ht="15" hidden="0" customHeight="1">
      <x:c r="A37" s="31" t="str">
        <x:v>SRC033</x:v>
      </x:c>
      <x:c r="B37" s="31" t="str">
        <x:v>telegram export/photos/photo_12@01-10-2025_18-02-44.jpg</x:v>
      </x:c>
      <x:c r="C37" s="31" t="str">
        <x:v>jpg</x:v>
      </x:c>
      <x:c r="D37" s="31" t="n">
        <x:v>48640</x:v>
      </x:c>
      <x:c r="E37" s="31" t="str">
        <x:v>6295ac27d8bc4463d51132d3a86a8e01dc37946b107ee50d0c77ceffe9470b4c</x:v>
      </x:c>
      <x:c r="F37" s="31" t="str">
        <x:v>Read</x:v>
      </x:c>
      <x:c r="G37" s="31" t="str">
        <x:v>TX0018</x:v>
      </x:c>
      <x:c r="H37" s="31" t="str">
        <x:v>message51</x:v>
      </x:c>
      <x:c r="I37" s="31" t="str">
        <x:v>Extracted</x:v>
      </x:c>
      <x:c r="J37" s="31" t="str"/>
      <x:c r="K37" s="31" t="str">
        <x:v>https://github.com/SireJeff/anjoman-accounting/blob/6a005a29ab910c0599fc061d27ea33fcbf7aa5d7/telegram%20export/photos/photo_12%4001-10-2025_18-02-44.jpg</x:v>
      </x:c>
    </x:row>
    <x:row r="38" ht="15" hidden="0" customHeight="1">
      <x:c r="A38" s="31" t="str">
        <x:v>SRC034</x:v>
      </x:c>
      <x:c r="B38" s="31" t="str">
        <x:v>telegram export/photos/photo_13@12-10-2025_10-24-38.jpg</x:v>
      </x:c>
      <x:c r="C38" s="31" t="str">
        <x:v>jpg</x:v>
      </x:c>
      <x:c r="D38" s="31" t="n">
        <x:v>66592</x:v>
      </x:c>
      <x:c r="E38" s="31" t="str">
        <x:v>6d79bcdee6b1e2fb274811a327e44deb472e519ef16ca2cb2633fddb9da7e083</x:v>
      </x:c>
      <x:c r="F38" s="31" t="str">
        <x:v>Read</x:v>
      </x:c>
      <x:c r="G38" s="31" t="str">
        <x:v>TX0020</x:v>
      </x:c>
      <x:c r="H38" s="31" t="str">
        <x:v>message61</x:v>
      </x:c>
      <x:c r="I38" s="31" t="str">
        <x:v>Extracted</x:v>
      </x:c>
      <x:c r="J38" s="31" t="str"/>
      <x:c r="K38" s="31" t="str">
        <x:v>https://github.com/SireJeff/anjoman-accounting/blob/6a005a29ab910c0599fc061d27ea33fcbf7aa5d7/telegram%20export/photos/photo_13%4012-10-2025_10-24-38.jpg</x:v>
      </x:c>
    </x:row>
    <x:row r="39" ht="15" hidden="0" customHeight="1">
      <x:c r="A39" s="31" t="str">
        <x:v>SRC035</x:v>
      </x:c>
      <x:c r="B39" s="31" t="str">
        <x:v>telegram export/photos/photo_14@15-10-2025_14-18-25.jpg</x:v>
      </x:c>
      <x:c r="C39" s="31" t="str">
        <x:v>jpg</x:v>
      </x:c>
      <x:c r="D39" s="31" t="n">
        <x:v>69226</x:v>
      </x:c>
      <x:c r="E39" s="31" t="str">
        <x:v>b214b33a77c58bb0428ba09719496e21696b82ae4055292c9711694e4e16fd3b</x:v>
      </x:c>
      <x:c r="F39" s="31" t="str">
        <x:v>Read</x:v>
      </x:c>
      <x:c r="G39" s="31" t="str">
        <x:v>TX0024</x:v>
      </x:c>
      <x:c r="H39" s="31" t="str">
        <x:v>message62</x:v>
      </x:c>
      <x:c r="I39" s="31" t="str">
        <x:v>Extracted</x:v>
      </x:c>
      <x:c r="J39" s="31" t="str"/>
      <x:c r="K39" s="31" t="str">
        <x:v>https://github.com/SireJeff/anjoman-accounting/blob/6a005a29ab910c0599fc061d27ea33fcbf7aa5d7/telegram%20export/photos/photo_14%4015-10-2025_14-18-25.jpg</x:v>
      </x:c>
    </x:row>
    <x:row r="40" ht="15" hidden="0" customHeight="1">
      <x:c r="A40" s="31" t="str">
        <x:v>SRC036</x:v>
      </x:c>
      <x:c r="B40" s="31" t="str">
        <x:v>telegram export/photos/photo_15@15-10-2025_14-18-25.jpg</x:v>
      </x:c>
      <x:c r="C40" s="31" t="str">
        <x:v>jpg</x:v>
      </x:c>
      <x:c r="D40" s="31" t="n">
        <x:v>64998</x:v>
      </x:c>
      <x:c r="E40" s="31" t="str">
        <x:v>f31ffa6bdd2395d18e073911daffc69b21952eaef6f5b1d6bcf7beacb8193f96</x:v>
      </x:c>
      <x:c r="F40" s="31" t="str">
        <x:v>Read</x:v>
      </x:c>
      <x:c r="G40" s="31" t="str">
        <x:v>TX0019</x:v>
      </x:c>
      <x:c r="H40" s="31" t="str">
        <x:v>message63</x:v>
      </x:c>
      <x:c r="I40" s="31" t="str">
        <x:v>Extracted</x:v>
      </x:c>
      <x:c r="J40" s="31" t="str"/>
      <x:c r="K40" s="31" t="str">
        <x:v>https://github.com/SireJeff/anjoman-accounting/blob/6a005a29ab910c0599fc061d27ea33fcbf7aa5d7/telegram%20export/photos/photo_15%4015-10-2025_14-18-25.jpg</x:v>
      </x:c>
    </x:row>
    <x:row r="41" ht="15" hidden="0" customHeight="1">
      <x:c r="A41" s="31" t="str">
        <x:v>SRC037</x:v>
      </x:c>
      <x:c r="B41" s="31" t="str">
        <x:v>telegram export/photos/photo_16@15-10-2025_14-18-26.jpg</x:v>
      </x:c>
      <x:c r="C41" s="31" t="str">
        <x:v>jpg</x:v>
      </x:c>
      <x:c r="D41" s="31" t="n">
        <x:v>68536</x:v>
      </x:c>
      <x:c r="E41" s="31" t="str">
        <x:v>28db8e201da1e5584cadcf90b8a007d7293f769983b96c5cee2f7e2e3fd3fa83</x:v>
      </x:c>
      <x:c r="F41" s="31" t="str">
        <x:v>Read</x:v>
      </x:c>
      <x:c r="G41" s="31" t="str">
        <x:v>TX0021</x:v>
      </x:c>
      <x:c r="H41" s="31" t="str">
        <x:v>message64</x:v>
      </x:c>
      <x:c r="I41" s="31" t="str">
        <x:v>Extracted</x:v>
      </x:c>
      <x:c r="J41" s="31" t="str"/>
      <x:c r="K41" s="31" t="str">
        <x:v>https://github.com/SireJeff/anjoman-accounting/blob/6a005a29ab910c0599fc061d27ea33fcbf7aa5d7/telegram%20export/photos/photo_16%4015-10-2025_14-18-26.jpg</x:v>
      </x:c>
    </x:row>
    <x:row r="42" ht="15" hidden="0" customHeight="1">
      <x:c r="A42" s="31" t="str">
        <x:v>SRC038</x:v>
      </x:c>
      <x:c r="B42" s="31" t="str">
        <x:v>telegram export/photos/photo_17@15-10-2025_14-18-26.jpg</x:v>
      </x:c>
      <x:c r="C42" s="31" t="str">
        <x:v>jpg</x:v>
      </x:c>
      <x:c r="D42" s="31" t="n">
        <x:v>68859</x:v>
      </x:c>
      <x:c r="E42" s="31" t="str">
        <x:v>ed8841b0f4a343d505b7aecc8f250fbe6f41fbcf2dcf64ca77e75a72fcf51b2b</x:v>
      </x:c>
      <x:c r="F42" s="31" t="str">
        <x:v>Read</x:v>
      </x:c>
      <x:c r="G42" s="31" t="str">
        <x:v>TX0023</x:v>
      </x:c>
      <x:c r="H42" s="31" t="str">
        <x:v>message65</x:v>
      </x:c>
      <x:c r="I42" s="31" t="str">
        <x:v>Extracted</x:v>
      </x:c>
      <x:c r="J42" s="31" t="str"/>
      <x:c r="K42" s="31" t="str">
        <x:v>https://github.com/SireJeff/anjoman-accounting/blob/6a005a29ab910c0599fc061d27ea33fcbf7aa5d7/telegram%20export/photos/photo_17%4015-10-2025_14-18-26.jpg</x:v>
      </x:c>
    </x:row>
    <x:row r="43" ht="15" hidden="0" customHeight="1">
      <x:c r="A43" s="31" t="str">
        <x:v>SRC039</x:v>
      </x:c>
      <x:c r="B43" s="31" t="str">
        <x:v>telegram export/photos/photo_18@28-10-2025_01-53-01.jpg</x:v>
      </x:c>
      <x:c r="C43" s="31" t="str">
        <x:v>jpg</x:v>
      </x:c>
      <x:c r="D43" s="31" t="n">
        <x:v>69491</x:v>
      </x:c>
      <x:c r="E43" s="31" t="str">
        <x:v>52872081d1c4fc01e8f48c9cae4df8a96c78c269d03384ab89a398a382fda9e2</x:v>
      </x:c>
      <x:c r="F43" s="31" t="str">
        <x:v>Read</x:v>
      </x:c>
      <x:c r="G43" s="31" t="str">
        <x:v>TX0027</x:v>
      </x:c>
      <x:c r="H43" s="31" t="str">
        <x:v>message67</x:v>
      </x:c>
      <x:c r="I43" s="31" t="str">
        <x:v>Extracted</x:v>
      </x:c>
      <x:c r="J43" s="31" t="str"/>
      <x:c r="K43" s="31" t="str">
        <x:v>https://github.com/SireJeff/anjoman-accounting/blob/6a005a29ab910c0599fc061d27ea33fcbf7aa5d7/telegram%20export/photos/photo_18%4028-10-2025_01-53-01.jpg</x:v>
      </x:c>
    </x:row>
    <x:row r="44" ht="15" hidden="0" customHeight="1">
      <x:c r="A44" s="31" t="str">
        <x:v>SRC040</x:v>
      </x:c>
      <x:c r="B44" s="31" t="str">
        <x:v>telegram export/photos/photo_19@28-10-2025_01-58-07.jpg</x:v>
      </x:c>
      <x:c r="C44" s="31" t="str">
        <x:v>jpg</x:v>
      </x:c>
      <x:c r="D44" s="31" t="n">
        <x:v>65290</x:v>
      </x:c>
      <x:c r="E44" s="31" t="str">
        <x:v>6406d711ff22151beab2efc5ad32dff29634b42c4df6d6c1de3e76cff738b2ca</x:v>
      </x:c>
      <x:c r="F44" s="31" t="str">
        <x:v>Read</x:v>
      </x:c>
      <x:c r="G44" s="31" t="str">
        <x:v>TX0032</x:v>
      </x:c>
      <x:c r="H44" s="31" t="str">
        <x:v>message69</x:v>
      </x:c>
      <x:c r="I44" s="31" t="str">
        <x:v>Extracted</x:v>
      </x:c>
      <x:c r="J44" s="31" t="str"/>
      <x:c r="K44" s="31" t="str">
        <x:v>https://github.com/SireJeff/anjoman-accounting/blob/6a005a29ab910c0599fc061d27ea33fcbf7aa5d7/telegram%20export/photos/photo_19%4028-10-2025_01-58-07.jpg</x:v>
      </x:c>
    </x:row>
    <x:row r="45" ht="15" hidden="0" customHeight="1">
      <x:c r="A45" s="31" t="str">
        <x:v>SRC041</x:v>
      </x:c>
      <x:c r="B45" s="31" t="str">
        <x:v>telegram export/photos/photo_1@24-07-2025_21-00-16.jpg</x:v>
      </x:c>
      <x:c r="C45" s="31" t="str">
        <x:v>jpg</x:v>
      </x:c>
      <x:c r="D45" s="31" t="n">
        <x:v>73477</x:v>
      </x:c>
      <x:c r="E45" s="31" t="str">
        <x:v>79265bb04e6428f336712238ba43edcc9065f4a4313a8b75c7f937a113c99ce2</x:v>
      </x:c>
      <x:c r="F45" s="31" t="str">
        <x:v>Read</x:v>
      </x:c>
      <x:c r="G45" s="31" t="str">
        <x:v>TX0002</x:v>
      </x:c>
      <x:c r="H45" s="31" t="str">
        <x:v>message25</x:v>
      </x:c>
      <x:c r="I45" s="31" t="str">
        <x:v>Extracted</x:v>
      </x:c>
      <x:c r="J45" s="31" t="str"/>
      <x:c r="K45" s="31" t="str">
        <x:v>https://github.com/SireJeff/anjoman-accounting/blob/6a005a29ab910c0599fc061d27ea33fcbf7aa5d7/telegram%20export/photos/photo_1%4024-07-2025_21-00-16.jpg</x:v>
      </x:c>
    </x:row>
    <x:row r="46" ht="15" hidden="0" customHeight="1">
      <x:c r="A46" s="31" t="str">
        <x:v>SRC042</x:v>
      </x:c>
      <x:c r="B46" s="31" t="str">
        <x:v>telegram export/photos/photo_20@28-10-2025_22-07-57.jpg</x:v>
      </x:c>
      <x:c r="C46" s="31" t="str">
        <x:v>jpg</x:v>
      </x:c>
      <x:c r="D46" s="31" t="n">
        <x:v>145202</x:v>
      </x:c>
      <x:c r="E46" s="31" t="str">
        <x:v>18a41c8ef151421d6a8438c0c292c313bd9d69817efed89507abf1bb0e852e6b</x:v>
      </x:c>
      <x:c r="F46" s="31" t="str">
        <x:v>Read</x:v>
      </x:c>
      <x:c r="G46" s="31" t="str">
        <x:v>TX0026</x:v>
      </x:c>
      <x:c r="H46" s="31" t="str">
        <x:v>message71</x:v>
      </x:c>
      <x:c r="I46" s="31" t="str">
        <x:v>Extracted</x:v>
      </x:c>
      <x:c r="J46" s="31" t="str"/>
      <x:c r="K46" s="31" t="str">
        <x:v>https://github.com/SireJeff/anjoman-accounting/blob/6a005a29ab910c0599fc061d27ea33fcbf7aa5d7/telegram%20export/photos/photo_20%4028-10-2025_22-07-57.jpg</x:v>
      </x:c>
    </x:row>
    <x:row r="47" ht="15" hidden="0" customHeight="1">
      <x:c r="A47" s="31" t="str">
        <x:v>SRC043</x:v>
      </x:c>
      <x:c r="B47" s="31" t="str">
        <x:v>telegram export/photos/photo_21@09-11-2025_23-16-09.jpg</x:v>
      </x:c>
      <x:c r="C47" s="31" t="str">
        <x:v>jpg</x:v>
      </x:c>
      <x:c r="D47" s="31" t="n">
        <x:v>89073</x:v>
      </x:c>
      <x:c r="E47" s="31" t="str">
        <x:v>430d605cb4bf4e4aaaf901e209b69c43c2d82946451612543b40ef112ba1fe22</x:v>
      </x:c>
      <x:c r="F47" s="31" t="str">
        <x:v>Read</x:v>
      </x:c>
      <x:c r="G47" s="31" t="str">
        <x:v>TX0037</x:v>
      </x:c>
      <x:c r="H47" s="31" t="str">
        <x:v>message90</x:v>
      </x:c>
      <x:c r="I47" s="31" t="str">
        <x:v>Reconciled</x:v>
      </x:c>
      <x:c r="J47" s="31" t="str">
        <x:v>INV003.</x:v>
      </x:c>
      <x:c r="K47" s="31" t="str">
        <x:v>https://github.com/SireJeff/anjoman-accounting/blob/6a005a29ab910c0599fc061d27ea33fcbf7aa5d7/telegram%20export/photos/photo_21%4009-11-2025_23-16-09.jpg</x:v>
      </x:c>
    </x:row>
    <x:row r="48" ht="15" hidden="0" customHeight="1">
      <x:c r="A48" s="31" t="str">
        <x:v>SRC044</x:v>
      </x:c>
      <x:c r="B48" s="31" t="str">
        <x:v>telegram export/photos/photo_22@09-11-2025_23-16-15.jpg</x:v>
      </x:c>
      <x:c r="C48" s="31" t="str">
        <x:v>jpg</x:v>
      </x:c>
      <x:c r="D48" s="31" t="n">
        <x:v>84952</x:v>
      </x:c>
      <x:c r="E48" s="31" t="str">
        <x:v>64e9c8107140b08a348e146533350e8bd264e2f59b1f09ade0e80ba76639f360</x:v>
      </x:c>
      <x:c r="F48" s="31" t="str">
        <x:v>Read</x:v>
      </x:c>
      <x:c r="G48" s="31" t="str">
        <x:v>TX0038</x:v>
      </x:c>
      <x:c r="H48" s="31" t="str">
        <x:v>message91</x:v>
      </x:c>
      <x:c r="I48" s="31" t="str">
        <x:v>Reconciled</x:v>
      </x:c>
      <x:c r="J48" s="31" t="str">
        <x:v>INV004.</x:v>
      </x:c>
      <x:c r="K48" s="31" t="str">
        <x:v>https://github.com/SireJeff/anjoman-accounting/blob/6a005a29ab910c0599fc061d27ea33fcbf7aa5d7/telegram%20export/photos/photo_22%4009-11-2025_23-16-15.jpg</x:v>
      </x:c>
    </x:row>
    <x:row r="49" ht="15" hidden="0" customHeight="1">
      <x:c r="A49" s="31" t="str">
        <x:v>SRC045</x:v>
      </x:c>
      <x:c r="B49" s="31" t="str">
        <x:v>telegram export/photos/photo_23@14-11-2025_04-07-19.jpg</x:v>
      </x:c>
      <x:c r="C49" s="31" t="str">
        <x:v>jpg</x:v>
      </x:c>
      <x:c r="D49" s="31" t="n">
        <x:v>65632</x:v>
      </x:c>
      <x:c r="E49" s="31" t="str">
        <x:v>7003f7a94da98c211e78490a0c98ad1e5681266cb40708889b8d9b8cb66f3455</x:v>
      </x:c>
      <x:c r="F49" s="31" t="str">
        <x:v>Read</x:v>
      </x:c>
      <x:c r="G49" s="31" t="str">
        <x:v>TX0037</x:v>
      </x:c>
      <x:c r="H49" s="31" t="str">
        <x:v>message99</x:v>
      </x:c>
      <x:c r="I49" s="31" t="str">
        <x:v>Extracted</x:v>
      </x:c>
      <x:c r="J49" s="31" t="str"/>
      <x:c r="K49" s="31" t="str">
        <x:v>https://github.com/SireJeff/anjoman-accounting/blob/6a005a29ab910c0599fc061d27ea33fcbf7aa5d7/telegram%20export/photos/photo_23%4014-11-2025_04-07-19.jpg</x:v>
      </x:c>
    </x:row>
    <x:row r="50" ht="15" hidden="0" customHeight="1">
      <x:c r="A50" s="31" t="str">
        <x:v>SRC046</x:v>
      </x:c>
      <x:c r="B50" s="31" t="str">
        <x:v>telegram export/photos/photo_24@14-11-2025_04-07-19.jpg</x:v>
      </x:c>
      <x:c r="C50" s="31" t="str">
        <x:v>jpg</x:v>
      </x:c>
      <x:c r="D50" s="31" t="n">
        <x:v>66823</x:v>
      </x:c>
      <x:c r="E50" s="31" t="str">
        <x:v>2944f175b5256a669c1a6407a09eecb566d715c37dd54b80eed0cee2ae943f0c</x:v>
      </x:c>
      <x:c r="F50" s="31" t="str">
        <x:v>Read</x:v>
      </x:c>
      <x:c r="G50" s="31" t="str">
        <x:v>TX0038</x:v>
      </x:c>
      <x:c r="H50" s="31" t="str">
        <x:v>message100</x:v>
      </x:c>
      <x:c r="I50" s="31" t="str">
        <x:v>Extracted</x:v>
      </x:c>
      <x:c r="J50" s="31" t="str"/>
      <x:c r="K50" s="31" t="str">
        <x:v>https://github.com/SireJeff/anjoman-accounting/blob/6a005a29ab910c0599fc061d27ea33fcbf7aa5d7/telegram%20export/photos/photo_24%4014-11-2025_04-07-19.jpg</x:v>
      </x:c>
    </x:row>
    <x:row r="51" ht="15" hidden="0" customHeight="1">
      <x:c r="A51" s="31" t="str">
        <x:v>SRC047</x:v>
      </x:c>
      <x:c r="B51" s="31" t="str">
        <x:v>telegram export/photos/photo_25@19-11-2025_11-46-31.jpg</x:v>
      </x:c>
      <x:c r="C51" s="31" t="str">
        <x:v>jpg</x:v>
      </x:c>
      <x:c r="D51" s="31" t="n">
        <x:v>18253</x:v>
      </x:c>
      <x:c r="E51" s="31" t="str">
        <x:v>5c7d3623f81cfec1c847235a9e6124fc4d7090687911db318684c83dc455de7f</x:v>
      </x:c>
      <x:c r="F51" s="31" t="str">
        <x:v>Read</x:v>
      </x:c>
      <x:c r="G51" s="31" t="str">
        <x:v>TX0044</x:v>
      </x:c>
      <x:c r="H51" s="31" t="str">
        <x:v>message102</x:v>
      </x:c>
      <x:c r="I51" s="31" t="str">
        <x:v>Extracted</x:v>
      </x:c>
      <x:c r="J51" s="31" t="str"/>
      <x:c r="K51" s="31" t="str">
        <x:v>https://github.com/SireJeff/anjoman-accounting/blob/6a005a29ab910c0599fc061d27ea33fcbf7aa5d7/telegram%20export/photos/photo_25%4019-11-2025_11-46-31.jpg</x:v>
      </x:c>
    </x:row>
    <x:row r="52" ht="15" hidden="0" customHeight="1">
      <x:c r="A52" s="31" t="str">
        <x:v>SRC048</x:v>
      </x:c>
      <x:c r="B52" s="31" t="str">
        <x:v>telegram export/photos/photo_26@21-12-2025_05-36-21.jpg</x:v>
      </x:c>
      <x:c r="C52" s="31" t="str">
        <x:v>jpg</x:v>
      </x:c>
      <x:c r="D52" s="31" t="n">
        <x:v>35321</x:v>
      </x:c>
      <x:c r="E52" s="31" t="str">
        <x:v>a7ff8727fc0c461dc0be5e4bbc9c6c1409720229eae30931e3ae85f417819512</x:v>
      </x:c>
      <x:c r="F52" s="31" t="str">
        <x:v>Read</x:v>
      </x:c>
      <x:c r="G52" s="31" t="str">
        <x:v>TX0046</x:v>
      </x:c>
      <x:c r="H52" s="31" t="str">
        <x:v>message112</x:v>
      </x:c>
      <x:c r="I52" s="31" t="str">
        <x:v>Extracted</x:v>
      </x:c>
      <x:c r="J52" s="31" t="str"/>
      <x:c r="K52" s="31" t="str">
        <x:v>https://github.com/SireJeff/anjoman-accounting/blob/6a005a29ab910c0599fc061d27ea33fcbf7aa5d7/telegram%20export/photos/photo_26%4021-12-2025_05-36-21.jpg</x:v>
      </x:c>
    </x:row>
    <x:row r="53" ht="15" hidden="0" customHeight="1">
      <x:c r="A53" s="31" t="str">
        <x:v>SRC049</x:v>
      </x:c>
      <x:c r="B53" s="31" t="str">
        <x:v>telegram export/photos/photo_27@17-05-2026_19-45-07.jpg</x:v>
      </x:c>
      <x:c r="C53" s="31" t="str">
        <x:v>jpg</x:v>
      </x:c>
      <x:c r="D53" s="31" t="n">
        <x:v>71982</x:v>
      </x:c>
      <x:c r="E53" s="31" t="str">
        <x:v>e0e7050e5e9b2018e96723ae4831b7cdcbf4f3d79406e74efb72a47e928fe9e5</x:v>
      </x:c>
      <x:c r="F53" s="31" t="str">
        <x:v>Read</x:v>
      </x:c>
      <x:c r="G53" s="31" t="str">
        <x:v>TX0063</x:v>
      </x:c>
      <x:c r="H53" s="31" t="str">
        <x:v>message125</x:v>
      </x:c>
      <x:c r="I53" s="31" t="str">
        <x:v>Extracted</x:v>
      </x:c>
      <x:c r="J53" s="31" t="str"/>
      <x:c r="K53" s="31" t="str">
        <x:v>https://github.com/SireJeff/anjoman-accounting/blob/6a005a29ab910c0599fc061d27ea33fcbf7aa5d7/telegram%20export/photos/photo_27%4017-05-2026_19-45-07.jpg</x:v>
      </x:c>
    </x:row>
    <x:row r="54" ht="15" hidden="0" customHeight="1">
      <x:c r="A54" s="31" t="str">
        <x:v>SRC050</x:v>
      </x:c>
      <x:c r="B54" s="31" t="str">
        <x:v>telegram export/photos/photo_28@17-05-2026_19-45-07.jpg</x:v>
      </x:c>
      <x:c r="C54" s="31" t="str">
        <x:v>jpg</x:v>
      </x:c>
      <x:c r="D54" s="31" t="n">
        <x:v>72527</x:v>
      </x:c>
      <x:c r="E54" s="31" t="str">
        <x:v>a79a95c1f0e5d599fc42a26df85ffafea142c9cc7caa622a0a1b3e9d5b7dae31</x:v>
      </x:c>
      <x:c r="F54" s="31" t="str">
        <x:v>Read</x:v>
      </x:c>
      <x:c r="G54" s="31" t="str">
        <x:v>TX0062</x:v>
      </x:c>
      <x:c r="H54" s="31" t="str">
        <x:v>message126</x:v>
      </x:c>
      <x:c r="I54" s="31" t="str">
        <x:v>Extracted</x:v>
      </x:c>
      <x:c r="J54" s="31" t="str"/>
      <x:c r="K54" s="31" t="str">
        <x:v>https://github.com/SireJeff/anjoman-accounting/blob/6a005a29ab910c0599fc061d27ea33fcbf7aa5d7/telegram%20export/photos/photo_28%4017-05-2026_19-45-07.jpg</x:v>
      </x:c>
    </x:row>
    <x:row r="55" ht="15" hidden="0" customHeight="1">
      <x:c r="A55" s="31" t="str">
        <x:v>SRC051</x:v>
      </x:c>
      <x:c r="B55" s="31" t="str">
        <x:v>telegram export/photos/photo_29@27-06-2026_18-24-14.jpg</x:v>
      </x:c>
      <x:c r="C55" s="31" t="str">
        <x:v>jpg</x:v>
      </x:c>
      <x:c r="D55" s="31" t="n">
        <x:v>89975</x:v>
      </x:c>
      <x:c r="E55" s="31" t="str">
        <x:v>fdfebe75ba5891f2dbc84e11ef7625558452b73f3ce3b50b63d9c1745a4385b5</x:v>
      </x:c>
      <x:c r="F55" s="31" t="str">
        <x:v>Read</x:v>
      </x:c>
      <x:c r="G55" s="31" t="str">
        <x:v>TX0038</x:v>
      </x:c>
      <x:c r="H55" s="31" t="str">
        <x:v>message142</x:v>
      </x:c>
      <x:c r="I55" s="31" t="str">
        <x:v>Reconciled</x:v>
      </x:c>
      <x:c r="J55" s="31" t="str">
        <x:v>Second photo of INV004.</x:v>
      </x:c>
      <x:c r="K55" s="31" t="str">
        <x:v>https://github.com/SireJeff/anjoman-accounting/blob/6a005a29ab910c0599fc061d27ea33fcbf7aa5d7/telegram%20export/photos/photo_29%4027-06-2026_18-24-14.jpg</x:v>
      </x:c>
    </x:row>
    <x:row r="56" ht="15" hidden="0" customHeight="1">
      <x:c r="A56" s="31" t="str">
        <x:v>SRC052</x:v>
      </x:c>
      <x:c r="B56" s="31" t="str">
        <x:v>telegram export/photos/photo_2@24-07-2025_21-00-17.jpg</x:v>
      </x:c>
      <x:c r="C56" s="31" t="str">
        <x:v>jpg</x:v>
      </x:c>
      <x:c r="D56" s="31" t="n">
        <x:v>74772</x:v>
      </x:c>
      <x:c r="E56" s="31" t="str">
        <x:v>9d1cc7913277237d5bf999452661d8ab00c1add42d2751e54bfa96521f756b17</x:v>
      </x:c>
      <x:c r="F56" s="31" t="str">
        <x:v>Read</x:v>
      </x:c>
      <x:c r="G56" s="31" t="str">
        <x:v>TX0003</x:v>
      </x:c>
      <x:c r="H56" s="31" t="str">
        <x:v>message26</x:v>
      </x:c>
      <x:c r="I56" s="31" t="str">
        <x:v>Extracted</x:v>
      </x:c>
      <x:c r="J56" s="31" t="str"/>
      <x:c r="K56" s="31" t="str">
        <x:v>https://github.com/SireJeff/anjoman-accounting/blob/6a005a29ab910c0599fc061d27ea33fcbf7aa5d7/telegram%20export/photos/photo_2%4024-07-2025_21-00-17.jpg</x:v>
      </x:c>
    </x:row>
    <x:row r="57" ht="15" hidden="0" customHeight="1">
      <x:c r="A57" s="31" t="str">
        <x:v>SRC053</x:v>
      </x:c>
      <x:c r="B57" s="31" t="str">
        <x:v>telegram export/photos/photo_30@27-06-2026_18-24-31.jpg</x:v>
      </x:c>
      <x:c r="C57" s="31" t="str">
        <x:v>jpg</x:v>
      </x:c>
      <x:c r="D57" s="31" t="n">
        <x:v>114397</x:v>
      </x:c>
      <x:c r="E57" s="31" t="str">
        <x:v>f5569b998adf63c1cebcb144277502c32db8088ce75d731cd3a7d98be3b2c669</x:v>
      </x:c>
      <x:c r="F57" s="31" t="str">
        <x:v>Read</x:v>
      </x:c>
      <x:c r="G57" s="31" t="str">
        <x:v>TX0037</x:v>
      </x:c>
      <x:c r="H57" s="31" t="str">
        <x:v>message143</x:v>
      </x:c>
      <x:c r="I57" s="31" t="str">
        <x:v>Reconciled</x:v>
      </x:c>
      <x:c r="J57" s="31" t="str">
        <x:v>Second photo of INV003.</x:v>
      </x:c>
      <x:c r="K57" s="31" t="str">
        <x:v>https://github.com/SireJeff/anjoman-accounting/blob/6a005a29ab910c0599fc061d27ea33fcbf7aa5d7/telegram%20export/photos/photo_30%4027-06-2026_18-24-31.jpg</x:v>
      </x:c>
    </x:row>
    <x:row r="58" ht="15" hidden="0" customHeight="1">
      <x:c r="A58" s="31" t="str">
        <x:v>SRC054</x:v>
      </x:c>
      <x:c r="B58" s="31" t="str">
        <x:v>telegram export/photos/photo_31@27-06-2026_18-24-39.jpg</x:v>
      </x:c>
      <x:c r="C58" s="31" t="str">
        <x:v>jpg</x:v>
      </x:c>
      <x:c r="D58" s="31" t="n">
        <x:v>51950</x:v>
      </x:c>
      <x:c r="E58" s="31" t="str">
        <x:v>5e693fc6f8303f5ee512c9ec9b3eadec3f3d7319b2c2f969e9875baca06d790b</x:v>
      </x:c>
      <x:c r="F58" s="31" t="str">
        <x:v>Read</x:v>
      </x:c>
      <x:c r="G58" s="31" t="str">
        <x:v>TX0028</x:v>
      </x:c>
      <x:c r="H58" s="31" t="str">
        <x:v>message144</x:v>
      </x:c>
      <x:c r="I58" s="31" t="str">
        <x:v>Extracted</x:v>
      </x:c>
      <x:c r="J58" s="31" t="str"/>
      <x:c r="K58" s="31" t="str">
        <x:v>https://github.com/SireJeff/anjoman-accounting/blob/6a005a29ab910c0599fc061d27ea33fcbf7aa5d7/telegram%20export/photos/photo_31%4027-06-2026_18-24-39.jpg</x:v>
      </x:c>
    </x:row>
    <x:row r="59" ht="15" hidden="0" customHeight="1">
      <x:c r="A59" s="31" t="str">
        <x:v>SRC055</x:v>
      </x:c>
      <x:c r="B59" s="31" t="str">
        <x:v>telegram export/photos/photo_32@27-06-2026_18-24-52.jpg</x:v>
      </x:c>
      <x:c r="C59" s="31" t="str">
        <x:v>jpg</x:v>
      </x:c>
      <x:c r="D59" s="31" t="n">
        <x:v>66516</x:v>
      </x:c>
      <x:c r="E59" s="31" t="str">
        <x:v>7628c00e8636b2fb53053ed1feaab9c04fbc27a578e143dd6f1f16a64d6e00e3</x:v>
      </x:c>
      <x:c r="F59" s="31" t="str">
        <x:v>Read</x:v>
      </x:c>
      <x:c r="G59" s="31" t="str">
        <x:v>TX0042</x:v>
      </x:c>
      <x:c r="H59" s="31" t="str">
        <x:v>message145</x:v>
      </x:c>
      <x:c r="I59" s="31" t="str">
        <x:v>Extracted</x:v>
      </x:c>
      <x:c r="J59" s="31" t="str"/>
      <x:c r="K59" s="31" t="str">
        <x:v>https://github.com/SireJeff/anjoman-accounting/blob/6a005a29ab910c0599fc061d27ea33fcbf7aa5d7/telegram%20export/photos/photo_32%4027-06-2026_18-24-52.jpg</x:v>
      </x:c>
    </x:row>
    <x:row r="60" ht="15" hidden="0" customHeight="1">
      <x:c r="A60" s="31" t="str">
        <x:v>SRC056</x:v>
      </x:c>
      <x:c r="B60" s="31" t="str">
        <x:v>telegram export/photos/photo_33@27-06-2026_18-25-49.jpg</x:v>
      </x:c>
      <x:c r="C60" s="31" t="str">
        <x:v>jpg</x:v>
      </x:c>
      <x:c r="D60" s="31" t="n">
        <x:v>69981</x:v>
      </x:c>
      <x:c r="E60" s="31" t="str">
        <x:v>a0ebad23be285a1e51b629326f6f3a8dab9f52662632f4ef6194fea9855b2267</x:v>
      </x:c>
      <x:c r="F60" s="31" t="str">
        <x:v>Read</x:v>
      </x:c>
      <x:c r="G60" s="31" t="str">
        <x:v>TX0033</x:v>
      </x:c>
      <x:c r="H60" s="31" t="str">
        <x:v>message146</x:v>
      </x:c>
      <x:c r="I60" s="31" t="str">
        <x:v>Extracted</x:v>
      </x:c>
      <x:c r="J60" s="31" t="str"/>
      <x:c r="K60" s="31" t="str">
        <x:v>https://github.com/SireJeff/anjoman-accounting/blob/6a005a29ab910c0599fc061d27ea33fcbf7aa5d7/telegram%20export/photos/photo_33%4027-06-2026_18-25-49.jpg</x:v>
      </x:c>
    </x:row>
    <x:row r="61" ht="15" hidden="0" customHeight="1">
      <x:c r="A61" s="31" t="str">
        <x:v>SRC057</x:v>
      </x:c>
      <x:c r="B61" s="31" t="str">
        <x:v>telegram export/photos/photo_34@27-06-2026_18-26-03.jpg</x:v>
      </x:c>
      <x:c r="C61" s="31" t="str">
        <x:v>jpg</x:v>
      </x:c>
      <x:c r="D61" s="31" t="n">
        <x:v>162060</x:v>
      </x:c>
      <x:c r="E61" s="31" t="str">
        <x:v>d7091b678efb3e0f2e1da6270bff602fc8d5dd14fd758484945206f09aec6835</x:v>
      </x:c>
      <x:c r="F61" s="31" t="str">
        <x:v>Read</x:v>
      </x:c>
      <x:c r="G61" s="31" t="str">
        <x:v>TX0033</x:v>
      </x:c>
      <x:c r="H61" s="31" t="str">
        <x:v>message147</x:v>
      </x:c>
      <x:c r="I61" s="31" t="str">
        <x:v>Reconciled</x:v>
      </x:c>
      <x:c r="J61" s="31" t="str">
        <x:v>INV005, uncertain.</x:v>
      </x:c>
      <x:c r="K61" s="31" t="str">
        <x:v>https://github.com/SireJeff/anjoman-accounting/blob/6a005a29ab910c0599fc061d27ea33fcbf7aa5d7/telegram%20export/photos/photo_34%4027-06-2026_18-26-03.jpg</x:v>
      </x:c>
    </x:row>
    <x:row r="62" ht="15" hidden="0" customHeight="1">
      <x:c r="A62" s="31" t="str">
        <x:v>SRC058</x:v>
      </x:c>
      <x:c r="B62" s="31" t="str">
        <x:v>telegram export/photos/photo_35@27-06-2026_18-26-22.jpg</x:v>
      </x:c>
      <x:c r="C62" s="31" t="str">
        <x:v>jpg</x:v>
      </x:c>
      <x:c r="D62" s="31" t="n">
        <x:v>168669</x:v>
      </x:c>
      <x:c r="E62" s="31" t="str">
        <x:v>df1dad972da0ba8c3da2b76b90ccdd5c9ae6c42488b2b0f50e3eb232ab177028</x:v>
      </x:c>
      <x:c r="F62" s="31" t="str">
        <x:v>Read</x:v>
      </x:c>
      <x:c r="G62" s="31" t="str">
        <x:v>TX0034</x:v>
      </x:c>
      <x:c r="H62" s="31" t="str">
        <x:v>message148</x:v>
      </x:c>
      <x:c r="I62" s="31" t="str">
        <x:v>Extracted</x:v>
      </x:c>
      <x:c r="J62" s="31" t="str"/>
      <x:c r="K62" s="31" t="str">
        <x:v>https://github.com/SireJeff/anjoman-accounting/blob/6a005a29ab910c0599fc061d27ea33fcbf7aa5d7/telegram%20export/photos/photo_35%4027-06-2026_18-26-22.jpg</x:v>
      </x:c>
    </x:row>
    <x:row r="63" ht="15" hidden="0" customHeight="1">
      <x:c r="A63" s="31" t="str">
        <x:v>SRC059</x:v>
      </x:c>
      <x:c r="B63" s="31" t="str">
        <x:v>telegram export/photos/photo_36@27-06-2026_18-26-45.jpg</x:v>
      </x:c>
      <x:c r="C63" s="31" t="str">
        <x:v>jpg</x:v>
      </x:c>
      <x:c r="D63" s="31" t="n">
        <x:v>56182</x:v>
      </x:c>
      <x:c r="E63" s="31" t="str">
        <x:v>c76783f3ab2aa8dfafe81fe1d3273e3a70b017cbb8e04ee0aebf20c7896fd8a6</x:v>
      </x:c>
      <x:c r="F63" s="31" t="str">
        <x:v>Read</x:v>
      </x:c>
      <x:c r="G63" s="31" t="str">
        <x:v>TX0024</x:v>
      </x:c>
      <x:c r="H63" s="31" t="str">
        <x:v>message149</x:v>
      </x:c>
      <x:c r="I63" s="31" t="str">
        <x:v>Reconciled</x:v>
      </x:c>
      <x:c r="J63" s="31" t="str">
        <x:v>Same purchase as photo_14.</x:v>
      </x:c>
      <x:c r="K63" s="31" t="str">
        <x:v>https://github.com/SireJeff/anjoman-accounting/blob/6a005a29ab910c0599fc061d27ea33fcbf7aa5d7/telegram%20export/photos/photo_36%4027-06-2026_18-26-45.jpg</x:v>
      </x:c>
    </x:row>
    <x:row r="64" ht="15" hidden="0" customHeight="1">
      <x:c r="A64" s="31" t="str">
        <x:v>SRC060</x:v>
      </x:c>
      <x:c r="B64" s="31" t="str">
        <x:v>telegram export/photos/photo_37@27-06-2026_18-27-12.jpg</x:v>
      </x:c>
      <x:c r="C64" s="31" t="str">
        <x:v>jpg</x:v>
      </x:c>
      <x:c r="D64" s="31" t="n">
        <x:v>45970</x:v>
      </x:c>
      <x:c r="E64" s="31" t="str">
        <x:v>9a1f8890689207a4000e3fe0fc271e522bb56ace944c1646ccf84577b88f9405</x:v>
      </x:c>
      <x:c r="F64" s="31" t="str">
        <x:v>Read</x:v>
      </x:c>
      <x:c r="G64" s="31" t="str">
        <x:v>TX0023</x:v>
      </x:c>
      <x:c r="H64" s="31" t="str">
        <x:v>message150</x:v>
      </x:c>
      <x:c r="I64" s="31" t="str">
        <x:v>Reconciled</x:v>
      </x:c>
      <x:c r="J64" s="31" t="str">
        <x:v>Same purchase as photo_17.</x:v>
      </x:c>
      <x:c r="K64" s="31" t="str">
        <x:v>https://github.com/SireJeff/anjoman-accounting/blob/6a005a29ab910c0599fc061d27ea33fcbf7aa5d7/telegram%20export/photos/photo_37%4027-06-2026_18-27-12.jpg</x:v>
      </x:c>
    </x:row>
    <x:row r="65" ht="15" hidden="0" customHeight="1">
      <x:c r="A65" s="31" t="str">
        <x:v>SRC061</x:v>
      </x:c>
      <x:c r="B65" s="31" t="str">
        <x:v>telegram export/photos/photo_38@27-06-2026_18-27-25.jpg</x:v>
      </x:c>
      <x:c r="C65" s="31" t="str">
        <x:v>jpg</x:v>
      </x:c>
      <x:c r="D65" s="31" t="n">
        <x:v>41070</x:v>
      </x:c>
      <x:c r="E65" s="31" t="str">
        <x:v>e8a6c9ba9556546fa4abbc8e152e35df08dcc2c6669884f9dc12679882029c3e</x:v>
      </x:c>
      <x:c r="F65" s="31" t="str">
        <x:v>Read</x:v>
      </x:c>
      <x:c r="G65" s="31" t="str">
        <x:v>TX0060</x:v>
      </x:c>
      <x:c r="H65" s="31" t="str">
        <x:v>message151</x:v>
      </x:c>
      <x:c r="I65" s="31" t="str">
        <x:v>Extracted</x:v>
      </x:c>
      <x:c r="J65" s="31" t="str"/>
      <x:c r="K65" s="31" t="str">
        <x:v>https://github.com/SireJeff/anjoman-accounting/blob/6a005a29ab910c0599fc061d27ea33fcbf7aa5d7/telegram%20export/photos/photo_38%4027-06-2026_18-27-25.jpg</x:v>
      </x:c>
    </x:row>
    <x:row r="66" ht="15" hidden="0" customHeight="1">
      <x:c r="A66" s="31" t="str">
        <x:v>SRC062</x:v>
      </x:c>
      <x:c r="B66" s="31" t="str">
        <x:v>telegram export/photos/photo_39@27-06-2026_18-29-10.jpg</x:v>
      </x:c>
      <x:c r="C66" s="31" t="str">
        <x:v>jpg</x:v>
      </x:c>
      <x:c r="D66" s="31" t="n">
        <x:v>62596</x:v>
      </x:c>
      <x:c r="E66" s="31" t="str">
        <x:v>2cc0dda007136a8eb626cca071cf976fa2faea1a3ec9461e2f9e61d426d539da</x:v>
      </x:c>
      <x:c r="F66" s="31" t="str">
        <x:v>Read</x:v>
      </x:c>
      <x:c r="G66" s="31" t="str">
        <x:v>TX0059</x:v>
      </x:c>
      <x:c r="H66" s="31" t="str">
        <x:v>message152</x:v>
      </x:c>
      <x:c r="I66" s="31" t="str">
        <x:v>Extracted</x:v>
      </x:c>
      <x:c r="J66" s="31" t="str"/>
      <x:c r="K66" s="31" t="str">
        <x:v>https://github.com/SireJeff/anjoman-accounting/blob/6a005a29ab910c0599fc061d27ea33fcbf7aa5d7/telegram%20export/photos/photo_39%4027-06-2026_18-29-10.jpg</x:v>
      </x:c>
    </x:row>
    <x:row r="67" ht="15" hidden="0" customHeight="1">
      <x:c r="A67" s="31" t="str">
        <x:v>SRC063</x:v>
      </x:c>
      <x:c r="B67" s="31" t="str">
        <x:v>telegram export/photos/photo_3@24-07-2025_21-02-51.jpg</x:v>
      </x:c>
      <x:c r="C67" s="31" t="str">
        <x:v>jpg</x:v>
      </x:c>
      <x:c r="D67" s="31" t="n">
        <x:v>71647</x:v>
      </x:c>
      <x:c r="E67" s="31" t="str">
        <x:v>3a30db869e1f6a6c63f03739af4268b7b0405346be7199ac5e26f23dc73806fc</x:v>
      </x:c>
      <x:c r="F67" s="31" t="str">
        <x:v>Read</x:v>
      </x:c>
      <x:c r="G67" s="31" t="str">
        <x:v>TX0004</x:v>
      </x:c>
      <x:c r="H67" s="31" t="str">
        <x:v>message27</x:v>
      </x:c>
      <x:c r="I67" s="31" t="str">
        <x:v>Extracted</x:v>
      </x:c>
      <x:c r="J67" s="31" t="str"/>
      <x:c r="K67" s="31" t="str">
        <x:v>https://github.com/SireJeff/anjoman-accounting/blob/6a005a29ab910c0599fc061d27ea33fcbf7aa5d7/telegram%20export/photos/photo_3%4024-07-2025_21-02-51.jpg</x:v>
      </x:c>
    </x:row>
    <x:row r="68" ht="15" hidden="0" customHeight="1">
      <x:c r="A68" s="31" t="str">
        <x:v>SRC064</x:v>
      </x:c>
      <x:c r="B68" s="31" t="str">
        <x:v>telegram export/photos/photo_40@27-06-2026_18-31-08.jpg</x:v>
      </x:c>
      <x:c r="C68" s="31" t="str">
        <x:v>jpg</x:v>
      </x:c>
      <x:c r="D68" s="31" t="n">
        <x:v>59578</x:v>
      </x:c>
      <x:c r="E68" s="31" t="str">
        <x:v>8e9cb970ead01179e35ef3181ee0017987b3e8de78c03c3bb37fc20f4f3ef402</x:v>
      </x:c>
      <x:c r="F68" s="31" t="str">
        <x:v>Read</x:v>
      </x:c>
      <x:c r="G68" s="31" t="str">
        <x:v>TX0031</x:v>
      </x:c>
      <x:c r="H68" s="31" t="str">
        <x:v>message153</x:v>
      </x:c>
      <x:c r="I68" s="31" t="str">
        <x:v>Extracted</x:v>
      </x:c>
      <x:c r="J68" s="31" t="str"/>
      <x:c r="K68" s="31" t="str">
        <x:v>https://github.com/SireJeff/anjoman-accounting/blob/6a005a29ab910c0599fc061d27ea33fcbf7aa5d7/telegram%20export/photos/photo_40%4027-06-2026_18-31-08.jpg</x:v>
      </x:c>
    </x:row>
    <x:row r="69" ht="15" hidden="0" customHeight="1">
      <x:c r="A69" s="31" t="str">
        <x:v>SRC065</x:v>
      </x:c>
      <x:c r="B69" s="31" t="str">
        <x:v>telegram export/photos/photo_41@27-06-2026_18-36-09.jpg</x:v>
      </x:c>
      <x:c r="C69" s="31" t="str">
        <x:v>jpg</x:v>
      </x:c>
      <x:c r="D69" s="31" t="n">
        <x:v>77996</x:v>
      </x:c>
      <x:c r="E69" s="31" t="str">
        <x:v>78ad7571d728263883b5dc1bb9cd22848b5c2e67370643caa12c8c8935da2b20</x:v>
      </x:c>
      <x:c r="F69" s="31" t="str">
        <x:v>Read</x:v>
      </x:c>
      <x:c r="G69" s="31" t="str">
        <x:v>TX0053</x:v>
      </x:c>
      <x:c r="H69" s="31" t="str">
        <x:v>message155</x:v>
      </x:c>
      <x:c r="I69" s="31" t="str">
        <x:v>Extracted</x:v>
      </x:c>
      <x:c r="J69" s="31" t="str"/>
      <x:c r="K69" s="31" t="str">
        <x:v>https://github.com/SireJeff/anjoman-accounting/blob/6a005a29ab910c0599fc061d27ea33fcbf7aa5d7/telegram%20export/photos/photo_41%4027-06-2026_18-36-09.jpg</x:v>
      </x:c>
    </x:row>
    <x:row r="70" ht="15" hidden="0" customHeight="1">
      <x:c r="A70" s="31" t="str">
        <x:v>SRC066</x:v>
      </x:c>
      <x:c r="B70" s="31" t="str">
        <x:v>telegram export/photos/photo_42@27-06-2026_18-36-09.jpg</x:v>
      </x:c>
      <x:c r="C70" s="31" t="str">
        <x:v>jpg</x:v>
      </x:c>
      <x:c r="D70" s="31" t="n">
        <x:v>77238</x:v>
      </x:c>
      <x:c r="E70" s="31" t="str">
        <x:v>94ca1e41dc1aa15b41dd5ec0b9bb664d54733c8559fe9e348d1adc782f316712</x:v>
      </x:c>
      <x:c r="F70" s="31" t="str">
        <x:v>Read</x:v>
      </x:c>
      <x:c r="G70" s="31" t="str">
        <x:v>TX0052</x:v>
      </x:c>
      <x:c r="H70" s="31" t="str">
        <x:v>message156</x:v>
      </x:c>
      <x:c r="I70" s="31" t="str">
        <x:v>Extracted</x:v>
      </x:c>
      <x:c r="J70" s="31" t="str"/>
      <x:c r="K70" s="31" t="str">
        <x:v>https://github.com/SireJeff/anjoman-accounting/blob/6a005a29ab910c0599fc061d27ea33fcbf7aa5d7/telegram%20export/photos/photo_42%4027-06-2026_18-36-09.jpg</x:v>
      </x:c>
    </x:row>
    <x:row r="71" ht="15" hidden="0" customHeight="1">
      <x:c r="A71" s="31" t="str">
        <x:v>SRC067</x:v>
      </x:c>
      <x:c r="B71" s="31" t="str">
        <x:v>telegram export/photos/photo_43@27-06-2026_18-36-09.jpg</x:v>
      </x:c>
      <x:c r="C71" s="31" t="str">
        <x:v>jpg</x:v>
      </x:c>
      <x:c r="D71" s="31" t="n">
        <x:v>85618</x:v>
      </x:c>
      <x:c r="E71" s="31" t="str">
        <x:v>35428512edee92243496c3104d792d4fd07c6d43257d697c19937ccfa0a98517</x:v>
      </x:c>
      <x:c r="F71" s="31" t="str">
        <x:v>Read</x:v>
      </x:c>
      <x:c r="G71" s="31" t="str">
        <x:v>TX0054</x:v>
      </x:c>
      <x:c r="H71" s="31" t="str">
        <x:v>message157</x:v>
      </x:c>
      <x:c r="I71" s="31" t="str">
        <x:v>Extracted</x:v>
      </x:c>
      <x:c r="J71" s="31" t="str"/>
      <x:c r="K71" s="31" t="str">
        <x:v>https://github.com/SireJeff/anjoman-accounting/blob/6a005a29ab910c0599fc061d27ea33fcbf7aa5d7/telegram%20export/photos/photo_43%4027-06-2026_18-36-09.jpg</x:v>
      </x:c>
    </x:row>
    <x:row r="72" ht="15" hidden="0" customHeight="1">
      <x:c r="A72" s="31" t="str">
        <x:v>SRC068</x:v>
      </x:c>
      <x:c r="B72" s="31" t="str">
        <x:v>telegram export/photos/photo_44@27-06-2026_18-36-09.jpg</x:v>
      </x:c>
      <x:c r="C72" s="31" t="str">
        <x:v>jpg</x:v>
      </x:c>
      <x:c r="D72" s="31" t="n">
        <x:v>85772</x:v>
      </x:c>
      <x:c r="E72" s="31" t="str">
        <x:v>552ed592df76565fdf834836abf1da6c4b9784e66039b1efaa36e162e69d855b</x:v>
      </x:c>
      <x:c r="F72" s="31" t="str">
        <x:v>Read</x:v>
      </x:c>
      <x:c r="G72" s="31" t="str">
        <x:v>TX0055</x:v>
      </x:c>
      <x:c r="H72" s="31" t="str">
        <x:v>message158</x:v>
      </x:c>
      <x:c r="I72" s="31" t="str">
        <x:v>Extracted</x:v>
      </x:c>
      <x:c r="J72" s="31" t="str"/>
      <x:c r="K72" s="31" t="str">
        <x:v>https://github.com/SireJeff/anjoman-accounting/blob/6a005a29ab910c0599fc061d27ea33fcbf7aa5d7/telegram%20export/photos/photo_44%4027-06-2026_18-36-09.jpg</x:v>
      </x:c>
    </x:row>
    <x:row r="73" ht="15" hidden="0" customHeight="1">
      <x:c r="A73" s="31" t="str">
        <x:v>SRC069</x:v>
      </x:c>
      <x:c r="B73" s="31" t="str">
        <x:v>telegram export/photos/photo_45@27-06-2026_18-36-09.jpg</x:v>
      </x:c>
      <x:c r="C73" s="31" t="str">
        <x:v>jpg</x:v>
      </x:c>
      <x:c r="D73" s="31" t="n">
        <x:v>65390</x:v>
      </x:c>
      <x:c r="E73" s="31" t="str">
        <x:v>d3cd5d400ad26b008c54a467ede8e780c9606b0a9a460d51c2e11bf69ede9a39</x:v>
      </x:c>
      <x:c r="F73" s="31" t="str">
        <x:v>Read</x:v>
      </x:c>
      <x:c r="G73" s="31" t="str">
        <x:v>TX0050</x:v>
      </x:c>
      <x:c r="H73" s="31" t="str">
        <x:v>message159</x:v>
      </x:c>
      <x:c r="I73" s="31" t="str">
        <x:v>Extracted</x:v>
      </x:c>
      <x:c r="J73" s="31" t="str"/>
      <x:c r="K73" s="31" t="str">
        <x:v>https://github.com/SireJeff/anjoman-accounting/blob/6a005a29ab910c0599fc061d27ea33fcbf7aa5d7/telegram%20export/photos/photo_45%4027-06-2026_18-36-09.jpg</x:v>
      </x:c>
    </x:row>
    <x:row r="74" ht="15" hidden="0" customHeight="1">
      <x:c r="A74" s="31" t="str">
        <x:v>SRC070</x:v>
      </x:c>
      <x:c r="B74" s="31" t="str">
        <x:v>telegram export/photos/photo_46@27-06-2026_18-38-52.jpg</x:v>
      </x:c>
      <x:c r="C74" s="31" t="str">
        <x:v>jpg</x:v>
      </x:c>
      <x:c r="D74" s="31" t="n">
        <x:v>145310</x:v>
      </x:c>
      <x:c r="E74" s="31" t="str">
        <x:v>22c0f55d35b72f746c979bd91c0f23f9862ff7f5a4851ab2293686a796fab727</x:v>
      </x:c>
      <x:c r="F74" s="31" t="str">
        <x:v>Read</x:v>
      </x:c>
      <x:c r="G74" s="31" t="str">
        <x:v>TX0056</x:v>
      </x:c>
      <x:c r="H74" s="31" t="str">
        <x:v>message161</x:v>
      </x:c>
      <x:c r="I74" s="31" t="str">
        <x:v>Extracted</x:v>
      </x:c>
      <x:c r="J74" s="31" t="str"/>
      <x:c r="K74" s="31" t="str">
        <x:v>https://github.com/SireJeff/anjoman-accounting/blob/6a005a29ab910c0599fc061d27ea33fcbf7aa5d7/telegram%20export/photos/photo_46%4027-06-2026_18-38-52.jpg</x:v>
      </x:c>
    </x:row>
    <x:row r="75" ht="15" hidden="0" customHeight="1">
      <x:c r="A75" s="31" t="str">
        <x:v>SRC071</x:v>
      </x:c>
      <x:c r="B75" s="31" t="str">
        <x:v>telegram export/photos/photo_47@27-06-2026_18-43-30.jpg</x:v>
      </x:c>
      <x:c r="C75" s="31" t="str">
        <x:v>jpg</x:v>
      </x:c>
      <x:c r="D75" s="31" t="n">
        <x:v>145095</x:v>
      </x:c>
      <x:c r="E75" s="31" t="str">
        <x:v>65c4560d70bc56c79da398701f9c98c8ae2ffada8d71d2c3e111e2e24ae1cd86</x:v>
      </x:c>
      <x:c r="F75" s="31" t="str">
        <x:v>Read</x:v>
      </x:c>
      <x:c r="G75" s="31" t="str">
        <x:v>TX0057</x:v>
      </x:c>
      <x:c r="H75" s="31" t="str">
        <x:v>message164</x:v>
      </x:c>
      <x:c r="I75" s="31" t="str">
        <x:v>Extracted</x:v>
      </x:c>
      <x:c r="J75" s="31" t="str">
        <x:v>Duplicate image.</x:v>
      </x:c>
      <x:c r="K75" s="31" t="str">
        <x:v>https://github.com/SireJeff/anjoman-accounting/blob/6a005a29ab910c0599fc061d27ea33fcbf7aa5d7/telegram%20export/photos/photo_47%4027-06-2026_18-43-30.jpg</x:v>
      </x:c>
    </x:row>
    <x:row r="76" ht="15" hidden="0" customHeight="1">
      <x:c r="A76" s="31" t="str">
        <x:v>SRC072</x:v>
      </x:c>
      <x:c r="B76" s="31" t="str">
        <x:v>telegram export/photos/photo_48@27-06-2026_18-43-30.jpg</x:v>
      </x:c>
      <x:c r="C76" s="31" t="str">
        <x:v>jpg</x:v>
      </x:c>
      <x:c r="D76" s="31" t="n">
        <x:v>64244</x:v>
      </x:c>
      <x:c r="E76" s="31" t="str">
        <x:v>20df96b527f0c957a11188d14f66f9281587d18e0b3e31457b0db70daf899449</x:v>
      </x:c>
      <x:c r="F76" s="31" t="str">
        <x:v>Read</x:v>
      </x:c>
      <x:c r="G76" s="31" t="str">
        <x:v>TX0051</x:v>
      </x:c>
      <x:c r="H76" s="31" t="str">
        <x:v>message165</x:v>
      </x:c>
      <x:c r="I76" s="31" t="str">
        <x:v>Extracted</x:v>
      </x:c>
      <x:c r="J76" s="31" t="str">
        <x:v>Duplicate image.</x:v>
      </x:c>
      <x:c r="K76" s="31" t="str">
        <x:v>https://github.com/SireJeff/anjoman-accounting/blob/6a005a29ab910c0599fc061d27ea33fcbf7aa5d7/telegram%20export/photos/photo_48%4027-06-2026_18-43-30.jpg</x:v>
      </x:c>
    </x:row>
    <x:row r="77" ht="15" hidden="0" customHeight="1">
      <x:c r="A77" s="31" t="str">
        <x:v>SRC073</x:v>
      </x:c>
      <x:c r="B77" s="31" t="str">
        <x:v>telegram export/photos/photo_4@25-07-2025_04-04-24.jpg</x:v>
      </x:c>
      <x:c r="C77" s="31" t="str">
        <x:v>jpg</x:v>
      </x:c>
      <x:c r="D77" s="31" t="n">
        <x:v>74199</x:v>
      </x:c>
      <x:c r="E77" s="31" t="str">
        <x:v>5034c1ebaa4bd3c07a59eaf0de3840e0ed1486387ba2b1e9c2832c748b3979a7</x:v>
      </x:c>
      <x:c r="F77" s="31" t="str">
        <x:v>Read</x:v>
      </x:c>
      <x:c r="G77" s="31" t="str">
        <x:v>TX0005</x:v>
      </x:c>
      <x:c r="H77" s="31" t="str">
        <x:v>message29</x:v>
      </x:c>
      <x:c r="I77" s="31" t="str">
        <x:v>Extracted</x:v>
      </x:c>
      <x:c r="J77" s="31" t="str"/>
      <x:c r="K77" s="31" t="str">
        <x:v>https://github.com/SireJeff/anjoman-accounting/blob/6a005a29ab910c0599fc061d27ea33fcbf7aa5d7/telegram%20export/photos/photo_4%4025-07-2025_04-04-24.jpg</x:v>
      </x:c>
    </x:row>
    <x:row r="78" ht="15" hidden="0" customHeight="1">
      <x:c r="A78" s="31" t="str">
        <x:v>SRC074</x:v>
      </x:c>
      <x:c r="B78" s="31" t="str">
        <x:v>telegram export/photos/photo_5@25-07-2025_04-08-41.jpg</x:v>
      </x:c>
      <x:c r="C78" s="31" t="str">
        <x:v>jpg</x:v>
      </x:c>
      <x:c r="D78" s="31" t="n">
        <x:v>74870</x:v>
      </x:c>
      <x:c r="E78" s="31" t="str">
        <x:v>097c6be0efefe88b7e213d3f6aba5f4dc6a9e813bd3aed9162a991d6f68aeb4b</x:v>
      </x:c>
      <x:c r="F78" s="31" t="str">
        <x:v>Read</x:v>
      </x:c>
      <x:c r="G78" s="31" t="str">
        <x:v>TX0006</x:v>
      </x:c>
      <x:c r="H78" s="31" t="str">
        <x:v>message30</x:v>
      </x:c>
      <x:c r="I78" s="31" t="str">
        <x:v>Extracted</x:v>
      </x:c>
      <x:c r="J78" s="31" t="str"/>
      <x:c r="K78" s="31" t="str">
        <x:v>https://github.com/SireJeff/anjoman-accounting/blob/6a005a29ab910c0599fc061d27ea33fcbf7aa5d7/telegram%20export/photos/photo_5%4025-07-2025_04-08-41.jpg</x:v>
      </x:c>
    </x:row>
    <x:row r="79" ht="15" hidden="0" customHeight="1">
      <x:c r="A79" s="31" t="str">
        <x:v>SRC075</x:v>
      </x:c>
      <x:c r="B79" s="31" t="str">
        <x:v>telegram export/photos/photo_6@25-07-2025_15-53-39.jpg</x:v>
      </x:c>
      <x:c r="C79" s="31" t="str">
        <x:v>jpg</x:v>
      </x:c>
      <x:c r="D79" s="31" t="n">
        <x:v>74748</x:v>
      </x:c>
      <x:c r="E79" s="31" t="str">
        <x:v>26c18dafda65ecb48d670d908ff9a6c650df2905684e12dc23e64ef7a00a2547</x:v>
      </x:c>
      <x:c r="F79" s="31" t="str">
        <x:v>Read</x:v>
      </x:c>
      <x:c r="G79" s="31" t="str">
        <x:v>TX0007, TX0008</x:v>
      </x:c>
      <x:c r="H79" s="31" t="str">
        <x:v>message31</x:v>
      </x:c>
      <x:c r="I79" s="31" t="str">
        <x:v>Extracted</x:v>
      </x:c>
      <x:c r="J79" s="31" t="str"/>
      <x:c r="K79" s="31" t="str">
        <x:v>https://github.com/SireJeff/anjoman-accounting/blob/6a005a29ab910c0599fc061d27ea33fcbf7aa5d7/telegram%20export/photos/photo_6%4025-07-2025_15-53-39.jpg</x:v>
      </x:c>
    </x:row>
    <x:row r="80" ht="15" hidden="0" customHeight="1">
      <x:c r="A80" s="31" t="str">
        <x:v>SRC076</x:v>
      </x:c>
      <x:c r="B80" s="31" t="str">
        <x:v>telegram export/photos/photo_7@11-08-2025_15-51-55.jpg</x:v>
      </x:c>
      <x:c r="C80" s="31" t="str">
        <x:v>jpg</x:v>
      </x:c>
      <x:c r="D80" s="31" t="n">
        <x:v>71573</x:v>
      </x:c>
      <x:c r="E80" s="31" t="str">
        <x:v>7cea1f63bcc0623f6f084e71e2aeea383f1f5648bfcdf5e8b6785cc5a6ec980d</x:v>
      </x:c>
      <x:c r="F80" s="31" t="str">
        <x:v>Read</x:v>
      </x:c>
      <x:c r="G80" s="31" t="str">
        <x:v>TX0011</x:v>
      </x:c>
      <x:c r="H80" s="31" t="str">
        <x:v>message42</x:v>
      </x:c>
      <x:c r="I80" s="31" t="str">
        <x:v>Extracted</x:v>
      </x:c>
      <x:c r="J80" s="31" t="str"/>
      <x:c r="K80" s="31" t="str">
        <x:v>https://github.com/SireJeff/anjoman-accounting/blob/6a005a29ab910c0599fc061d27ea33fcbf7aa5d7/telegram%20export/photos/photo_7%4011-08-2025_15-51-55.jpg</x:v>
      </x:c>
    </x:row>
    <x:row r="81" ht="15" hidden="0" customHeight="1">
      <x:c r="A81" s="31" t="str">
        <x:v>SRC077</x:v>
      </x:c>
      <x:c r="B81" s="31" t="str">
        <x:v>telegram export/photos/photo_8@12-08-2025_09-58-34.jpg</x:v>
      </x:c>
      <x:c r="C81" s="31" t="str">
        <x:v>jpg</x:v>
      </x:c>
      <x:c r="D81" s="31" t="n">
        <x:v>74246</x:v>
      </x:c>
      <x:c r="E81" s="31" t="str">
        <x:v>644eada63dc0f6deb5768ffcb5bf455d0cda0ea15dd20247a08aedaf6a6c2863</x:v>
      </x:c>
      <x:c r="F81" s="31" t="str">
        <x:v>Read</x:v>
      </x:c>
      <x:c r="G81" s="31" t="str">
        <x:v>TX0009</x:v>
      </x:c>
      <x:c r="H81" s="31" t="str">
        <x:v>message44</x:v>
      </x:c>
      <x:c r="I81" s="31" t="str">
        <x:v>Extracted</x:v>
      </x:c>
      <x:c r="J81" s="31" t="str"/>
      <x:c r="K81" s="31" t="str">
        <x:v>https://github.com/SireJeff/anjoman-accounting/blob/6a005a29ab910c0599fc061d27ea33fcbf7aa5d7/telegram%20export/photos/photo_8%4012-08-2025_09-58-34.jpg</x:v>
      </x:c>
    </x:row>
    <x:row r="82" ht="15" hidden="0" customHeight="1">
      <x:c r="A82" s="31" t="str">
        <x:v>SRC078</x:v>
      </x:c>
      <x:c r="B82" s="31" t="str">
        <x:v>telegram export/photos/photo_9@12-08-2025_09-58-34.jpg</x:v>
      </x:c>
      <x:c r="C82" s="31" t="str">
        <x:v>jpg</x:v>
      </x:c>
      <x:c r="D82" s="31" t="n">
        <x:v>254809</x:v>
      </x:c>
      <x:c r="E82" s="31" t="str">
        <x:v>5c47322f7a512fb80b48f0044a38ac5a9222176efd200637dbdac21211145ca5</x:v>
      </x:c>
      <x:c r="F82" s="31" t="str">
        <x:v>Read</x:v>
      </x:c>
      <x:c r="G82" s="31" t="str">
        <x:v>TX0009</x:v>
      </x:c>
      <x:c r="H82" s="31" t="str">
        <x:v>message46</x:v>
      </x:c>
      <x:c r="I82" s="31" t="str">
        <x:v>Context only</x:v>
      </x:c>
      <x:c r="J82" s="31" t="str">
        <x:v>Ad screenshot; no transaction.</x:v>
      </x:c>
      <x:c r="K82" s="31" t="str">
        <x:v>https://github.com/SireJeff/anjoman-accounting/blob/6a005a29ab910c0599fc061d27ea33fcbf7aa5d7/telegram%20export/photos/photo_9%4012-08-2025_09-58-34.jpg</x:v>
      </x:c>
    </x:row>
  </x:sheetData>
  <x:mergeCells>
    <x:mergeCell ref="A2:F2"/>
  </x:mergeCells>
  <x:pageMargins left="0.7" right="0.7" top="0.75" bottom="0.75" header="0.3" footer="0.3"/>
  <x:tableParts count="1">
    <x:tablePart xmlns:r="http://schemas.openxmlformats.org/officeDocument/2006/relationships" r:id="R802189b79e394a7a"/>
  </x:tableParts>
</x:worksheet>
</file>

<file path=xl/worksheets/sheet11.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5" hidden="0" customWidth="1"/>
    <x:col min="2" max="2" width="35" hidden="0" customWidth="1"/>
    <x:col min="3" max="3" width="32" hidden="0" customWidth="1"/>
    <x:col min="4" max="4" width="115" hidden="0" customWidth="1"/>
    <x:col min="5" max="5" width="28" hidden="0" customWidth="1"/>
    <x:col min="6" max="6" width="100" hidden="0" customWidth="1"/>
    <x:col min="7" max="7" width="20" hidden="0" customWidth="1"/>
  </x:cols>
  <x:sheetData>
    <x:row r="1" ht="15" hidden="0" customHeight="1">
      <x:c r="A1" s="33"/>
      <x:c r="B1" s="33"/>
      <x:c r="C1" s="33"/>
      <x:c r="D1" s="33"/>
      <x:c r="E1" s="33"/>
      <x:c r="F1" s="33"/>
      <x:c r="G1" s="33"/>
    </x:row>
    <x:row r="2" ht="16.799999237060547" hidden="0" customHeight="1">
      <x:c r="A2" s="34" t="str">
        <x:v>Telegram source messages | replies and attachments preserved</x:v>
      </x:c>
      <x:c r="B2" s="33"/>
      <x:c r="C2" s="33"/>
      <x:c r="D2" s="33"/>
      <x:c r="E2" s="33"/>
      <x:c r="F2" s="33"/>
      <x:c r="G2" s="33"/>
    </x:row>
    <x:row r="3" ht="15" hidden="0" customHeight="1">
      <x:c r="A3" s="33"/>
      <x:c r="B3" s="33"/>
      <x:c r="C3" s="33"/>
      <x:c r="D3" s="33"/>
      <x:c r="E3" s="33"/>
      <x:c r="F3" s="33"/>
      <x:c r="G3" s="33"/>
    </x:row>
    <x:row r="4" ht="15" hidden="0" customHeight="1">
      <x:c r="A4" s="7" t="str">
        <x:v>Message ID</x:v>
      </x:c>
      <x:c r="B4" s="7" t="str">
        <x:v>Timestamp as exported</x:v>
      </x:c>
      <x:c r="C4" s="7" t="str">
        <x:v>Sender</x:v>
      </x:c>
      <x:c r="D4" s="7" t="str">
        <x:v>Message text</x:v>
      </x:c>
      <x:c r="E4" s="7" t="str">
        <x:v>Reply reference</x:v>
      </x:c>
      <x:c r="F4" s="7" t="str">
        <x:v>Attachments</x:v>
      </x:c>
      <x:c r="G4" s="7" t="str">
        <x:v>Unavailable media</x:v>
      </x:c>
    </x:row>
    <x:row r="5" ht="15" hidden="0" customHeight="1">
      <x:c r="A5" s="31" t="str">
        <x:v>message-1</x:v>
      </x:c>
      <x:c r="B5" s="31"/>
      <x:c r="C5" s="31" t="str"/>
      <x:c r="D5" s="31" t="str"/>
      <x:c r="E5" s="31" t="str"/>
      <x:c r="F5" s="31" t="str"/>
      <x:c r="G5" s="31" t="str">
        <x:v>No</x:v>
      </x:c>
    </x:row>
    <x:row r="6" ht="15" hidden="0" customHeight="1">
      <x:c r="A6" s="31" t="str">
        <x:v>message1</x:v>
      </x:c>
      <x:c r="B6" s="31"/>
      <x:c r="C6" s="31" t="str"/>
      <x:c r="D6" s="31" t="str"/>
      <x:c r="E6" s="31" t="str"/>
      <x:c r="F6" s="31" t="str"/>
      <x:c r="G6" s="31" t="str">
        <x:v>No</x:v>
      </x:c>
    </x:row>
    <x:row r="7" ht="15" hidden="0" customHeight="1">
      <x:c r="A7" s="31" t="str">
        <x:v>message5</x:v>
      </x:c>
      <x:c r="B7" s="31" t="str">
        <x:v>24.07.2025 20:46:34 UTC+03:30</x:v>
      </x:c>
      <x:c r="C7" s="31" t="str">
        <x:v>امین عزیزی</x:v>
      </x:c>
      <x:c r="D7" s="31" t="str"/>
      <x:c r="E7" s="31" t="str"/>
      <x:c r="F7" s="31" t="str"/>
      <x:c r="G7" s="31" t="str">
        <x:v>Yes</x:v>
      </x:c>
    </x:row>
    <x:row r="8" ht="15" hidden="0" customHeight="1">
      <x:c r="A8" s="31" t="str">
        <x:v>message6</x:v>
      </x:c>
      <x:c r="B8" s="31" t="str">
        <x:v>24.07.2025 20:47:03 UTC+03:30</x:v>
      </x:c>
      <x:c r="C8" s="31" t="str">
        <x:v>Deleted Account</x:v>
      </x:c>
      <x:c r="D8" s="31" t="str"/>
      <x:c r="E8" s="31" t="str"/>
      <x:c r="F8" s="31" t="str">
        <x:v>telegram export/files/report_Python.txt</x:v>
      </x:c>
      <x:c r="G8" s="31" t="str">
        <x:v>No</x:v>
      </x:c>
    </x:row>
    <x:row r="9" ht="15" hidden="0" customHeight="1">
      <x:c r="A9" s="31" t="str">
        <x:v>message7</x:v>
      </x:c>
      <x:c r="B9" s="31" t="str">
        <x:v>24.07.2025 20:47:03 UTC+03:30</x:v>
      </x:c>
      <x:c r="C9" s="31" t="str">
        <x:v>Deleted Account</x:v>
      </x:c>
      <x:c r="D9" s="31" t="str"/>
      <x:c r="E9" s="31" t="str"/>
      <x:c r="F9" s="31" t="str">
        <x:v>telegram export/files/report_LaTeX.txt</x:v>
      </x:c>
      <x:c r="G9" s="31" t="str">
        <x:v>No</x:v>
      </x:c>
    </x:row>
    <x:row r="10" ht="15" hidden="0" customHeight="1">
      <x:c r="A10" s="31" t="str">
        <x:v>message8</x:v>
      </x:c>
      <x:c r="B10" s="31" t="str">
        <x:v>24.07.2025 20:47:03 UTC+03:30</x:v>
      </x:c>
      <x:c r="C10" s="31" t="str">
        <x:v>Deleted Account</x:v>
      </x:c>
      <x:c r="D10" s="31" t="str"/>
      <x:c r="E10" s="31" t="str"/>
      <x:c r="F10" s="31" t="str">
        <x:v>telegram export/files/report_Mathematica.txt</x:v>
      </x:c>
      <x:c r="G10" s="31" t="str">
        <x:v>No</x:v>
      </x:c>
    </x:row>
    <x:row r="11" ht="15" hidden="0" customHeight="1">
      <x:c r="A11" s="31" t="str">
        <x:v>message9</x:v>
      </x:c>
      <x:c r="B11" s="31" t="str">
        <x:v>24.07.2025 20:47:07 UTC+03:30</x:v>
      </x:c>
      <x:c r="C11" s="31" t="str">
        <x:v>Deleted Account</x:v>
      </x:c>
      <x:c r="D11" s="31" t="str">
        <x:v>بنازم روحیه</x:v>
      </x:c>
      <x:c r="E11" s="31" t="str">
        <x:v>#go_to_message5</x:v>
      </x:c>
      <x:c r="F11" s="31" t="str"/>
      <x:c r="G11" s="31" t="str">
        <x:v>No</x:v>
      </x:c>
    </x:row>
    <x:row r="12" ht="15" hidden="0" customHeight="1">
      <x:c r="A12" s="31" t="str">
        <x:v>message10</x:v>
      </x:c>
      <x:c r="B12" s="31" t="str">
        <x:v>24.07.2025 20:47:12 UTC+03:30</x:v>
      </x:c>
      <x:c r="C12" s="31" t="str">
        <x:v>Deleted Account</x:v>
      </x:c>
      <x:c r="D12" s="31" t="str">
        <x:v>3480 جو</x:v>
      </x:c>
      <x:c r="E12" s="31" t="str"/>
      <x:c r="F12" s="31" t="str"/>
      <x:c r="G12" s="31" t="str">
        <x:v>No</x:v>
      </x:c>
    </x:row>
    <x:row r="13" ht="15" hidden="0" customHeight="1">
      <x:c r="A13" s="31" t="str">
        <x:v>message11</x:v>
      </x:c>
      <x:c r="B13" s="31" t="str">
        <x:v>24.07.2025 20:47:34 UTC+03:30</x:v>
      </x:c>
      <x:c r="C13" s="31" t="str">
        <x:v>امین عزیزی</x:v>
      </x:c>
      <x:c r="D13" s="31" t="str">
        <x:v>به هر مدرس چقدر میدیم؟</x:v>
      </x:c>
      <x:c r="E13" s="31" t="str"/>
      <x:c r="F13" s="31" t="str"/>
      <x:c r="G13" s="31" t="str">
        <x:v>No</x:v>
      </x:c>
    </x:row>
    <x:row r="14" ht="15" hidden="0" customHeight="1">
      <x:c r="A14" s="31" t="str">
        <x:v>message12</x:v>
      </x:c>
      <x:c r="B14" s="31" t="str">
        <x:v>24.07.2025 20:47:42 UTC+03:30</x:v>
      </x:c>
      <x:c r="C14" s="31" t="str">
        <x:v>Deleted Account</x:v>
      </x:c>
      <x:c r="D14" s="31" t="str">
        <x:v>2934 سهراب</x:v>
      </x:c>
      <x:c r="E14" s="31" t="str"/>
      <x:c r="F14" s="31" t="str"/>
      <x:c r="G14" s="31" t="str">
        <x:v>No</x:v>
      </x:c>
    </x:row>
    <x:row r="15" ht="15" hidden="0" customHeight="1">
      <x:c r="A15" s="31" t="str">
        <x:v>message13</x:v>
      </x:c>
      <x:c r="B15" s="31" t="str">
        <x:v>24.07.2025 20:48:09 UTC+03:30</x:v>
      </x:c>
      <x:c r="C15" s="31" t="str">
        <x:v>Deleted Account</x:v>
      </x:c>
      <x:c r="D15" s="31" t="str">
        <x:v>3678 متین</x:v>
      </x:c>
      <x:c r="E15" s="31" t="str"/>
      <x:c r="F15" s="31" t="str"/>
      <x:c r="G15" s="31" t="str">
        <x:v>No</x:v>
      </x:c>
    </x:row>
    <x:row r="16" ht="15" hidden="0" customHeight="1">
      <x:c r="A16" s="31" t="str">
        <x:v>message14</x:v>
      </x:c>
      <x:c r="B16" s="31" t="str">
        <x:v>24.07.2025 20:48:20 UTC+03:30</x:v>
      </x:c>
      <x:c r="C16" s="31" t="str">
        <x:v>Deleted Account</x:v>
      </x:c>
      <x:c r="D16" s="31" t="str">
        <x:v>همرو تا صد تومن گرد میکنیم</x:v>
      </x:c>
      <x:c r="E16" s="31" t="str"/>
      <x:c r="F16" s="31" t="str"/>
      <x:c r="G16" s="31" t="str">
        <x:v>No</x:v>
      </x:c>
    </x:row>
    <x:row r="17" ht="15" hidden="0" customHeight="1">
      <x:c r="A17" s="31" t="str">
        <x:v>message15</x:v>
      </x:c>
      <x:c r="B17" s="31" t="str">
        <x:v>24.07.2025 20:48:50 UTC+03:30</x:v>
      </x:c>
      <x:c r="C17" s="31" t="str">
        <x:v>Deleted Account</x:v>
      </x:c>
      <x:c r="D17" s="31" t="str">
        <x:v>از همین الان یه شیت تراز مالی با یه شیت حساب پرداختنی دریافتنی</x:v>
      </x:c>
      <x:c r="E17" s="31" t="str"/>
      <x:c r="F17" s="31" t="str"/>
      <x:c r="G17" s="31" t="str">
        <x:v>No</x:v>
      </x:c>
    </x:row>
    <x:row r="18" ht="15" hidden="0" customHeight="1">
      <x:c r="A18" s="31" t="str">
        <x:v>message16</x:v>
      </x:c>
      <x:c r="B18" s="31" t="str">
        <x:v>24.07.2025 20:48:53 UTC+03:30</x:v>
      </x:c>
      <x:c r="C18" s="31" t="str">
        <x:v>Deleted Account</x:v>
      </x:c>
      <x:c r="D18" s="31" t="str">
        <x:v>بزن تو کارش</x:v>
      </x:c>
      <x:c r="E18" s="31" t="str"/>
      <x:c r="F18" s="31" t="str"/>
      <x:c r="G18" s="31" t="str">
        <x:v>No</x:v>
      </x:c>
    </x:row>
    <x:row r="19" ht="15" hidden="0" customHeight="1">
      <x:c r="A19" s="31" t="str">
        <x:v>message17</x:v>
      </x:c>
      <x:c r="B19" s="31" t="str">
        <x:v>24.07.2025 20:49:04 UTC+03:30</x:v>
      </x:c>
      <x:c r="C19" s="31" t="str">
        <x:v>Deleted Account</x:v>
      </x:c>
      <x:c r="D19" s="31" t="str">
        <x:v>اینا رو بلدی</x:v>
      </x:c>
      <x:c r="E19" s="31" t="str"/>
      <x:c r="F19" s="31" t="str"/>
      <x:c r="G19" s="31" t="str">
        <x:v>No</x:v>
      </x:c>
    </x:row>
    <x:row r="20" ht="15" hidden="0" customHeight="1">
      <x:c r="A20" s="31" t="str">
        <x:v>message18</x:v>
      </x:c>
      <x:c r="B20" s="31" t="str">
        <x:v>24.07.2025 20:49:04 UTC+03:30</x:v>
      </x:c>
      <x:c r="C20" s="31" t="str">
        <x:v>امین عزیزی</x:v>
      </x:c>
      <x:c r="D20" s="31" t="str">
        <x:v>حلهمن برسم تهران که نت خوب داشته باشم(قبلاً اینجایی که هستم نت خوب بود) شیت درست میکنم</x:v>
      </x:c>
      <x:c r="E20" s="31" t="str"/>
      <x:c r="F20" s="31" t="str"/>
      <x:c r="G20" s="31" t="str">
        <x:v>No</x:v>
      </x:c>
    </x:row>
    <x:row r="21" ht="15" hidden="0" customHeight="1">
      <x:c r="A21" s="31" t="str">
        <x:v>message19</x:v>
      </x:c>
      <x:c r="B21" s="31" t="str">
        <x:v>24.07.2025 20:49:19 UTC+03:30</x:v>
      </x:c>
      <x:c r="C21" s="31" t="str">
        <x:v>Deleted Account</x:v>
      </x:c>
      <x:c r="D21" s="31" t="str">
        <x:v>اگه هم بلد نیستی باید به عنوان بیزنس من آینده یاد بگیری</x:v>
      </x:c>
      <x:c r="E21" s="31" t="str"/>
      <x:c r="F21" s="31" t="str"/>
      <x:c r="G21" s="31" t="str">
        <x:v>No</x:v>
      </x:c>
    </x:row>
    <x:row r="22" ht="15" hidden="0" customHeight="1">
      <x:c r="A22" s="31" t="str">
        <x:v>message20</x:v>
      </x:c>
      <x:c r="B22" s="31" t="str">
        <x:v>24.07.2025 20:49:23 UTC+03:30</x:v>
      </x:c>
      <x:c r="C22" s="31" t="str">
        <x:v>Deleted Account</x:v>
      </x:c>
      <x:c r="D22" s="31" t="str">
        <x:v>بنازم</x:v>
      </x:c>
      <x:c r="E22" s="31" t="str">
        <x:v>#go_to_message18</x:v>
      </x:c>
      <x:c r="F22" s="31" t="str"/>
      <x:c r="G22" s="31" t="str">
        <x:v>No</x:v>
      </x:c>
    </x:row>
    <x:row r="23" ht="15" hidden="0" customHeight="1">
      <x:c r="A23" s="31" t="str">
        <x:v>message21</x:v>
      </x:c>
      <x:c r="B23" s="31" t="str">
        <x:v>24.07.2025 20:49:47 UTC+03:30</x:v>
      </x:c>
      <x:c r="C23" s="31" t="str">
        <x:v>امین عزیزی</x:v>
      </x:c>
      <x:c r="D23" s="31" t="str">
        <x:v>یاد گرفتنش کار سی چهل ثانیه‌ست 👌👌</x:v>
      </x:c>
      <x:c r="E23" s="31" t="str">
        <x:v>#go_to_message19</x:v>
      </x:c>
      <x:c r="F23" s="31" t="str"/>
      <x:c r="G23" s="31" t="str">
        <x:v>No</x:v>
      </x:c>
    </x:row>
    <x:row r="24" ht="15" hidden="0" customHeight="1">
      <x:c r="A24" s="31" t="str">
        <x:v>message22</x:v>
      </x:c>
      <x:c r="B24" s="31" t="str">
        <x:v>24.07.2025 20:49:56 UTC+03:30</x:v>
      </x:c>
      <x:c r="C24" s="31" t="str">
        <x:v>امین عزیزی</x:v>
      </x:c>
      <x:c r="D24" s="31" t="str">
        <x:v>دوتا دکمه میزنم یاد میگیرم</x:v>
      </x:c>
      <x:c r="E24" s="31" t="str"/>
      <x:c r="F24" s="31" t="str"/>
      <x:c r="G24" s="31" t="str">
        <x:v>No</x:v>
      </x:c>
    </x:row>
    <x:row r="25" ht="15" hidden="0" customHeight="1">
      <x:c r="A25" s="31" t="str">
        <x:v>message23</x:v>
      </x:c>
      <x:c r="B25" s="31" t="str">
        <x:v>24.07.2025 20:50:53 UTC+03:30</x:v>
      </x:c>
      <x:c r="C25" s="31" t="str">
        <x:v>Deleted Account</x:v>
      </x:c>
      <x:c r="D25" s="31" t="str">
        <x:v>بنازم</x:v>
      </x:c>
      <x:c r="E25" s="31" t="str"/>
      <x:c r="F25" s="31" t="str"/>
      <x:c r="G25" s="31" t="str">
        <x:v>No</x:v>
      </x:c>
    </x:row>
    <x:row r="26" ht="15" hidden="0" customHeight="1">
      <x:c r="A26" s="31" t="str">
        <x:v>message24</x:v>
      </x:c>
      <x:c r="B26" s="31" t="str">
        <x:v>24.07.2025 20:51:00 UTC+03:30</x:v>
      </x:c>
      <x:c r="C26" s="31" t="str">
        <x:v>Deleted Account</x:v>
      </x:c>
      <x:c r="D26" s="31" t="str"/>
      <x:c r="E26" s="31" t="str"/>
      <x:c r="F26" s="31" t="str"/>
      <x:c r="G26" s="31" t="str">
        <x:v>Yes</x:v>
      </x:c>
    </x:row>
    <x:row r="27" ht="15" hidden="0" customHeight="1">
      <x:c r="A27" s="31" t="str">
        <x:v>message25</x:v>
      </x:c>
      <x:c r="B27" s="31" t="str">
        <x:v>24.07.2025 21:00:16 UTC+03:30</x:v>
      </x:c>
      <x:c r="C27" s="31" t="str">
        <x:v>Deleted Account</x:v>
      </x:c>
      <x:c r="D27" s="31" t="str">
        <x:v>واریزی کامل حق‌الزحمه مدرس متمتیکا مدرسه تابستانه</x:v>
      </x:c>
      <x:c r="E27" s="31" t="str"/>
      <x:c r="F27" s="31" t="str">
        <x:v>telegram export/photos/photo_1@24-07-2025_21-00-16.jpg</x:v>
      </x:c>
      <x:c r="G27" s="31" t="str">
        <x:v>No</x:v>
      </x:c>
    </x:row>
    <x:row r="28" ht="15" hidden="0" customHeight="1">
      <x:c r="A28" s="31" t="str">
        <x:v>message26</x:v>
      </x:c>
      <x:c r="B28" s="31" t="str">
        <x:v>24.07.2025 21:00:17 UTC+03:30</x:v>
      </x:c>
      <x:c r="C28" s="31" t="str">
        <x:v>Deleted Account</x:v>
      </x:c>
      <x:c r="D28" s="31" t="str">
        <x:v>واریزی و تسویه کامل حق‌الزحمه مدرس پایتون مدرسه تابستانه</x:v>
      </x:c>
      <x:c r="E28" s="31" t="str"/>
      <x:c r="F28" s="31" t="str">
        <x:v>telegram export/photos/photo_2@24-07-2025_21-00-17.jpg</x:v>
      </x:c>
      <x:c r="G28" s="31" t="str">
        <x:v>No</x:v>
      </x:c>
    </x:row>
    <x:row r="29" ht="15" hidden="0" customHeight="1">
      <x:c r="A29" s="31" t="str">
        <x:v>message27</x:v>
      </x:c>
      <x:c r="B29" s="31" t="str">
        <x:v>24.07.2025 21:02:51 UTC+03:30</x:v>
      </x:c>
      <x:c r="C29" s="31" t="str">
        <x:v>Deleted Account</x:v>
      </x:c>
      <x:c r="D29" s="31" t="str">
        <x:v>واریزی و تسویه کامل حق‌الزحمه مدرس لتک مدرسه تابستانه</x:v>
      </x:c>
      <x:c r="E29" s="31" t="str"/>
      <x:c r="F29" s="31" t="str">
        <x:v>telegram export/photos/photo_3@24-07-2025_21-02-51.jpg</x:v>
      </x:c>
      <x:c r="G29" s="31" t="str">
        <x:v>No</x:v>
      </x:c>
    </x:row>
    <x:row r="30" ht="15" hidden="0" customHeight="1">
      <x:c r="A30" s="31" t="str">
        <x:v>message28</x:v>
      </x:c>
      <x:c r="B30" s="31" t="str">
        <x:v>24.07.2025 21:02:54 UTC+03:30</x:v>
      </x:c>
      <x:c r="C30" s="31" t="str">
        <x:v>Deleted Account</x:v>
      </x:c>
      <x:c r="D30" s="31" t="str">
        <x:v>*بانک شهر*سرويس پرداخت لحظه اي (پل)برداشت از:400816808774مبلغ:37,000,000ريالموجودي:230,203,965 ريال1404/05/2 21:01:41</x:v>
      </x:c>
      <x:c r="E30" s="31" t="str"/>
      <x:c r="F30" s="31" t="str"/>
      <x:c r="G30" s="31" t="str">
        <x:v>No</x:v>
      </x:c>
    </x:row>
    <x:row r="31" ht="15" hidden="0" customHeight="1">
      <x:c r="A31" s="31" t="str">
        <x:v>message-2</x:v>
      </x:c>
      <x:c r="B31" s="31"/>
      <x:c r="C31" s="31" t="str">
        <x:v>Deleted Account</x:v>
      </x:c>
      <x:c r="D31" s="31" t="str"/>
      <x:c r="E31" s="31" t="str"/>
      <x:c r="F31" s="31" t="str"/>
      <x:c r="G31" s="31" t="str">
        <x:v>No</x:v>
      </x:c>
    </x:row>
    <x:row r="32" ht="15" hidden="0" customHeight="1">
      <x:c r="A32" s="31" t="str">
        <x:v>message29</x:v>
      </x:c>
      <x:c r="B32" s="31" t="str">
        <x:v>25.07.2025 04:04:24 UTC+03:30</x:v>
      </x:c>
      <x:c r="C32" s="31" t="str">
        <x:v>Deleted Account</x:v>
      </x:c>
      <x:c r="D32" s="31" t="str">
        <x:v>واریزی حق الزحمه تی‌ای و فرم و شیت ابراهیم خسروانی مدرسه تابستانه</x:v>
      </x:c>
      <x:c r="E32" s="31" t="str"/>
      <x:c r="F32" s="31" t="str">
        <x:v>telegram export/photos/photo_4@25-07-2025_04-04-24.jpg</x:v>
      </x:c>
      <x:c r="G32" s="31" t="str">
        <x:v>No</x:v>
      </x:c>
    </x:row>
    <x:row r="33" ht="15" hidden="0" customHeight="1">
      <x:c r="A33" s="31" t="str">
        <x:v>message30</x:v>
      </x:c>
      <x:c r="B33" s="31" t="str">
        <x:v>25.07.2025 04:08:41 UTC+03:30</x:v>
      </x:c>
      <x:c r="C33" s="31" t="str">
        <x:v>Deleted Account</x:v>
      </x:c>
      <x:c r="D33" s="31" t="str">
        <x:v>واریزی حق‌الزحمه ثبت نامی و تی ای پایتون مدرسه تابستانه سپهر طلائی</x:v>
      </x:c>
      <x:c r="E33" s="31" t="str"/>
      <x:c r="F33" s="31" t="str">
        <x:v>telegram export/photos/photo_5@25-07-2025_04-08-41.jpg</x:v>
      </x:c>
      <x:c r="G33" s="31" t="str">
        <x:v>No</x:v>
      </x:c>
    </x:row>
    <x:row r="34" ht="15" hidden="0" customHeight="1">
      <x:c r="A34" s="31" t="str">
        <x:v>message31</x:v>
      </x:c>
      <x:c r="B34" s="31" t="str">
        <x:v>25.07.2025 15:53:39 UTC+03:30</x:v>
      </x:c>
      <x:c r="C34" s="31" t="str">
        <x:v>Deleted Account</x:v>
      </x:c>
      <x:c r="D34" s="31" t="str">
        <x:v>واریزی حق‌الزحمه امین عزیزی فرآیند ثبت نامی حسابداری و تی ای پایتون مدرسه تابستانه</x:v>
      </x:c>
      <x:c r="E34" s="31" t="str"/>
      <x:c r="F34" s="31" t="str">
        <x:v>telegram export/photos/photo_6@25-07-2025_15-53-39.jpg</x:v>
      </x:c>
      <x:c r="G34" s="31" t="str">
        <x:v>No</x:v>
      </x:c>
    </x:row>
    <x:row r="35" ht="15" hidden="0" customHeight="1">
      <x:c r="A35" s="31" t="str">
        <x:v>message32</x:v>
      </x:c>
      <x:c r="B35" s="31" t="str">
        <x:v>25.07.2025 17:26:11 UTC+03:30</x:v>
      </x:c>
      <x:c r="C35" s="31" t="str">
        <x:v>Deleted Account</x:v>
      </x:c>
      <x:c r="D35" s="31" t="str">
        <x:v>*بانک شهر*انتقال وجه کارتيبرداشت از:400816808774مبلغ:6,009,000ريالموجودي:220,589,565 ريال1404/05/3 15:52:09</x:v>
      </x:c>
      <x:c r="E35" s="31" t="str"/>
      <x:c r="F35" s="31" t="str"/>
      <x:c r="G35" s="31" t="str">
        <x:v>No</x:v>
      </x:c>
    </x:row>
    <x:row r="36" ht="15" hidden="0" customHeight="1">
      <x:c r="A36" s="31" t="str">
        <x:v>message33</x:v>
      </x:c>
      <x:c r="B36" s="31" t="str">
        <x:v>25.07.2025 17:26:46 UTC+03:30</x:v>
      </x:c>
      <x:c r="C36" s="31" t="str">
        <x:v>امین عزیزی</x:v>
      </x:c>
      <x:c r="D36" s="31" t="str">
        <x:v>به چه شخصی؟</x:v>
      </x:c>
      <x:c r="E36" s="31" t="str">
        <x:v>#go_to_message32</x:v>
      </x:c>
      <x:c r="F36" s="31" t="str"/>
      <x:c r="G36" s="31" t="str">
        <x:v>No</x:v>
      </x:c>
    </x:row>
    <x:row r="37" ht="15" hidden="0" customHeight="1">
      <x:c r="A37" s="31" t="str">
        <x:v>message34</x:v>
      </x:c>
      <x:c r="B37" s="31" t="str">
        <x:v>25.07.2025 17:34:21 UTC+03:30</x:v>
      </x:c>
      <x:c r="C37" s="31" t="str">
        <x:v>Deleted Account</x:v>
      </x:c>
      <x:c r="D37" s="31" t="str">
        <x:v>این همین اخریه</x:v>
      </x:c>
      <x:c r="E37" s="31" t="str">
        <x:v>#go_to_message31</x:v>
      </x:c>
      <x:c r="F37" s="31" t="str"/>
      <x:c r="G37" s="31" t="str">
        <x:v>No</x:v>
      </x:c>
    </x:row>
    <x:row r="38" ht="15" hidden="0" customHeight="1">
      <x:c r="A38" s="31" t="str">
        <x:v>message35</x:v>
      </x:c>
      <x:c r="B38" s="31" t="str">
        <x:v>25.07.2025 17:34:31 UTC+03:30</x:v>
      </x:c>
      <x:c r="C38" s="31" t="str">
        <x:v>Deleted Account</x:v>
      </x:c>
      <x:c r="D38" s="31" t="str">
        <x:v>این موجودی نهایی رو فعلا ثبت کن</x:v>
      </x:c>
      <x:c r="E38" s="31" t="str"/>
      <x:c r="F38" s="31" t="str"/>
      <x:c r="G38" s="31" t="str">
        <x:v>No</x:v>
      </x:c>
    </x:row>
    <x:row r="39" ht="15" hidden="0" customHeight="1">
      <x:c r="A39" s="31" t="str">
        <x:v>message-3</x:v>
      </x:c>
      <x:c r="B39" s="31"/>
      <x:c r="C39" s="31" t="str">
        <x:v>Deleted Account</x:v>
      </x:c>
      <x:c r="D39" s="31" t="str"/>
      <x:c r="E39" s="31" t="str"/>
      <x:c r="F39" s="31" t="str"/>
      <x:c r="G39" s="31" t="str">
        <x:v>No</x:v>
      </x:c>
    </x:row>
    <x:row r="40" ht="15" hidden="0" customHeight="1">
      <x:c r="A40" s="31" t="str">
        <x:v>message36</x:v>
      </x:c>
      <x:c r="B40" s="31" t="str">
        <x:v>26.07.2025 08:05:51 UTC+03:30</x:v>
      </x:c>
      <x:c r="C40" s="31" t="str">
        <x:v>امین عزیزی</x:v>
      </x:c>
      <x:c r="D40" s="31" t="str">
        <x:v>حسن از قبل تو کارتت پول بوده؟</x:v>
      </x:c>
      <x:c r="E40" s="31" t="str"/>
      <x:c r="F40" s="31" t="str"/>
      <x:c r="G40" s="31" t="str">
        <x:v>No</x:v>
      </x:c>
    </x:row>
    <x:row r="41" ht="15" hidden="0" customHeight="1">
      <x:c r="A41" s="31" t="str">
        <x:v>message37</x:v>
      </x:c>
      <x:c r="B41" s="31" t="str">
        <x:v>26.07.2025 08:06:15 UTC+03:30</x:v>
      </x:c>
      <x:c r="C41" s="31" t="str">
        <x:v>امین عزیزی</x:v>
      </x:c>
      <x:c r="D41" s="31" t="str">
        <x:v>موجودیش از تراز مالیمون بیشتره😂</x:v>
      </x:c>
      <x:c r="E41" s="31" t="str"/>
      <x:c r="F41" s="31" t="str"/>
      <x:c r="G41" s="31" t="str">
        <x:v>No</x:v>
      </x:c>
    </x:row>
    <x:row r="42" ht="15" hidden="0" customHeight="1">
      <x:c r="A42" s="31" t="str">
        <x:v>message38</x:v>
      </x:c>
      <x:c r="B42" s="31" t="str">
        <x:v>26.07.2025 08:07:14 UTC+03:30</x:v>
      </x:c>
      <x:c r="C42" s="31" t="str">
        <x:v>امین عزیزی</x:v>
      </x:c>
      <x:c r="D42" s="31" t="str">
        <x:v>راستی یه ایمیل هم بده بهم که اکسس شیت رو بدم بهش</x:v>
      </x:c>
      <x:c r="E42" s="31" t="str"/>
      <x:c r="F42" s="31" t="str"/>
      <x:c r="G42" s="31" t="str">
        <x:v>No</x:v>
      </x:c>
    </x:row>
    <x:row r="43" ht="15" hidden="0" customHeight="1">
      <x:c r="A43" s="31" t="str">
        <x:v>message39</x:v>
      </x:c>
      <x:c r="B43" s="31" t="str">
        <x:v>26.07.2025 09:01:17 UTC+03:30</x:v>
      </x:c>
      <x:c r="C43" s="31" t="str">
        <x:v>Deleted Account</x:v>
      </x:c>
      <x:c r="D43" s="31" t="str">
        <x:v>چهل هزارتومن😂</x:v>
      </x:c>
      <x:c r="E43" s="31" t="str">
        <x:v>#go_to_message37</x:v>
      </x:c>
      <x:c r="F43" s="31" t="str"/>
      <x:c r="G43" s="31" t="str">
        <x:v>No</x:v>
      </x:c>
    </x:row>
    <x:row r="44" ht="15" hidden="0" customHeight="1">
      <x:c r="A44" s="31" t="str">
        <x:v>message40</x:v>
      </x:c>
      <x:c r="B44" s="31" t="str">
        <x:v>26.07.2025 09:01:24 UTC+03:30</x:v>
      </x:c>
      <x:c r="C44" s="31" t="str">
        <x:v>Deleted Account</x:v>
      </x:c>
      <x:c r="D44" s="31" t="str">
        <x:v>sandmanshiri@gmail.com</x:v>
      </x:c>
      <x:c r="E44" s="31" t="str">
        <x:v>#go_to_message38</x:v>
      </x:c>
      <x:c r="F44" s="31" t="str"/>
      <x:c r="G44" s="31" t="str">
        <x:v>No</x:v>
      </x:c>
    </x:row>
    <x:row r="45" ht="15" hidden="0" customHeight="1">
      <x:c r="A45" s="31" t="str">
        <x:v>message41</x:v>
      </x:c>
      <x:c r="B45" s="31" t="str">
        <x:v>26.07.2025 14:05:44 UTC+03:30</x:v>
      </x:c>
      <x:c r="C45" s="31" t="str">
        <x:v>امین عزیزی</x:v>
      </x:c>
      <x:c r="D45" s="31" t="str">
        <x:v>ایمیل زدم برات</x:v>
      </x:c>
      <x:c r="E45" s="31" t="str"/>
      <x:c r="F45" s="31" t="str"/>
      <x:c r="G45" s="31" t="str">
        <x:v>No</x:v>
      </x:c>
    </x:row>
    <x:row r="46" ht="15" hidden="0" customHeight="1">
      <x:c r="A46" s="31" t="str">
        <x:v>message-4</x:v>
      </x:c>
      <x:c r="B46" s="31"/>
      <x:c r="C46" s="31" t="str">
        <x:v>امین عزیزی</x:v>
      </x:c>
      <x:c r="D46" s="31" t="str"/>
      <x:c r="E46" s="31" t="str"/>
      <x:c r="F46" s="31" t="str"/>
      <x:c r="G46" s="31" t="str">
        <x:v>No</x:v>
      </x:c>
    </x:row>
    <x:row r="47" ht="15" hidden="0" customHeight="1">
      <x:c r="A47" s="31" t="str">
        <x:v>message42</x:v>
      </x:c>
      <x:c r="B47" s="31" t="str">
        <x:v>11.08.2025 15:51:55 UTC+03:30</x:v>
      </x:c>
      <x:c r="C47" s="31" t="str">
        <x:v>Deleted Account</x:v>
      </x:c>
      <x:c r="D47" s="31" t="str">
        <x:v>بابت ضبط جبرانی جلسه ۳ لتک</x:v>
      </x:c>
      <x:c r="E47" s="31" t="str"/>
      <x:c r="F47" s="31" t="str">
        <x:v>telegram export/photos/photo_7@11-08-2025_15-51-55.jpg</x:v>
      </x:c>
      <x:c r="G47" s="31" t="str">
        <x:v>No</x:v>
      </x:c>
    </x:row>
    <x:row r="48" ht="15" hidden="0" customHeight="1">
      <x:c r="A48" s="31" t="str">
        <x:v>message-5</x:v>
      </x:c>
      <x:c r="B48" s="31"/>
      <x:c r="C48" s="31" t="str">
        <x:v>Deleted Account</x:v>
      </x:c>
      <x:c r="D48" s="31" t="str"/>
      <x:c r="E48" s="31" t="str"/>
      <x:c r="F48" s="31" t="str"/>
      <x:c r="G48" s="31" t="str">
        <x:v>No</x:v>
      </x:c>
    </x:row>
    <x:row r="49" ht="15" hidden="0" customHeight="1">
      <x:c r="A49" s="31" t="str">
        <x:v>message43</x:v>
      </x:c>
      <x:c r="B49" s="31" t="str">
        <x:v>12.08.2025 09:58:34 UTC+03:30</x:v>
      </x:c>
      <x:c r="C49" s="31" t="str">
        <x:v>Deleted Account</x:v>
      </x:c>
      <x:c r="D49" s="31" t="str">
        <x:v>تبلیغات مدرسه مهمات شریف</x:v>
      </x:c>
      <x:c r="E49" s="31" t="str"/>
      <x:c r="F49" s="31" t="str"/>
      <x:c r="G49" s="31" t="str">
        <x:v>No</x:v>
      </x:c>
    </x:row>
    <x:row r="50" ht="24" hidden="0" customHeight="1">
      <x:c r="A50" s="31" t="str">
        <x:v>message44</x:v>
      </x:c>
      <x:c r="B50" s="31" t="str">
        <x:v>12.08.2025 09:58:34 UTC+03:30</x:v>
      </x:c>
      <x:c r="C50" s="31" t="str">
        <x:v>Deleted Account
Deleted Account 19.07.2025 16:42:32</x:v>
      </x:c>
      <x:c r="D50" s="31" t="str"/>
      <x:c r="E50" s="31" t="str"/>
      <x:c r="F50" s="31" t="str">
        <x:v>telegram export/photos/photo_8@12-08-2025_09-58-34.jpg</x:v>
      </x:c>
      <x:c r="G50" s="31" t="str">
        <x:v>No</x:v>
      </x:c>
    </x:row>
    <x:row r="51" ht="24" hidden="0" customHeight="1">
      <x:c r="A51" s="31" t="str">
        <x:v>message45</x:v>
      </x:c>
      <x:c r="B51" s="31" t="str">
        <x:v>12.08.2025 09:58:34 UTC+03:30</x:v>
      </x:c>
      <x:c r="C51" s="31" t="str">
        <x:v>Deleted Account
Sharif Admin 22.07.2025 11:03:53</x:v>
      </x:c>
      <x:c r="D51" s="31" t="str">
        <x:v>‌.سلام وقتتون بخیر خدمت شما امیدوارم موثر بوده باشه</x:v>
      </x:c>
      <x:c r="E51" s="31" t="str"/>
      <x:c r="F51" s="31" t="str"/>
      <x:c r="G51" s="31" t="str">
        <x:v>No</x:v>
      </x:c>
    </x:row>
    <x:row r="52" ht="24" hidden="0" customHeight="1">
      <x:c r="A52" s="31" t="str">
        <x:v>message46</x:v>
      </x:c>
      <x:c r="B52" s="31" t="str">
        <x:v>12.08.2025 09:58:34 UTC+03:30</x:v>
      </x:c>
      <x:c r="C52" s="31" t="str">
        <x:v>Deleted Account
Sharif Admin 22.07.2025 11:03:53</x:v>
      </x:c>
      <x:c r="D52" s="31" t="str"/>
      <x:c r="E52" s="31" t="str"/>
      <x:c r="F52" s="31" t="str">
        <x:v>telegram export/photos/photo_9@12-08-2025_09-58-34.jpg</x:v>
      </x:c>
      <x:c r="G52" s="31" t="str">
        <x:v>No</x:v>
      </x:c>
    </x:row>
    <x:row r="53" ht="24" hidden="0" customHeight="1">
      <x:c r="A53" s="31" t="str">
        <x:v>message-6</x:v>
      </x:c>
      <x:c r="B53" s="31"/>
      <x:c r="C53" s="31" t="str">
        <x:v>Deleted Account
Sharif Admin 22.07.2025 11:03:53</x:v>
      </x:c>
      <x:c r="D53" s="31" t="str"/>
      <x:c r="E53" s="31" t="str"/>
      <x:c r="F53" s="31" t="str"/>
      <x:c r="G53" s="31" t="str">
        <x:v>No</x:v>
      </x:c>
    </x:row>
    <x:row r="54" ht="15" hidden="0" customHeight="1">
      <x:c r="A54" s="31" t="str">
        <x:v>message47</x:v>
      </x:c>
      <x:c r="B54" s="31" t="str">
        <x:v>15.08.2025 18:28:22 UTC+03:30</x:v>
      </x:c>
      <x:c r="C54" s="31" t="str">
        <x:v>Deleted Account</x:v>
      </x:c>
      <x:c r="D54" s="31" t="str">
        <x:v>حق الزحمه ضبط جبرانی جلسه 4 پایتون</x:v>
      </x:c>
      <x:c r="E54" s="31" t="str"/>
      <x:c r="F54" s="31" t="str">
        <x:v>telegram export/photos/photo_10@15-08-2025_18-28-22.jpg</x:v>
      </x:c>
      <x:c r="G54" s="31" t="str">
        <x:v>No</x:v>
      </x:c>
    </x:row>
    <x:row r="55" ht="15" hidden="0" customHeight="1">
      <x:c r="A55" s="31" t="str">
        <x:v>message-7</x:v>
      </x:c>
      <x:c r="B55" s="31"/>
      <x:c r="C55" s="31" t="str">
        <x:v>Deleted Account</x:v>
      </x:c>
      <x:c r="D55" s="31" t="str"/>
      <x:c r="E55" s="31" t="str"/>
      <x:c r="F55" s="31" t="str"/>
      <x:c r="G55" s="31" t="str">
        <x:v>No</x:v>
      </x:c>
    </x:row>
    <x:row r="56" ht="15" hidden="0" customHeight="1">
      <x:c r="A56" s="31" t="str">
        <x:v>message48</x:v>
      </x:c>
      <x:c r="B56" s="31" t="str">
        <x:v>04.09.2025 14:05:56 UTC+03:30</x:v>
      </x:c>
      <x:c r="C56" s="31" t="str">
        <x:v>امین عزیزی</x:v>
      </x:c>
      <x:c r="D56" s="31" t="str">
        <x:v>پرداخت شود به محمدامین عزیزیبابت چاپ پوستر و بارکد برای میز معرفی دانشگاه</x:v>
      </x:c>
      <x:c r="E56" s="31" t="str"/>
      <x:c r="F56" s="31" t="str">
        <x:v>telegram export/photos/photo_11@04-09-2025_14-05-56.jpg</x:v>
      </x:c>
      <x:c r="G56" s="31" t="str">
        <x:v>No</x:v>
      </x:c>
    </x:row>
    <x:row r="57" ht="15" hidden="0" customHeight="1">
      <x:c r="A57" s="31" t="str">
        <x:v>message-8</x:v>
      </x:c>
      <x:c r="B57" s="31"/>
      <x:c r="C57" s="31" t="str">
        <x:v>امین عزیزی</x:v>
      </x:c>
      <x:c r="D57" s="31" t="str"/>
      <x:c r="E57" s="31" t="str"/>
      <x:c r="F57" s="31" t="str"/>
      <x:c r="G57" s="31" t="str">
        <x:v>No</x:v>
      </x:c>
    </x:row>
    <x:row r="58" ht="15" hidden="0" customHeight="1">
      <x:c r="A58" s="31" t="str">
        <x:v>message49</x:v>
      </x:c>
      <x:c r="B58" s="31" t="str">
        <x:v>27.09.2025 11:43:22 UTC+03:30</x:v>
      </x:c>
      <x:c r="C58" s="31" t="str">
        <x:v>امین عزیزی</x:v>
      </x:c>
      <x:c r="D58" s="31" t="str">
        <x:v>حسنشماره این کارتی که پولهای انجمن توش هست رو بذار اینجا من باقی مونده پول رویداد رو بریزم تو اون</x:v>
      </x:c>
      <x:c r="E58" s="31" t="str"/>
      <x:c r="F58" s="31" t="str"/>
      <x:c r="G58" s="31" t="str">
        <x:v>No</x:v>
      </x:c>
    </x:row>
    <x:row r="59" ht="15" hidden="0" customHeight="1">
      <x:c r="A59" s="31" t="str">
        <x:v>message-9</x:v>
      </x:c>
      <x:c r="B59" s="31"/>
      <x:c r="C59" s="31" t="str">
        <x:v>امین عزیزی</x:v>
      </x:c>
      <x:c r="D59" s="31" t="str"/>
      <x:c r="E59" s="31" t="str"/>
      <x:c r="F59" s="31" t="str"/>
      <x:c r="G59" s="31" t="str">
        <x:v>No</x:v>
      </x:c>
    </x:row>
    <x:row r="60" ht="15" hidden="0" customHeight="1">
      <x:c r="A60" s="31" t="str">
        <x:v>message50</x:v>
      </x:c>
      <x:c r="B60" s="31" t="str">
        <x:v>01.10.2025 11:51:03 UTC+03:30</x:v>
      </x:c>
      <x:c r="C60" s="31" t="str">
        <x:v>Deleted Account</x:v>
      </x:c>
      <x:c r="D60" s="31" t="str">
        <x:v>5047061055888966</x:v>
      </x:c>
      <x:c r="E60" s="31" t="str">
        <x:v>#go_to_message49</x:v>
      </x:c>
      <x:c r="F60" s="31" t="str"/>
      <x:c r="G60" s="31" t="str">
        <x:v>No</x:v>
      </x:c>
    </x:row>
    <x:row r="61" ht="15" hidden="0" customHeight="1">
      <x:c r="A61" s="31" t="str">
        <x:v>message51</x:v>
      </x:c>
      <x:c r="B61" s="31" t="str">
        <x:v>01.10.2025 18:02:44 UTC+03:30</x:v>
      </x:c>
      <x:c r="C61" s="31" t="str">
        <x:v>امین عزیزی</x:v>
      </x:c>
      <x:c r="D61" s="31" t="str">
        <x:v>انتقال درآمد خالص از همایش معرفی رشته به حساب اصلی</x:v>
      </x:c>
      <x:c r="E61" s="31" t="str"/>
      <x:c r="F61" s="31" t="str">
        <x:v>telegram export/photos/photo_12@01-10-2025_18-02-44.jpg</x:v>
      </x:c>
      <x:c r="G61" s="31" t="str">
        <x:v>No</x:v>
      </x:c>
    </x:row>
    <x:row r="62" ht="15" hidden="0" customHeight="1">
      <x:c r="A62" s="31" t="str">
        <x:v>message52</x:v>
      </x:c>
      <x:c r="B62" s="31" t="str">
        <x:v>01.10.2025 22:22:43 UTC+03:30</x:v>
      </x:c>
      <x:c r="C62" s="31" t="str">
        <x:v>Deleted Account</x:v>
      </x:c>
      <x:c r="D62" s="31" t="str">
        <x:v>22,765,000موجودی فعلی</x:v>
      </x:c>
      <x:c r="E62" s="31" t="str"/>
      <x:c r="F62" s="31" t="str"/>
      <x:c r="G62" s="31" t="str">
        <x:v>No</x:v>
      </x:c>
    </x:row>
    <x:row r="63" ht="15" hidden="0" customHeight="1">
      <x:c r="A63" s="31" t="str">
        <x:v>message53</x:v>
      </x:c>
      <x:c r="B63" s="31" t="str">
        <x:v>01.10.2025 22:22:51 UTC+03:30</x:v>
      </x:c>
      <x:c r="C63" s="31" t="str">
        <x:v>Deleted Account</x:v>
      </x:c>
      <x:c r="D63" s="31" t="str">
        <x:v>این رو کسر کردی امین؟</x:v>
      </x:c>
      <x:c r="E63" s="31" t="str">
        <x:v>#go_to_message48</x:v>
      </x:c>
      <x:c r="F63" s="31" t="str"/>
      <x:c r="G63" s="31" t="str">
        <x:v>No</x:v>
      </x:c>
    </x:row>
    <x:row r="64" ht="15" hidden="0" customHeight="1">
      <x:c r="A64" s="31" t="str">
        <x:v>message54</x:v>
      </x:c>
      <x:c r="B64" s="31" t="str">
        <x:v>01.10.2025 23:25:53 UTC+03:30</x:v>
      </x:c>
      <x:c r="C64" s="31" t="str">
        <x:v>امین عزیزی</x:v>
      </x:c>
      <x:c r="D64" s="31" t="str">
        <x:v>آره</x:v>
      </x:c>
      <x:c r="E64" s="31" t="str"/>
      <x:c r="F64" s="31" t="str"/>
      <x:c r="G64" s="31" t="str">
        <x:v>No</x:v>
      </x:c>
    </x:row>
    <x:row r="65" ht="15" hidden="0" customHeight="1">
      <x:c r="A65" s="31" t="str">
        <x:v>message-10</x:v>
      </x:c>
      <x:c r="B65" s="31"/>
      <x:c r="C65" s="31" t="str">
        <x:v>امین عزیزی</x:v>
      </x:c>
      <x:c r="D65" s="31" t="str"/>
      <x:c r="E65" s="31" t="str"/>
      <x:c r="F65" s="31" t="str"/>
      <x:c r="G65" s="31" t="str">
        <x:v>No</x:v>
      </x:c>
    </x:row>
    <x:row r="66" ht="15" hidden="0" customHeight="1">
      <x:c r="A66" s="31" t="str">
        <x:v>message55</x:v>
      </x:c>
      <x:c r="B66" s="31" t="str">
        <x:v>10.10.2025 04:08:44 UTC+03:30</x:v>
      </x:c>
      <x:c r="C66" s="31" t="str">
        <x:v>Deleted Account</x:v>
      </x:c>
      <x:c r="D66" s="31" t="str">
        <x:v>@FCS_Amzz https://docs.google.com/spreadsheets/d/12dGUWPGR8eJiLOSkOMYbIjftBJd0PxpBjG16vWOxGVo/edit?gid=696169602#gid=696169602</x:v>
      </x:c>
      <x:c r="E66" s="31" t="str"/>
      <x:c r="F66" s="31" t="str"/>
      <x:c r="G66" s="31" t="str">
        <x:v>No</x:v>
      </x:c>
    </x:row>
    <x:row r="67" ht="15" hidden="0" customHeight="1">
      <x:c r="A67" s="31" t="str">
        <x:v>message56</x:v>
      </x:c>
      <x:c r="B67" s="31" t="str">
        <x:v>10.10.2025 04:08:50 UTC+03:30</x:v>
      </x:c>
      <x:c r="C67" s="31" t="str">
        <x:v>Deleted Account</x:v>
      </x:c>
      <x:c r="D67" s="31" t="str">
        <x:v>آپدیتش کن نازنین</x:v>
      </x:c>
      <x:c r="E67" s="31" t="str"/>
      <x:c r="F67" s="31" t="str"/>
      <x:c r="G67" s="31" t="str">
        <x:v>No</x:v>
      </x:c>
    </x:row>
    <x:row r="68" ht="15" hidden="0" customHeight="1">
      <x:c r="A68" s="31" t="str">
        <x:v>message57</x:v>
      </x:c>
      <x:c r="B68" s="31" t="str">
        <x:v>10.10.2025 04:09:43 UTC+03:30</x:v>
      </x:c>
      <x:c r="C68" s="31" t="str">
        <x:v>Deleted Account</x:v>
      </x:c>
      <x:c r="D68" s="31" t="str">
        <x:v>اون کلید ها که من زدم با تبلیغ مهمات شریف و پوستری که تو چاپ کردی</x:v>
      </x:c>
      <x:c r="E68" s="31" t="str"/>
      <x:c r="F68" s="31" t="str"/>
      <x:c r="G68" s="31" t="str">
        <x:v>No</x:v>
      </x:c>
    </x:row>
    <x:row r="69" ht="15" hidden="0" customHeight="1">
      <x:c r="A69" s="31" t="str">
        <x:v>message58</x:v>
      </x:c>
      <x:c r="B69" s="31" t="str">
        <x:v>10.10.2025 11:50:44 UTC+03:30</x:v>
      </x:c>
      <x:c r="C69" s="31" t="str">
        <x:v>امین عزیزی</x:v>
      </x:c>
      <x:c r="D69" s="31" t="str">
        <x:v>کدوم پوستر منظورته؟</x:v>
      </x:c>
      <x:c r="E69" s="31" t="str">
        <x:v>#go_to_message57</x:v>
      </x:c>
      <x:c r="F69" s="31" t="str"/>
      <x:c r="G69" s="31" t="str">
        <x:v>No</x:v>
      </x:c>
    </x:row>
    <x:row r="70" ht="15" hidden="0" customHeight="1">
      <x:c r="A70" s="31" t="str">
        <x:v>message59</x:v>
      </x:c>
      <x:c r="B70" s="31" t="str">
        <x:v>10.10.2025 11:55:42 UTC+03:30</x:v>
      </x:c>
      <x:c r="C70" s="31" t="str">
        <x:v>Deleted Account</x:v>
      </x:c>
      <x:c r="D70" s="31" t="str">
        <x:v>این</x:v>
      </x:c>
      <x:c r="E70" s="31" t="str">
        <x:v>#go_to_message48</x:v>
      </x:c>
      <x:c r="F70" s="31" t="str"/>
      <x:c r="G70" s="31" t="str">
        <x:v>No</x:v>
      </x:c>
    </x:row>
    <x:row r="71" ht="15" hidden="0" customHeight="1">
      <x:c r="A71" s="31" t="str">
        <x:v>message60</x:v>
      </x:c>
      <x:c r="B71" s="31" t="str">
        <x:v>10.10.2025 11:57:06 UTC+03:30</x:v>
      </x:c>
      <x:c r="C71" s="31" t="str">
        <x:v>امین عزیزی</x:v>
      </x:c>
      <x:c r="D71" s="31" t="str">
        <x:v>اینو زدم</x:v>
      </x:c>
      <x:c r="E71" s="31" t="str">
        <x:v>#go_to_message59</x:v>
      </x:c>
      <x:c r="F71" s="31" t="str"/>
      <x:c r="G71" s="31" t="str">
        <x:v>No</x:v>
      </x:c>
    </x:row>
    <x:row r="72" ht="15" hidden="0" customHeight="1">
      <x:c r="A72" s="31" t="str">
        <x:v>message-11</x:v>
      </x:c>
      <x:c r="B72" s="31"/>
      <x:c r="C72" s="31" t="str">
        <x:v>امین عزیزی</x:v>
      </x:c>
      <x:c r="D72" s="31" t="str"/>
      <x:c r="E72" s="31" t="str"/>
      <x:c r="F72" s="31" t="str"/>
      <x:c r="G72" s="31" t="str">
        <x:v>No</x:v>
      </x:c>
    </x:row>
    <x:row r="73" ht="15" hidden="0" customHeight="1">
      <x:c r="A73" s="31" t="str">
        <x:v>message61</x:v>
      </x:c>
      <x:c r="B73" s="31" t="str">
        <x:v>12.10.2025 10:24:38 UTC+03:30</x:v>
      </x:c>
      <x:c r="C73" s="31" t="str">
        <x:v>Deleted Account</x:v>
      </x:c>
      <x:c r="D73" s="31" t="str">
        <x:v>پوستر نشست و کوانتا</x:v>
      </x:c>
      <x:c r="E73" s="31" t="str"/>
      <x:c r="F73" s="31" t="str">
        <x:v>telegram export/photos/photo_13@12-10-2025_10-24-38.jpg</x:v>
      </x:c>
      <x:c r="G73" s="31" t="str">
        <x:v>No</x:v>
      </x:c>
    </x:row>
    <x:row r="74" ht="15" hidden="0" customHeight="1">
      <x:c r="A74" s="31" t="str">
        <x:v>message-12</x:v>
      </x:c>
      <x:c r="B74" s="31"/>
      <x:c r="C74" s="31" t="str">
        <x:v>Deleted Account</x:v>
      </x:c>
      <x:c r="D74" s="31" t="str"/>
      <x:c r="E74" s="31" t="str"/>
      <x:c r="F74" s="31" t="str"/>
      <x:c r="G74" s="31" t="str">
        <x:v>No</x:v>
      </x:c>
    </x:row>
    <x:row r="75" ht="15" hidden="0" customHeight="1">
      <x:c r="A75" s="31" t="str">
        <x:v>message62</x:v>
      </x:c>
      <x:c r="B75" s="31" t="str">
        <x:v>15.10.2025 14:18:25 UTC+03:30</x:v>
      </x:c>
      <x:c r="C75" s="31" t="str">
        <x:v>Deleted Account</x:v>
      </x:c>
      <x:c r="D75" s="31" t="str">
        <x:v>شیرینی نشست عمومی مورخ 22مهرماه 2کیلو شیرینی خشک سویسی1کیلو پای آناناس</x:v>
      </x:c>
      <x:c r="E75" s="31" t="str"/>
      <x:c r="F75" s="31" t="str">
        <x:v>telegram export/photos/photo_14@15-10-2025_14-18-25.jpg</x:v>
      </x:c>
      <x:c r="G75" s="31" t="str">
        <x:v>No</x:v>
      </x:c>
    </x:row>
    <x:row r="76" ht="15" hidden="0" customHeight="1">
      <x:c r="A76" s="31" t="str">
        <x:v>message63</x:v>
      </x:c>
      <x:c r="B76" s="31" t="str">
        <x:v>15.10.2025 14:18:25 UTC+03:30</x:v>
      </x:c>
      <x:c r="C76" s="31" t="str">
        <x:v>Deleted Account</x:v>
      </x:c>
      <x:c r="D76" s="31" t="str">
        <x:v>واریزی دکتر مقیمی جهت شیرینی نشست مورخ 22مهرماه</x:v>
      </x:c>
      <x:c r="E76" s="31" t="str"/>
      <x:c r="F76" s="31" t="str">
        <x:v>telegram export/photos/photo_15@15-10-2025_14-18-25.jpg</x:v>
      </x:c>
      <x:c r="G76" s="31" t="str">
        <x:v>No</x:v>
      </x:c>
    </x:row>
    <x:row r="77" ht="15" hidden="0" customHeight="1">
      <x:c r="A77" s="31" t="str">
        <x:v>message64</x:v>
      </x:c>
      <x:c r="B77" s="31" t="str">
        <x:v>15.10.2025 14:18:26 UTC+03:30</x:v>
      </x:c>
      <x:c r="C77" s="31" t="str">
        <x:v>Deleted Account</x:v>
      </x:c>
      <x:c r="D77" s="31" t="str">
        <x:v>دو بسته لیوان پنجاه عددی سه بسته بیسکوئیت چهل عددییک بسته چایی 100عددیبرای انجمن چایی</x:v>
      </x:c>
      <x:c r="E77" s="31" t="str"/>
      <x:c r="F77" s="31" t="str">
        <x:v>telegram export/photos/photo_16@15-10-2025_14-18-26.jpg</x:v>
      </x:c>
      <x:c r="G77" s="31" t="str">
        <x:v>No</x:v>
      </x:c>
    </x:row>
    <x:row r="78" ht="15" hidden="0" customHeight="1">
      <x:c r="A78" s="31" t="str">
        <x:v>message65</x:v>
      </x:c>
      <x:c r="B78" s="31" t="str">
        <x:v>15.10.2025 14:18:26 UTC+03:30</x:v>
      </x:c>
      <x:c r="C78" s="31" t="str">
        <x:v>Deleted Account</x:v>
      </x:c>
      <x:c r="D78" s="31" t="str">
        <x:v>شیرینی پذیرایی جلسه انجمن چایی مورخ 20مهرماه</x:v>
      </x:c>
      <x:c r="E78" s="31" t="str"/>
      <x:c r="F78" s="31" t="str">
        <x:v>telegram export/photos/photo_17@15-10-2025_14-18-26.jpg</x:v>
      </x:c>
      <x:c r="G78" s="31" t="str">
        <x:v>No</x:v>
      </x:c>
    </x:row>
    <x:row r="79" ht="15" hidden="0" customHeight="1">
      <x:c r="A79" s="31" t="str">
        <x:v>message-13</x:v>
      </x:c>
      <x:c r="B79" s="31"/>
      <x:c r="C79" s="31" t="str">
        <x:v>Deleted Account</x:v>
      </x:c>
      <x:c r="D79" s="31" t="str"/>
      <x:c r="E79" s="31" t="str"/>
      <x:c r="F79" s="31" t="str"/>
      <x:c r="G79" s="31" t="str">
        <x:v>No</x:v>
      </x:c>
    </x:row>
    <x:row r="80" ht="24" hidden="0" customHeight="1">
      <x:c r="A80" s="31" t="str">
        <x:v>message66</x:v>
      </x:c>
      <x:c r="B80" s="31" t="str">
        <x:v>20.10.2025 13:05:39 UTC+03:30</x:v>
      </x:c>
      <x:c r="C80" s="31" t="str">
        <x:v>Deleted Account
Matin (Korosh) Ghassami 16.10.2025 14:43:56</x:v>
      </x:c>
      <x:c r="D80" s="31" t="str">
        <x:v>dk-file-2025-10-16-14-43-08.pdf</x:v>
      </x:c>
      <x:c r="E80" s="31" t="str"/>
      <x:c r="F80" s="31" t="str">
        <x:v>telegram export/files/dk-file-2025-10-16-14-43-08.pdf</x:v>
      </x:c>
      <x:c r="G80" s="31" t="str">
        <x:v>No</x:v>
      </x:c>
    </x:row>
    <x:row r="81" ht="24" hidden="0" customHeight="1">
      <x:c r="A81" s="31" t="str">
        <x:v>message-14</x:v>
      </x:c>
      <x:c r="B81" s="31"/>
      <x:c r="C81" s="31" t="str">
        <x:v>Deleted Account
Matin (Korosh) Ghassami 16.10.2025 14:43:56</x:v>
      </x:c>
      <x:c r="D81" s="31" t="str"/>
      <x:c r="E81" s="31" t="str"/>
      <x:c r="F81" s="31" t="str"/>
      <x:c r="G81" s="31" t="str">
        <x:v>No</x:v>
      </x:c>
    </x:row>
    <x:row r="82" ht="24" hidden="0" customHeight="1">
      <x:c r="A82" s="31" t="str">
        <x:v>message67</x:v>
      </x:c>
      <x:c r="B82" s="31" t="str">
        <x:v>28.10.2025 01:53:01 UTC+03:30</x:v>
      </x:c>
      <x:c r="C82" s="31" t="str">
        <x:v>Deleted Account
Mŏ̈bina  28.10.2025 00:13:04</x:v>
      </x:c>
      <x:c r="D82" s="31" t="str"/>
      <x:c r="E82" s="31" t="str"/>
      <x:c r="F82" s="31" t="str">
        <x:v>telegram export/photos/photo_18@28-10-2025_01-53-01.jpg</x:v>
      </x:c>
      <x:c r="G82" s="31" t="str">
        <x:v>No</x:v>
      </x:c>
    </x:row>
    <x:row r="83" ht="15" hidden="0" customHeight="1">
      <x:c r="A83" s="31" t="str">
        <x:v>message68</x:v>
      </x:c>
      <x:c r="B83" s="31" t="str">
        <x:v>28.10.2025 01:58:06 UTC+03:30</x:v>
      </x:c>
      <x:c r="C83" s="31" t="str">
        <x:v>Deleted Account</x:v>
      </x:c>
      <x:c r="D83" s="31" t="str">
        <x:v>بابت باتری دوربین فیلم برداری</x:v>
      </x:c>
      <x:c r="E83" s="31" t="str"/>
      <x:c r="F83" s="31" t="str"/>
      <x:c r="G83" s="31" t="str">
        <x:v>No</x:v>
      </x:c>
    </x:row>
    <x:row r="84" ht="15" hidden="0" customHeight="1">
      <x:c r="A84" s="31" t="str">
        <x:v>message69</x:v>
      </x:c>
      <x:c r="B84" s="31" t="str">
        <x:v>28.10.2025 01:58:07 UTC+03:30</x:v>
      </x:c>
      <x:c r="C84" s="31" t="str">
        <x:v>Deleted Account</x:v>
      </x:c>
      <x:c r="D84" s="31" t="str">
        <x:v>بابت باتری دوربین فیلم برداری</x:v>
      </x:c>
      <x:c r="E84" s="31" t="str"/>
      <x:c r="F84" s="31" t="str">
        <x:v>telegram export/photos/photo_19@28-10-2025_01-58-07.jpg</x:v>
      </x:c>
      <x:c r="G84" s="31" t="str">
        <x:v>No</x:v>
      </x:c>
    </x:row>
    <x:row r="85" ht="24" hidden="0" customHeight="1">
      <x:c r="A85" s="31" t="str">
        <x:v>message71</x:v>
      </x:c>
      <x:c r="B85" s="31" t="str">
        <x:v>28.10.2025 22:07:57 UTC+03:30</x:v>
      </x:c>
      <x:c r="C85" s="31" t="str">
        <x:v>Deleted Account
Mŏ̈bina  28.10.2025 10:19:30</x:v>
      </x:c>
      <x:c r="D85" s="31" t="str"/>
      <x:c r="E85" s="31" t="str"/>
      <x:c r="F85" s="31" t="str">
        <x:v>telegram export/photos/photo_20@28-10-2025_22-07-57.jpg</x:v>
      </x:c>
      <x:c r="G85" s="31" t="str">
        <x:v>No</x:v>
      </x:c>
    </x:row>
    <x:row r="86" ht="15" hidden="0" customHeight="1">
      <x:c r="A86" s="31" t="str">
        <x:v>message72</x:v>
      </x:c>
      <x:c r="B86" s="31" t="str">
        <x:v>28.10.2025 22:08:16 UTC+03:30</x:v>
      </x:c>
      <x:c r="C86" s="31" t="str">
        <x:v>Deleted Account</x:v>
      </x:c>
      <x:c r="D86" s="31" t="str">
        <x:v>دریافتی از انجمن پیشین</x:v>
      </x:c>
      <x:c r="E86" s="31" t="str">
        <x:v>#go_to_message71</x:v>
      </x:c>
      <x:c r="F86" s="31" t="str"/>
      <x:c r="G86" s="31" t="str">
        <x:v>No</x:v>
      </x:c>
    </x:row>
    <x:row r="87" ht="15" hidden="0" customHeight="1">
      <x:c r="A87" s="31" t="str">
        <x:v>message73</x:v>
      </x:c>
      <x:c r="B87" s="31" t="str">
        <x:v>28.10.2025 22:38:17 UTC+03:30</x:v>
      </x:c>
      <x:c r="C87" s="31" t="str">
        <x:v>امین عزیزی</x:v>
      </x:c>
      <x:c r="D87" s="31" t="str">
        <x:v>اینم دریافتی از انجمن سابقه؟</x:v>
      </x:c>
      <x:c r="E87" s="31" t="str">
        <x:v>#go_to_message67</x:v>
      </x:c>
      <x:c r="F87" s="31" t="str"/>
      <x:c r="G87" s="31" t="str">
        <x:v>No</x:v>
      </x:c>
    </x:row>
    <x:row r="88" ht="15" hidden="0" customHeight="1">
      <x:c r="A88" s="31" t="str">
        <x:v>message74</x:v>
      </x:c>
      <x:c r="B88" s="31" t="str">
        <x:v>28.10.2025 22:40:32 UTC+03:30</x:v>
      </x:c>
      <x:c r="C88" s="31" t="str">
        <x:v>Deleted Account</x:v>
      </x:c>
      <x:c r="D88" s="31" t="str">
        <x:v>درسته</x:v>
      </x:c>
      <x:c r="E88" s="31" t="str">
        <x:v>#go_to_message73</x:v>
      </x:c>
      <x:c r="F88" s="31" t="str"/>
      <x:c r="G88" s="31" t="str">
        <x:v>No</x:v>
      </x:c>
    </x:row>
    <x:row r="89" ht="15" hidden="0" customHeight="1">
      <x:c r="A89" s="31" t="str">
        <x:v>message75</x:v>
      </x:c>
      <x:c r="B89" s="31" t="str">
        <x:v>28.10.2025 22:40:35 UTC+03:30</x:v>
      </x:c>
      <x:c r="C89" s="31" t="str">
        <x:v>Deleted Account</x:v>
      </x:c>
      <x:c r="D89" s="31" t="str">
        <x:v>جمعا۱۱</x:v>
      </x:c>
      <x:c r="E89" s="31" t="str"/>
      <x:c r="F89" s="31" t="str"/>
      <x:c r="G89" s="31" t="str">
        <x:v>No</x:v>
      </x:c>
    </x:row>
    <x:row r="90" ht="15" hidden="0" customHeight="1">
      <x:c r="A90" s="31" t="str">
        <x:v>message76</x:v>
      </x:c>
      <x:c r="B90" s="31" t="str">
        <x:v>28.10.2025 22:47:57 UTC+03:30</x:v>
      </x:c>
      <x:c r="C90" s="31" t="str">
        <x:v>امین عزیزی</x:v>
      </x:c>
      <x:c r="D90" s="31" t="str">
        <x:v>حاجی ورودی پولمون از ۵۰ میلیون گذشت🔥</x:v>
      </x:c>
      <x:c r="E90" s="31" t="str"/>
      <x:c r="F90" s="31" t="str"/>
      <x:c r="G90" s="31" t="str">
        <x:v>No</x:v>
      </x:c>
    </x:row>
    <x:row r="91" ht="15" hidden="0" customHeight="1">
      <x:c r="A91" s="31" t="str">
        <x:v>message77</x:v>
      </x:c>
      <x:c r="B91" s="31" t="str">
        <x:v>28.10.2025 22:48:51 UTC+03:30</x:v>
      </x:c>
      <x:c r="C91" s="31" t="str">
        <x:v>Deleted Account</x:v>
      </x:c>
      <x:c r="D91" s="31" t="str">
        <x:v>بنازم</x:v>
      </x:c>
      <x:c r="E91" s="31" t="str"/>
      <x:c r="F91" s="31" t="str"/>
      <x:c r="G91" s="31" t="str">
        <x:v>No</x:v>
      </x:c>
    </x:row>
    <x:row r="92" ht="15" hidden="0" customHeight="1">
      <x:c r="A92" s="31" t="str">
        <x:v>message78</x:v>
      </x:c>
      <x:c r="B92" s="31" t="str">
        <x:v>28.10.2025 22:48:56 UTC+03:30</x:v>
      </x:c>
      <x:c r="C92" s="31" t="str">
        <x:v>Deleted Account</x:v>
      </x:c>
      <x:c r="D92" s="31" t="str">
        <x:v>صندوق چقدره</x:v>
      </x:c>
      <x:c r="E92" s="31" t="str"/>
      <x:c r="F92" s="31" t="str"/>
      <x:c r="G92" s="31" t="str">
        <x:v>No</x:v>
      </x:c>
    </x:row>
    <x:row r="93" ht="15" hidden="0" customHeight="1">
      <x:c r="A93" s="31" t="str">
        <x:v>message79</x:v>
      </x:c>
      <x:c r="B93" s="31" t="str">
        <x:v>28.10.2025 22:49:25 UTC+03:30</x:v>
      </x:c>
      <x:c r="C93" s="31" t="str">
        <x:v>Deleted Account</x:v>
      </x:c>
      <x:c r="D93" s="31" t="str">
        <x:v>یکلی فیش جدیده باید بشینم بزنم بعد بفرستم برات</x:v>
      </x:c>
      <x:c r="E93" s="31" t="str"/>
      <x:c r="F93" s="31" t="str"/>
      <x:c r="G93" s="31" t="str">
        <x:v>No</x:v>
      </x:c>
    </x:row>
    <x:row r="94" ht="15" hidden="0" customHeight="1">
      <x:c r="A94" s="31" t="str">
        <x:v>message80</x:v>
      </x:c>
      <x:c r="B94" s="31" t="str">
        <x:v>28.10.2025 22:49:48 UTC+03:30</x:v>
      </x:c>
      <x:c r="C94" s="31" t="str">
        <x:v>Deleted Account</x:v>
      </x:c>
      <x:c r="D94" s="31" t="str">
        <x:v>با جشن جمع شه و غرفه ببینیم چقدر مونده بزنیم به اساس</x:v>
      </x:c>
      <x:c r="E94" s="31" t="str"/>
      <x:c r="F94" s="31" t="str"/>
      <x:c r="G94" s="31" t="str">
        <x:v>No</x:v>
      </x:c>
    </x:row>
    <x:row r="95" ht="15" hidden="0" customHeight="1">
      <x:c r="A95" s="31" t="str">
        <x:v>message81</x:v>
      </x:c>
      <x:c r="B95" s="31" t="str">
        <x:v>28.10.2025 22:49:48 UTC+03:30</x:v>
      </x:c>
      <x:c r="C95" s="31" t="str">
        <x:v>امین عزیزی</x:v>
      </x:c>
      <x:c r="D95" s="31" t="str">
        <x:v>موجودیمون؟</x:v>
      </x:c>
      <x:c r="E95" s="31" t="str">
        <x:v>#go_to_message78</x:v>
      </x:c>
      <x:c r="F95" s="31" t="str"/>
      <x:c r="G95" s="31" t="str">
        <x:v>No</x:v>
      </x:c>
    </x:row>
    <x:row r="96" ht="15" hidden="0" customHeight="1">
      <x:c r="A96" s="31" t="str">
        <x:v>message82</x:v>
      </x:c>
      <x:c r="B96" s="31" t="str">
        <x:v>28.10.2025 22:49:57 UTC+03:30</x:v>
      </x:c>
      <x:c r="C96" s="31" t="str">
        <x:v>Deleted Account</x:v>
      </x:c>
      <x:c r="D96" s="31" t="str">
        <x:v>یپ</x:v>
      </x:c>
      <x:c r="E96" s="31" t="str">
        <x:v>#go_to_message81</x:v>
      </x:c>
      <x:c r="F96" s="31" t="str"/>
      <x:c r="G96" s="31" t="str">
        <x:v>No</x:v>
      </x:c>
    </x:row>
    <x:row r="97" ht="15" hidden="0" customHeight="1">
      <x:c r="A97" s="31" t="str">
        <x:v>message83</x:v>
      </x:c>
      <x:c r="B97" s="31" t="str">
        <x:v>28.10.2025 22:50:21 UTC+03:30</x:v>
      </x:c>
      <x:c r="C97" s="31" t="str">
        <x:v>امین عزیزی</x:v>
      </x:c>
      <x:c r="D97" s="31" t="str">
        <x:v>راستی ایمیل رو چک کردی؟مقیمی میخواست مطمئن بشه حساب درسته</x:v>
      </x:c>
      <x:c r="E97" s="31" t="str"/>
      <x:c r="F97" s="31" t="str"/>
      <x:c r="G97" s="31" t="str">
        <x:v>No</x:v>
      </x:c>
    </x:row>
    <x:row r="98" ht="15" hidden="0" customHeight="1">
      <x:c r="A98" s="31" t="str">
        <x:v>message84</x:v>
      </x:c>
      <x:c r="B98" s="31" t="str">
        <x:v>28.10.2025 22:50:34 UTC+03:30</x:v>
      </x:c>
      <x:c r="C98" s="31" t="str">
        <x:v>Deleted Account</x:v>
      </x:c>
      <x:c r="D98" s="31" t="str">
        <x:v>ایمیلا نمیان برا من</x:v>
      </x:c>
      <x:c r="E98" s="31" t="str">
        <x:v>#go_to_message83</x:v>
      </x:c>
      <x:c r="F98" s="31" t="str"/>
      <x:c r="G98" s="31" t="str">
        <x:v>No</x:v>
      </x:c>
    </x:row>
    <x:row r="99" ht="15" hidden="0" customHeight="1">
      <x:c r="A99" s="31" t="str">
        <x:v>message85</x:v>
      </x:c>
      <x:c r="B99" s="31" t="str">
        <x:v>28.10.2025 22:50:52 UTC+03:30</x:v>
      </x:c>
      <x:c r="C99" s="31" t="str">
        <x:v>امین عزیزی</x:v>
      </x:c>
      <x:c r="D99" s="31" t="str">
        <x:v>ایمیل انجمن رو نداری؟</x:v>
      </x:c>
      <x:c r="E99" s="31" t="str">
        <x:v>#go_to_message84</x:v>
      </x:c>
      <x:c r="F99" s="31" t="str"/>
      <x:c r="G99" s="31" t="str">
        <x:v>No</x:v>
      </x:c>
    </x:row>
    <x:row r="100" ht="15" hidden="0" customHeight="1">
      <x:c r="A100" s="31" t="str">
        <x:v>message86</x:v>
      </x:c>
      <x:c r="B100" s="31" t="str">
        <x:v>28.10.2025 22:51:00 UTC+03:30</x:v>
      </x:c>
      <x:c r="C100" s="31" t="str">
        <x:v>امین عزیزی</x:v>
      </x:c>
      <x:c r="D100" s="31" t="str">
        <x:v>۲۹۲۰۰</x:v>
      </x:c>
      <x:c r="E100" s="31" t="str">
        <x:v>#go_to_message82</x:v>
      </x:c>
      <x:c r="F100" s="31" t="str"/>
      <x:c r="G100" s="31" t="str">
        <x:v>No</x:v>
      </x:c>
    </x:row>
    <x:row r="101" ht="15" hidden="0" customHeight="1">
      <x:c r="A101" s="31" t="str">
        <x:v>message87</x:v>
      </x:c>
      <x:c r="B101" s="31" t="str">
        <x:v>28.10.2025 22:57:09 UTC+03:30</x:v>
      </x:c>
      <x:c r="C101" s="31" t="str">
        <x:v>Deleted Account</x:v>
      </x:c>
      <x:c r="D101" s="31" t="str">
        <x:v>دارم نمیاد ولیبرا ابی می‌ره ولی روی هیچ دیوایسی از من لاگ نمیندازه</x:v>
      </x:c>
      <x:c r="E101" s="31" t="str">
        <x:v>#go_to_message85</x:v>
      </x:c>
      <x:c r="F101" s="31" t="str"/>
      <x:c r="G101" s="31" t="str">
        <x:v>No</x:v>
      </x:c>
    </x:row>
    <x:row r="102" ht="15" hidden="0" customHeight="1">
      <x:c r="A102" s="31" t="str">
        <x:v>message-15</x:v>
      </x:c>
      <x:c r="B102" s="31"/>
      <x:c r="C102" s="31" t="str">
        <x:v>Deleted Account</x:v>
      </x:c>
      <x:c r="D102" s="31" t="str"/>
      <x:c r="E102" s="31" t="str"/>
      <x:c r="F102" s="31" t="str"/>
      <x:c r="G102" s="31" t="str">
        <x:v>No</x:v>
      </x:c>
    </x:row>
    <x:row r="103" ht="15" hidden="0" customHeight="1">
      <x:c r="A103" s="31" t="str">
        <x:v>message88</x:v>
      </x:c>
      <x:c r="B103" s="31" t="str">
        <x:v>09.11.2025 23:15:44 UTC+03:30</x:v>
      </x:c>
      <x:c r="C103" s="31" t="str">
        <x:v>Deleted Account</x:v>
      </x:c>
      <x:c r="D103" s="31" t="str">
        <x:v>امین سلام خوبیاز اردوان بپرس برای جشنچقدر خرج کرده</x:v>
      </x:c>
      <x:c r="E103" s="31" t="str">
        <x:v>#go_to_message86</x:v>
      </x:c>
      <x:c r="F103" s="31" t="str"/>
      <x:c r="G103" s="31" t="str">
        <x:v>No</x:v>
      </x:c>
    </x:row>
    <x:row r="104" ht="15" hidden="0" customHeight="1">
      <x:c r="A104" s="31" t="str">
        <x:v>message89</x:v>
      </x:c>
      <x:c r="B104" s="31" t="str">
        <x:v>09.11.2025 23:15:53 UTC+03:30</x:v>
      </x:c>
      <x:c r="C104" s="31" t="str">
        <x:v>Deleted Account</x:v>
      </x:c>
      <x:c r="D104" s="31" t="str">
        <x:v>دوتا فاکتور هست نمی‌دونم کدوم مال اونه</x:v>
      </x:c>
      <x:c r="E104" s="31" t="str"/>
      <x:c r="F104" s="31" t="str"/>
      <x:c r="G104" s="31" t="str">
        <x:v>No</x:v>
      </x:c>
    </x:row>
    <x:row r="105" ht="15" hidden="0" customHeight="1">
      <x:c r="A105" s="31" t="str">
        <x:v>message90</x:v>
      </x:c>
      <x:c r="B105" s="31" t="str">
        <x:v>09.11.2025 23:16:09 UTC+03:30</x:v>
      </x:c>
      <x:c r="C105" s="31" t="str">
        <x:v>Deleted Account</x:v>
      </x:c>
      <x:c r="D105" s="31" t="str"/>
      <x:c r="E105" s="31" t="str"/>
      <x:c r="F105" s="31" t="str">
        <x:v>telegram export/photos/photo_21@09-11-2025_23-16-09.jpg</x:v>
      </x:c>
      <x:c r="G105" s="31" t="str">
        <x:v>No</x:v>
      </x:c>
    </x:row>
    <x:row r="106" ht="15" hidden="0" customHeight="1">
      <x:c r="A106" s="31" t="str">
        <x:v>message91</x:v>
      </x:c>
      <x:c r="B106" s="31" t="str">
        <x:v>09.11.2025 23:16:15 UTC+03:30</x:v>
      </x:c>
      <x:c r="C106" s="31" t="str">
        <x:v>Deleted Account</x:v>
      </x:c>
      <x:c r="D106" s="31" t="str"/>
      <x:c r="E106" s="31" t="str"/>
      <x:c r="F106" s="31" t="str">
        <x:v>telegram export/photos/photo_22@09-11-2025_23-16-15.jpg</x:v>
      </x:c>
      <x:c r="G106" s="31" t="str">
        <x:v>No</x:v>
      </x:c>
    </x:row>
    <x:row r="107" ht="15" hidden="0" customHeight="1">
      <x:c r="A107" s="31" t="str">
        <x:v>message92</x:v>
      </x:c>
      <x:c r="B107" s="31" t="str">
        <x:v>09.11.2025 23:46:02 UTC+03:30</x:v>
      </x:c>
      <x:c r="C107" s="31" t="str">
        <x:v>امین عزیزی</x:v>
      </x:c>
      <x:c r="D107" s="31" t="str">
        <x:v>سلام قربونتحللله</x:v>
      </x:c>
      <x:c r="E107" s="31" t="str">
        <x:v>#go_to_message88</x:v>
      </x:c>
      <x:c r="F107" s="31" t="str"/>
      <x:c r="G107" s="31" t="str">
        <x:v>No</x:v>
      </x:c>
    </x:row>
    <x:row r="108" ht="15" hidden="0" customHeight="1">
      <x:c r="A108" s="31" t="str">
        <x:v>message-16</x:v>
      </x:c>
      <x:c r="B108" s="31"/>
      <x:c r="C108" s="31" t="str">
        <x:v>امین عزیزی</x:v>
      </x:c>
      <x:c r="D108" s="31" t="str"/>
      <x:c r="E108" s="31" t="str"/>
      <x:c r="F108" s="31" t="str"/>
      <x:c r="G108" s="31" t="str">
        <x:v>No</x:v>
      </x:c>
    </x:row>
    <x:row r="109" ht="15" hidden="0" customHeight="1">
      <x:c r="A109" s="31" t="str">
        <x:v>message93</x:v>
      </x:c>
      <x:c r="B109" s="31" t="str">
        <x:v>12.11.2025 06:40:12 UTC+03:30</x:v>
      </x:c>
      <x:c r="C109" s="31" t="str">
        <x:v>Deleted Account</x:v>
      </x:c>
      <x:c r="D109" s="31" t="str">
        <x:v>امین نازنین صبحت بخیر</x:v>
      </x:c>
      <x:c r="E109" s="31" t="str">
        <x:v>#go_to_message92</x:v>
      </x:c>
      <x:c r="F109" s="31" t="str"/>
      <x:c r="G109" s="31" t="str">
        <x:v>No</x:v>
      </x:c>
    </x:row>
    <x:row r="110" ht="15" hidden="0" customHeight="1">
      <x:c r="A110" s="31" t="str">
        <x:v>message94</x:v>
      </x:c>
      <x:c r="B110" s="31" t="str">
        <x:v>12.11.2025 06:40:16 UTC+03:30</x:v>
      </x:c>
      <x:c r="C110" s="31" t="str">
        <x:v>Deleted Account</x:v>
      </x:c>
      <x:c r="D110" s="31" t="str">
        <x:v>این رو امروز خبر بده</x:v>
      </x:c>
      <x:c r="E110" s="31" t="str"/>
      <x:c r="F110" s="31" t="str"/>
      <x:c r="G110" s="31" t="str">
        <x:v>No</x:v>
      </x:c>
    </x:row>
    <x:row r="111" ht="15" hidden="0" customHeight="1">
      <x:c r="A111" s="31" t="str">
        <x:v>message95</x:v>
      </x:c>
      <x:c r="B111" s="31" t="str">
        <x:v>12.11.2025 06:40:22 UTC+03:30</x:v>
      </x:c>
      <x:c r="C111" s="31" t="str">
        <x:v>Deleted Account</x:v>
      </x:c>
      <x:c r="D111" s="31" t="str">
        <x:v>شماره کارت راحله هم بگیر</x:v>
      </x:c>
      <x:c r="E111" s="31" t="str"/>
      <x:c r="F111" s="31" t="str"/>
      <x:c r="G111" s="31" t="str">
        <x:v>No</x:v>
      </x:c>
    </x:row>
    <x:row r="112" ht="15" hidden="0" customHeight="1">
      <x:c r="A112" s="31" t="str">
        <x:v>message96</x:v>
      </x:c>
      <x:c r="B112" s="31" t="str">
        <x:v>12.11.2025 21:51:55 UTC+03:30</x:v>
      </x:c>
      <x:c r="C112" s="31" t="str">
        <x:v>امین عزیزی</x:v>
      </x:c>
      <x:c r="D112" s="31" t="str">
        <x:v>۱۲۰ داده اردوان</x:v>
      </x:c>
      <x:c r="E112" s="31" t="str">
        <x:v>#go_to_message94</x:v>
      </x:c>
      <x:c r="F112" s="31" t="str"/>
      <x:c r="G112" s="31" t="str">
        <x:v>No</x:v>
      </x:c>
    </x:row>
    <x:row r="113" ht="15" hidden="0" customHeight="1">
      <x:c r="A113" s="31" t="str">
        <x:v>message97</x:v>
      </x:c>
      <x:c r="B113" s="31" t="str">
        <x:v>12.11.2025 22:46:41 UTC+03:30</x:v>
      </x:c>
      <x:c r="C113" s="31" t="str">
        <x:v>امین عزیزی</x:v>
      </x:c>
      <x:c r="D113" s="31" t="str">
        <x:v>5892101714531544</x:v>
      </x:c>
      <x:c r="E113" s="31" t="str">
        <x:v>#go_to_message95</x:v>
      </x:c>
      <x:c r="F113" s="31" t="str"/>
      <x:c r="G113" s="31" t="str">
        <x:v>No</x:v>
      </x:c>
    </x:row>
    <x:row r="114" ht="15" hidden="0" customHeight="1">
      <x:c r="A114" s="31" t="str">
        <x:v>message98</x:v>
      </x:c>
      <x:c r="B114" s="31" t="str">
        <x:v>12.11.2025 22:46:51 UTC+03:30</x:v>
      </x:c>
      <x:c r="C114" s="31" t="str">
        <x:v>امین عزیزی</x:v>
      </x:c>
      <x:c r="D114" s="31" t="str">
        <x:v>هروقت زدی لایو فیش بفرست</x:v>
      </x:c>
      <x:c r="E114" s="31" t="str"/>
      <x:c r="F114" s="31" t="str"/>
      <x:c r="G114" s="31" t="str">
        <x:v>No</x:v>
      </x:c>
    </x:row>
    <x:row r="115" ht="15" hidden="0" customHeight="1">
      <x:c r="A115" s="31" t="str">
        <x:v>message-17</x:v>
      </x:c>
      <x:c r="B115" s="31"/>
      <x:c r="C115" s="31" t="str">
        <x:v>امین عزیزی</x:v>
      </x:c>
      <x:c r="D115" s="31" t="str"/>
      <x:c r="E115" s="31" t="str"/>
      <x:c r="F115" s="31" t="str"/>
      <x:c r="G115" s="31" t="str">
        <x:v>No</x:v>
      </x:c>
    </x:row>
    <x:row r="116" ht="15" hidden="0" customHeight="1">
      <x:c r="A116" s="31" t="str">
        <x:v>message99</x:v>
      </x:c>
      <x:c r="B116" s="31" t="str">
        <x:v>14.11.2025 04:07:19 UTC+03:30</x:v>
      </x:c>
      <x:c r="C116" s="31" t="str">
        <x:v>Deleted Account</x:v>
      </x:c>
      <x:c r="D116" s="31" t="str">
        <x:v>واریزی هزینه چسب بادکنک جشن ورودی</x:v>
      </x:c>
      <x:c r="E116" s="31" t="str"/>
      <x:c r="F116" s="31" t="str">
        <x:v>telegram export/photos/photo_23@14-11-2025_04-07-19.jpg</x:v>
      </x:c>
      <x:c r="G116" s="31" t="str">
        <x:v>No</x:v>
      </x:c>
    </x:row>
    <x:row r="117" ht="15" hidden="0" customHeight="1">
      <x:c r="A117" s="31" t="str">
        <x:v>message100</x:v>
      </x:c>
      <x:c r="B117" s="31" t="str">
        <x:v>14.11.2025 04:07:19 UTC+03:30</x:v>
      </x:c>
      <x:c r="C117" s="31" t="str">
        <x:v>Deleted Account</x:v>
      </x:c>
      <x:c r="D117" s="31" t="str">
        <x:v>واریزی جهت خرید لوازم تزئینات جشن ورودی 1404</x:v>
      </x:c>
      <x:c r="E117" s="31" t="str"/>
      <x:c r="F117" s="31" t="str">
        <x:v>telegram export/photos/photo_24@14-11-2025_04-07-19.jpg</x:v>
      </x:c>
      <x:c r="G117" s="31" t="str">
        <x:v>No</x:v>
      </x:c>
    </x:row>
    <x:row r="118" ht="15" hidden="0" customHeight="1">
      <x:c r="A118" s="31" t="str">
        <x:v>message-18</x:v>
      </x:c>
      <x:c r="B118" s="31"/>
      <x:c r="C118" s="31" t="str">
        <x:v>Deleted Account</x:v>
      </x:c>
      <x:c r="D118" s="31" t="str"/>
      <x:c r="E118" s="31" t="str"/>
      <x:c r="F118" s="31" t="str"/>
      <x:c r="G118" s="31" t="str">
        <x:v>No</x:v>
      </x:c>
    </x:row>
    <x:row r="119" ht="15" hidden="0" customHeight="1">
      <x:c r="A119" s="31" t="str">
        <x:v>message101</x:v>
      </x:c>
      <x:c r="B119" s="31" t="str">
        <x:v>19.11.2025 11:46:31 UTC+03:30</x:v>
      </x:c>
      <x:c r="C119" s="31" t="str">
        <x:v>Deleted Account</x:v>
      </x:c>
      <x:c r="D119" s="31" t="str">
        <x:v>واریزی دکتر مقیمی جهت هزینه های جاری انجمن</x:v>
      </x:c>
      <x:c r="E119" s="31" t="str"/>
      <x:c r="F119" s="31" t="str"/>
      <x:c r="G119" s="31" t="str">
        <x:v>No</x:v>
      </x:c>
    </x:row>
    <x:row r="120" ht="24" hidden="0" customHeight="1">
      <x:c r="A120" s="31" t="str">
        <x:v>message102</x:v>
      </x:c>
      <x:c r="B120" s="31" t="str">
        <x:v>19.11.2025 11:46:31 UTC+03:30</x:v>
      </x:c>
      <x:c r="C120" s="31" t="str">
        <x:v>Deleted Account
Saman Moghimi 19.11.2025 11:44:07</x:v>
      </x:c>
      <x:c r="D120" s="31" t="str"/>
      <x:c r="E120" s="31" t="str"/>
      <x:c r="F120" s="31" t="str">
        <x:v>telegram export/photos/photo_25@19-11-2025_11-46-31.jpg</x:v>
      </x:c>
      <x:c r="G120" s="31" t="str">
        <x:v>No</x:v>
      </x:c>
    </x:row>
    <x:row r="121" ht="15" hidden="0" customHeight="1">
      <x:c r="A121" s="31" t="str">
        <x:v>message103</x:v>
      </x:c>
      <x:c r="B121" s="31" t="str">
        <x:v>19.11.2025 11:46:31 UTC+03:30</x:v>
      </x:c>
      <x:c r="C121" s="31" t="str">
        <x:v>Saman Moghimi 19.11.2025 11:44:07</x:v>
      </x:c>
      <x:c r="D121" s="31" t="str">
        <x:v>این فعلا ده میلیون.</x:v>
      </x:c>
      <x:c r="E121" s="31" t="str"/>
      <x:c r="F121" s="31" t="str"/>
      <x:c r="G121" s="31" t="str">
        <x:v>No</x:v>
      </x:c>
    </x:row>
    <x:row r="122" ht="15" hidden="0" customHeight="1">
      <x:c r="A122" s="31" t="str">
        <x:v>message-19</x:v>
      </x:c>
      <x:c r="B122" s="31"/>
      <x:c r="C122" s="31" t="str">
        <x:v>Saman Moghimi 19.11.2025 11:44:07</x:v>
      </x:c>
      <x:c r="D122" s="31" t="str"/>
      <x:c r="E122" s="31" t="str"/>
      <x:c r="F122" s="31" t="str"/>
      <x:c r="G122" s="31" t="str">
        <x:v>No</x:v>
      </x:c>
    </x:row>
    <x:row r="123" ht="15" hidden="0" customHeight="1">
      <x:c r="A123" s="31" t="str">
        <x:v>message105</x:v>
      </x:c>
      <x:c r="B123" s="31" t="str">
        <x:v>21.11.2025 13:25:18 UTC+03:30</x:v>
      </x:c>
      <x:c r="C123" s="31" t="str">
        <x:v>Deleted Account</x:v>
      </x:c>
      <x:c r="D123" s="31" t="str">
        <x:v>1404/07/22  10:40:31  -10,523,750  شیرینی جلسه دیدار با اساتید- انجمن</x:v>
      </x:c>
      <x:c r="E123" s="31" t="str"/>
      <x:c r="F123" s="31" t="str"/>
      <x:c r="G123" s="31" t="str">
        <x:v>No</x:v>
      </x:c>
    </x:row>
    <x:row r="124" ht="15" hidden="0" customHeight="1">
      <x:c r="A124" s="31" t="str">
        <x:v>message106</x:v>
      </x:c>
      <x:c r="B124" s="31" t="str">
        <x:v>21.11.2025 13:25:31 UTC+03:30</x:v>
      </x:c>
      <x:c r="C124" s="31" t="str">
        <x:v>Deleted Account</x:v>
      </x:c>
      <x:c r="D124" s="31" t="str">
        <x:v>1404/08/03  16:36:35  -700,000  دستمال - انجمن</x:v>
      </x:c>
      <x:c r="E124" s="31" t="str"/>
      <x:c r="F124" s="31" t="str"/>
      <x:c r="G124" s="31" t="str">
        <x:v>No</x:v>
      </x:c>
    </x:row>
    <x:row r="125" ht="24" hidden="0" customHeight="1">
      <x:c r="A125" s="31" t="str">
        <x:v>message107</x:v>
      </x:c>
      <x:c r="B125" s="31" t="str">
        <x:v>21.11.2025 13:25:42 UTC+03:30</x:v>
      </x:c>
      <x:c r="C125" s="31" t="str">
        <x:v>Deleted Account</x:v>
      </x:c>
      <x:c r="D125" s="31" t="str">
        <x:v>1404/08/07  15:18:06  -14,440,000  خرید جایزه جشن -  انجمن -دفترچه خودکار و..1404/08/07  15:23:42  -15,000,000  خرید جایزه جشن -  انجمن -هندزفری و ...1404/08/07  15:32:21  -14,000,000  خرید جایزه جشن -  انجمن - دستبند فرفره و...</x:v>
      </x:c>
      <x:c r="E125" s="31" t="str"/>
      <x:c r="F125" s="31" t="str"/>
      <x:c r="G125" s="31" t="str">
        <x:v>No</x:v>
      </x:c>
    </x:row>
    <x:row r="126" ht="24" hidden="0" customHeight="1">
      <x:c r="A126" s="31" t="str">
        <x:v>message108</x:v>
      </x:c>
      <x:c r="B126" s="31" t="str">
        <x:v>21.11.2025 13:25:55 UTC+03:30</x:v>
      </x:c>
      <x:c r="C126" s="31" t="str">
        <x:v>Deleted Account</x:v>
      </x:c>
      <x:c r="D126" s="31" t="str">
        <x:v>1404/08/05  12:16:49  -3,100,000  خرید اتصالات پروژکتور - انجمن 1404/08/05  12:24:15  -17,600,000  خرید حفاظ برق و ابزار جهت اتصال پروژکتور غرفه ها  - انجمن1404/08/05  13:13:11  -2,300,000  پذیرایی غرفه -انجمن</x:v>
      </x:c>
      <x:c r="E126" s="31" t="str"/>
      <x:c r="F126" s="31" t="str"/>
      <x:c r="G126" s="31" t="str">
        <x:v>No</x:v>
      </x:c>
    </x:row>
    <x:row r="127" ht="15" hidden="0" customHeight="1">
      <x:c r="A127" s="31" t="str">
        <x:v>message109</x:v>
      </x:c>
      <x:c r="B127" s="31" t="str">
        <x:v>21.11.2025 13:26:09 UTC+03:30</x:v>
      </x:c>
      <x:c r="C127" s="31" t="str">
        <x:v>Deleted Account</x:v>
      </x:c>
      <x:c r="D127" s="31" t="str">
        <x:v>1404/08/28  6:49:28  -12,261,000  دارو برای کمک اولیه - انجمن</x:v>
      </x:c>
      <x:c r="E127" s="31" t="str"/>
      <x:c r="F127" s="31" t="str"/>
      <x:c r="G127" s="31" t="str">
        <x:v>No</x:v>
      </x:c>
    </x:row>
    <x:row r="128" ht="15" hidden="0" customHeight="1">
      <x:c r="A128" s="31" t="str">
        <x:v>message110</x:v>
      </x:c>
      <x:c r="B128" s="31" t="str">
        <x:v>21.11.2025 13:26:19 UTC+03:30</x:v>
      </x:c>
      <x:c r="C128" s="31" t="str">
        <x:v>Deleted Account</x:v>
      </x:c>
      <x:c r="D128" s="31" t="str">
        <x:v>1404/08/28  12:55:53  -23,000  چاپ قوانین - انجمن1404/08/28  12:55:53  -13,000  چاپ قوانین - انجمن</x:v>
      </x:c>
      <x:c r="E128" s="31" t="str"/>
      <x:c r="F128" s="31" t="str"/>
      <x:c r="G128" s="31" t="str">
        <x:v>No</x:v>
      </x:c>
    </x:row>
    <x:row r="129" ht="15" hidden="0" customHeight="1">
      <x:c r="A129" s="31" t="str">
        <x:v>message111</x:v>
      </x:c>
      <x:c r="B129" s="31" t="str">
        <x:v>21.11.2025 13:33:16 UTC+03:30</x:v>
      </x:c>
      <x:c r="C129" s="31" t="str">
        <x:v>Deleted Account</x:v>
      </x:c>
      <x:c r="D129" s="31" t="str">
        <x:v>300000 تومن هم پول نقد شاباش جشن</x:v>
      </x:c>
      <x:c r="E129" s="31" t="str"/>
      <x:c r="F129" s="31" t="str"/>
      <x:c r="G129" s="31" t="str">
        <x:v>No</x:v>
      </x:c>
    </x:row>
    <x:row r="130" ht="15" hidden="0" customHeight="1">
      <x:c r="A130" s="31" t="str">
        <x:v>message-20</x:v>
      </x:c>
      <x:c r="B130" s="31"/>
      <x:c r="C130" s="31" t="str">
        <x:v>Deleted Account</x:v>
      </x:c>
      <x:c r="D130" s="31" t="str"/>
      <x:c r="E130" s="31" t="str"/>
      <x:c r="F130" s="31" t="str"/>
      <x:c r="G130" s="31" t="str">
        <x:v>No</x:v>
      </x:c>
    </x:row>
    <x:row r="131" ht="15" hidden="0" customHeight="1">
      <x:c r="A131" s="31" t="str">
        <x:v>message112</x:v>
      </x:c>
      <x:c r="B131" s="31" t="str">
        <x:v>21.12.2025 05:36:21 UTC+03:30</x:v>
      </x:c>
      <x:c r="C131" s="31" t="str">
        <x:v>Deleted Account</x:v>
      </x:c>
      <x:c r="D131" s="31" t="str"/>
      <x:c r="E131" s="31" t="str"/>
      <x:c r="F131" s="31" t="str">
        <x:v>telegram export/photos/photo_26@21-12-2025_05-36-21.jpg</x:v>
      </x:c>
      <x:c r="G131" s="31" t="str">
        <x:v>No</x:v>
      </x:c>
    </x:row>
    <x:row r="132" ht="15" hidden="0" customHeight="1">
      <x:c r="A132" s="31" t="str">
        <x:v>message113</x:v>
      </x:c>
      <x:c r="B132" s="31" t="str">
        <x:v>21.12.2025 08:29:22 UTC+03:30</x:v>
      </x:c>
      <x:c r="C132" s="31" t="str">
        <x:v>امین عزیزی</x:v>
      </x:c>
      <x:c r="D132" s="31" t="str">
        <x:v>حاجی چقدر پول داره مقیمی😂</x:v>
      </x:c>
      <x:c r="E132" s="31" t="str"/>
      <x:c r="F132" s="31" t="str"/>
      <x:c r="G132" s="31" t="str">
        <x:v>No</x:v>
      </x:c>
    </x:row>
    <x:row r="133" ht="15" hidden="0" customHeight="1">
      <x:c r="A133" s="31" t="str">
        <x:v>message-21</x:v>
      </x:c>
      <x:c r="B133" s="31"/>
      <x:c r="C133" s="31" t="str">
        <x:v>امین عزیزی</x:v>
      </x:c>
      <x:c r="D133" s="31" t="str"/>
      <x:c r="E133" s="31" t="str"/>
      <x:c r="F133" s="31" t="str"/>
      <x:c r="G133" s="31" t="str">
        <x:v>No</x:v>
      </x:c>
    </x:row>
    <x:row r="134" ht="15" hidden="0" customHeight="1">
      <x:c r="A134" s="31" t="str">
        <x:v>message114</x:v>
      </x:c>
      <x:c r="B134" s="31" t="str">
        <x:v>16.02.2026 15:48:21 UTC+03:30</x:v>
      </x:c>
      <x:c r="C134" s="31" t="str">
        <x:v>Deleted Account</x:v>
      </x:c>
      <x:c r="D134" s="31" t="str">
        <x:v>امین برای یلدا اینا رو جزو ورودی ها بزن</x:v>
      </x:c>
      <x:c r="E134" s="31" t="str"/>
      <x:c r="F134" s="31" t="str"/>
      <x:c r="G134" s="31" t="str">
        <x:v>No</x:v>
      </x:c>
    </x:row>
    <x:row r="135" ht="24" hidden="0" customHeight="1">
      <x:c r="A135" s="31" t="str">
        <x:v>message115</x:v>
      </x:c>
      <x:c r="B135" s="31" t="str">
        <x:v>16.02.2026 15:49:32 UTC+03:30</x:v>
      </x:c>
      <x:c r="C135" s="31" t="str">
        <x:v>Deleted Account</x:v>
      </x:c>
      <x:c r="D135" s="31" t="str">
        <x:v>بانک سپهواريز:1,500,000ريالحساب:3001254062925مانده:130,982,85110/1-10:11بانک سپهبرداشت:100,037,800حساب : 3001254062925 مانده:30,945,05110/1-10:29بانک سپهواريز:5,000,000ريالحساب:3001254062925مانده:47,945,05110/1-14:29بانک سپهواريز:10,000,000ريالحساب:3001254062925مانده:33,652,25210/2-7:40</x:v>
      </x:c>
      <x:c r="E135" s="31" t="str"/>
      <x:c r="F135" s="31" t="str"/>
      <x:c r="G135" s="31" t="str">
        <x:v>No</x:v>
      </x:c>
    </x:row>
    <x:row r="136" ht="15" hidden="0" customHeight="1">
      <x:c r="A136" s="31" t="str">
        <x:v>message116</x:v>
      </x:c>
      <x:c r="B136" s="31" t="str">
        <x:v>16.02.2026 15:50:28 UTC+03:30</x:v>
      </x:c>
      <x:c r="C136" s="31" t="str">
        <x:v>Deleted Account</x:v>
      </x:c>
      <x:c r="D136" s="31" t="str">
        <x:v>یکم گیج کننده شدولی جمعا 15,790,000 واریزی نقدی بودهو 700,000 وجه نقد</x:v>
      </x:c>
      <x:c r="E136" s="31" t="str"/>
      <x:c r="F136" s="31" t="str"/>
      <x:c r="G136" s="31" t="str">
        <x:v>No</x:v>
      </x:c>
    </x:row>
    <x:row r="137" ht="15" hidden="0" customHeight="1">
      <x:c r="A137" s="31" t="str">
        <x:v>message117</x:v>
      </x:c>
      <x:c r="B137" s="31" t="str">
        <x:v>16.02.2026 15:50:53 UTC+03:30</x:v>
      </x:c>
      <x:c r="C137" s="31" t="str">
        <x:v>Deleted Account</x:v>
      </x:c>
      <x:c r="D137" s="31" t="str">
        <x:v>تا بعد رسیدم تهران فاکتور هارو مرتب کنم بدم بهت</x:v>
      </x:c>
      <x:c r="E137" s="31" t="str"/>
      <x:c r="F137" s="31" t="str"/>
      <x:c r="G137" s="31" t="str">
        <x:v>No</x:v>
      </x:c>
    </x:row>
    <x:row r="138" ht="15" hidden="0" customHeight="1">
      <x:c r="A138" s="31" t="str">
        <x:v>message-22</x:v>
      </x:c>
      <x:c r="B138" s="31"/>
      <x:c r="C138" s="31" t="str">
        <x:v>Deleted Account</x:v>
      </x:c>
      <x:c r="D138" s="31" t="str"/>
      <x:c r="E138" s="31" t="str"/>
      <x:c r="F138" s="31" t="str"/>
      <x:c r="G138" s="31" t="str">
        <x:v>No</x:v>
      </x:c>
    </x:row>
    <x:row r="139" ht="15" hidden="0" customHeight="1">
      <x:c r="A139" s="31" t="str">
        <x:v>message118</x:v>
      </x:c>
      <x:c r="B139" s="31" t="str">
        <x:v>19.02.2026 10:32:24 UTC+03:30</x:v>
      </x:c>
      <x:c r="C139" s="31" t="str">
        <x:v>امین عزیزی</x:v>
      </x:c>
      <x:c r="D139" s="31" t="str">
        <x:v>حسن اینو رو ورودی بزنم؟زده برداشتاین اصلا هست جزوشون یا نه؟</x:v>
      </x:c>
      <x:c r="E139" s="31" t="str">
        <x:v>#go_to_message115</x:v>
      </x:c>
      <x:c r="F139" s="31" t="str"/>
      <x:c r="G139" s="31" t="str">
        <x:v>No</x:v>
      </x:c>
    </x:row>
    <x:row r="140" ht="15" hidden="0" customHeight="1">
      <x:c r="A140" s="31" t="str">
        <x:v>message119</x:v>
      </x:c>
      <x:c r="B140" s="31" t="str">
        <x:v>19.02.2026 10:35:49 UTC+03:30</x:v>
      </x:c>
      <x:c r="C140" s="31" t="str">
        <x:v>امین عزیزی</x:v>
      </x:c>
      <x:c r="D140" s="31" t="str">
        <x:v>خرج جشن رو هم بگو لطفا</x:v>
      </x:c>
      <x:c r="E140" s="31" t="str"/>
      <x:c r="F140" s="31" t="str"/>
      <x:c r="G140" s="31" t="str">
        <x:v>No</x:v>
      </x:c>
    </x:row>
    <x:row r="141" ht="15" hidden="0" customHeight="1">
      <x:c r="A141" s="31" t="str">
        <x:v>message-23</x:v>
      </x:c>
      <x:c r="B141" s="31"/>
      <x:c r="C141" s="31" t="str">
        <x:v>امین عزیزی</x:v>
      </x:c>
      <x:c r="D141" s="31" t="str"/>
      <x:c r="E141" s="31" t="str"/>
      <x:c r="F141" s="31" t="str"/>
      <x:c r="G141" s="31" t="str">
        <x:v>No</x:v>
      </x:c>
    </x:row>
    <x:row r="142" ht="15" hidden="0" customHeight="1">
      <x:c r="A142" s="31" t="str">
        <x:v>message120</x:v>
      </x:c>
      <x:c r="B142" s="31" t="str">
        <x:v>21.02.2026 02:53:32 UTC+03:30</x:v>
      </x:c>
      <x:c r="C142" s="31" t="str">
        <x:v>Deleted Account</x:v>
      </x:c>
      <x:c r="D142" s="31" t="str">
        <x:v>این برداشت برای کارت به کارت هزینه‌ها بودهصرفا گذاشتم که با بقیه واریزی ها جمع بزنی</x:v>
      </x:c>
      <x:c r="E142" s="31" t="str">
        <x:v>#go_to_message118</x:v>
      </x:c>
      <x:c r="F142" s="31" t="str"/>
      <x:c r="G142" s="31" t="str">
        <x:v>No</x:v>
      </x:c>
    </x:row>
    <x:row r="143" ht="15" hidden="0" customHeight="1">
      <x:c r="A143" s="31" t="str">
        <x:v>message121</x:v>
      </x:c>
      <x:c r="B143" s="31" t="str">
        <x:v>21.02.2026 02:54:33 UTC+03:30</x:v>
      </x:c>
      <x:c r="C143" s="31" t="str">
        <x:v>Deleted Account</x:v>
      </x:c>
      <x:c r="D143" s="31" t="str">
        <x:v>ولی عدد ورودی کل از منبع کمک مالی جمعی ،برابر جمع این دوتا میشه</x:v>
      </x:c>
      <x:c r="E143" s="31" t="str">
        <x:v>#go_to_message116</x:v>
      </x:c>
      <x:c r="F143" s="31" t="str"/>
      <x:c r="G143" s="31" t="str">
        <x:v>No</x:v>
      </x:c>
    </x:row>
    <x:row r="144" ht="15" hidden="0" customHeight="1">
      <x:c r="A144" s="31" t="str">
        <x:v>message122</x:v>
      </x:c>
      <x:c r="B144" s="31" t="str">
        <x:v>21.02.2026 02:54:39 UTC+03:30</x:v>
      </x:c>
      <x:c r="C144" s="31" t="str">
        <x:v>Deleted Account</x:v>
      </x:c>
      <x:c r="D144" s="31" t="str">
        <x:v>حله</x:v>
      </x:c>
      <x:c r="E144" s="31" t="str">
        <x:v>#go_to_message119</x:v>
      </x:c>
      <x:c r="F144" s="31" t="str"/>
      <x:c r="G144" s="31" t="str">
        <x:v>No</x:v>
      </x:c>
    </x:row>
    <x:row r="145" ht="15" hidden="0" customHeight="1">
      <x:c r="A145" s="31" t="str">
        <x:v>message123</x:v>
      </x:c>
      <x:c r="B145" s="31" t="str">
        <x:v>21.02.2026 02:54:41 UTC+03:30</x:v>
      </x:c>
      <x:c r="C145" s="31" t="str">
        <x:v>Deleted Account</x:v>
      </x:c>
      <x:c r="D145" s="31" t="str">
        <x:v>.</x:v>
      </x:c>
      <x:c r="E145" s="31" t="str">
        <x:v>#go_to_message117</x:v>
      </x:c>
      <x:c r="F145" s="31" t="str"/>
      <x:c r="G145" s="31" t="str">
        <x:v>No</x:v>
      </x:c>
    </x:row>
    <x:row r="146" ht="15" hidden="0" customHeight="1">
      <x:c r="A146" s="31" t="str">
        <x:v>message-24</x:v>
      </x:c>
      <x:c r="B146" s="31"/>
      <x:c r="C146" s="31" t="str">
        <x:v>Deleted Account</x:v>
      </x:c>
      <x:c r="D146" s="31" t="str"/>
      <x:c r="E146" s="31" t="str"/>
      <x:c r="F146" s="31" t="str"/>
      <x:c r="G146" s="31" t="str">
        <x:v>No</x:v>
      </x:c>
    </x:row>
    <x:row r="147" ht="24" hidden="0" customHeight="1">
      <x:c r="A147" s="31" t="str">
        <x:v>message124</x:v>
      </x:c>
      <x:c r="B147" s="31" t="str">
        <x:v>17.05.2026 19:45:07 UTC+03:30</x:v>
      </x:c>
      <x:c r="C147" s="31" t="str">
        <x:v>Deleted Account
Parnian  13.05.2026 13:19:49</x:v>
      </x:c>
      <x:c r="D147" s="31" t="str"/>
      <x:c r="E147" s="31" t="str"/>
      <x:c r="F147" s="31" t="str">
        <x:v>telegram export/files/CamScanner 13-05-2026 12.43 (1).pdf</x:v>
      </x:c>
      <x:c r="G147" s="31" t="str">
        <x:v>No</x:v>
      </x:c>
    </x:row>
    <x:row r="148" ht="24" hidden="0" customHeight="1">
      <x:c r="A148" s="31" t="str">
        <x:v>message125</x:v>
      </x:c>
      <x:c r="B148" s="31" t="str">
        <x:v>17.05.2026 19:45:07 UTC+03:30</x:v>
      </x:c>
      <x:c r="C148" s="31" t="str">
        <x:v>Deleted Account
Deleted Account 17.05.2026 18:38:53</x:v>
      </x:c>
      <x:c r="D148" s="31" t="str"/>
      <x:c r="E148" s="31" t="str"/>
      <x:c r="F148" s="31" t="str">
        <x:v>telegram export/photos/photo_27@17-05-2026_19-45-07.jpg</x:v>
      </x:c>
      <x:c r="G148" s="31" t="str">
        <x:v>No</x:v>
      </x:c>
    </x:row>
    <x:row r="149" ht="24" hidden="0" customHeight="1">
      <x:c r="A149" s="31" t="str">
        <x:v>message126</x:v>
      </x:c>
      <x:c r="B149" s="31" t="str">
        <x:v>17.05.2026 19:45:07 UTC+03:30</x:v>
      </x:c>
      <x:c r="C149" s="31" t="str">
        <x:v>Deleted Account
Deleted Account 17.05.2026 18:38:53</x:v>
      </x:c>
      <x:c r="D149" s="31" t="str"/>
      <x:c r="E149" s="31" t="str"/>
      <x:c r="F149" s="31" t="str">
        <x:v>telegram export/photos/photo_28@17-05-2026_19-45-07.jpg</x:v>
      </x:c>
      <x:c r="G149" s="31" t="str">
        <x:v>No</x:v>
      </x:c>
    </x:row>
    <x:row r="150" ht="15" hidden="0" customHeight="1">
      <x:c r="A150" s="31" t="str">
        <x:v>message127</x:v>
      </x:c>
      <x:c r="B150" s="31" t="str">
        <x:v>17.05.2026 20:15:05 UTC+03:30</x:v>
      </x:c>
      <x:c r="C150" s="31" t="str">
        <x:v>امین عزیزی</x:v>
      </x:c>
      <x:c r="D150" s="31" t="str">
        <x:v>این چیه؟</x:v>
      </x:c>
      <x:c r="E150" s="31" t="str"/>
      <x:c r="F150" s="31" t="str"/>
      <x:c r="G150" s="31" t="str">
        <x:v>No</x:v>
      </x:c>
    </x:row>
    <x:row r="151" ht="15" hidden="0" customHeight="1">
      <x:c r="A151" s="31" t="str">
        <x:v>message128</x:v>
      </x:c>
      <x:c r="B151" s="31" t="str">
        <x:v>17.05.2026 20:16:06 UTC+03:30</x:v>
      </x:c>
      <x:c r="C151" s="31" t="str">
        <x:v>Deleted Account</x:v>
      </x:c>
      <x:c r="D151" s="31" t="str">
        <x:v>این از جشن یلدا کوکی و یسری چیزه پرنیان دیر فرستاده بود</x:v>
      </x:c>
      <x:c r="E151" s="31" t="str"/>
      <x:c r="F151" s="31" t="str"/>
      <x:c r="G151" s="31" t="str">
        <x:v>No</x:v>
      </x:c>
    </x:row>
    <x:row r="152" ht="15" hidden="0" customHeight="1">
      <x:c r="A152" s="31" t="str">
        <x:v>message129</x:v>
      </x:c>
      <x:c r="B152" s="31" t="str">
        <x:v>17.05.2026 20:16:15 UTC+03:30</x:v>
      </x:c>
      <x:c r="C152" s="31" t="str">
        <x:v>Deleted Account</x:v>
      </x:c>
      <x:c r="D152" s="31" t="str">
        <x:v>واردشون کناین رسیداشه</x:v>
      </x:c>
      <x:c r="E152" s="31" t="str">
        <x:v>#go_to_message124</x:v>
      </x:c>
      <x:c r="F152" s="31" t="str"/>
      <x:c r="G152" s="31" t="str">
        <x:v>No</x:v>
      </x:c>
    </x:row>
    <x:row r="153" ht="15" hidden="0" customHeight="1">
      <x:c r="A153" s="31" t="str">
        <x:v>message130</x:v>
      </x:c>
      <x:c r="B153" s="31" t="str">
        <x:v>17.05.2026 20:16:18 UTC+03:30</x:v>
      </x:c>
      <x:c r="C153" s="31" t="str">
        <x:v>Deleted Account</x:v>
      </x:c>
      <x:c r="D153" s="31" t="str">
        <x:v>یه چک بکن</x:v>
      </x:c>
      <x:c r="E153" s="31" t="str"/>
      <x:c r="F153" s="31" t="str"/>
      <x:c r="G153" s="31" t="str">
        <x:v>No</x:v>
      </x:c>
    </x:row>
    <x:row r="154" ht="15" hidden="0" customHeight="1">
      <x:c r="A154" s="31" t="str">
        <x:v>message131</x:v>
      </x:c>
      <x:c r="B154" s="31" t="str">
        <x:v>17.05.2026 20:17:06 UTC+03:30</x:v>
      </x:c>
      <x:c r="C154" s="31" t="str">
        <x:v>امین عزیزی</x:v>
      </x:c>
      <x:c r="D154" s="31" t="str">
        <x:v>حله حله</x:v>
      </x:c>
      <x:c r="E154" s="31" t="str"/>
      <x:c r="F154" s="31" t="str"/>
      <x:c r="G154" s="31" t="str">
        <x:v>No</x:v>
      </x:c>
    </x:row>
    <x:row r="155" ht="15" hidden="0" customHeight="1">
      <x:c r="A155" s="31" t="str">
        <x:v>message-25</x:v>
      </x:c>
      <x:c r="B155" s="31"/>
      <x:c r="C155" s="31" t="str">
        <x:v>امین عزیزی</x:v>
      </x:c>
      <x:c r="D155" s="31" t="str"/>
      <x:c r="E155" s="31" t="str"/>
      <x:c r="F155" s="31" t="str"/>
      <x:c r="G155" s="31" t="str">
        <x:v>No</x:v>
      </x:c>
    </x:row>
    <x:row r="156" ht="15" hidden="0" customHeight="1">
      <x:c r="A156" s="31" t="str">
        <x:v>message132</x:v>
      </x:c>
      <x:c r="B156" s="31" t="str">
        <x:v>18.05.2026 01:14:16 UTC+03:30</x:v>
      </x:c>
      <x:c r="C156" s="31" t="str">
        <x:v>Deleted Account</x:v>
      </x:c>
      <x:c r="D156" s="31" t="str"/>
      <x:c r="E156" s="31" t="str">
        <x:v>#go_to_message131</x:v>
      </x:c>
      <x:c r="F156" s="31" t="str"/>
      <x:c r="G156" s="31" t="str">
        <x:v>Yes</x:v>
      </x:c>
    </x:row>
    <x:row r="157" ht="15" hidden="0" customHeight="1">
      <x:c r="A157" s="31" t="str">
        <x:v>message-26</x:v>
      </x:c>
      <x:c r="B157" s="31"/>
      <x:c r="C157" s="31" t="str">
        <x:v>Deleted Account</x:v>
      </x:c>
      <x:c r="D157" s="31" t="str"/>
      <x:c r="E157" s="31" t="str"/>
      <x:c r="F157" s="31" t="str"/>
      <x:c r="G157" s="31" t="str">
        <x:v>No</x:v>
      </x:c>
    </x:row>
    <x:row r="158" ht="15" hidden="0" customHeight="1">
      <x:c r="A158" s="31" t="str">
        <x:v>message133</x:v>
      </x:c>
      <x:c r="B158" s="31" t="str">
        <x:v>21.06.2026 12:47:37 UTC+03:30</x:v>
      </x:c>
      <x:c r="C158" s="31" t="str">
        <x:v>Deleted Account</x:v>
      </x:c>
      <x:c r="D158" s="31" t="str"/>
      <x:c r="E158" s="31" t="str"/>
      <x:c r="F158" s="31" t="str"/>
      <x:c r="G158" s="31" t="str">
        <x:v>Yes</x:v>
      </x:c>
    </x:row>
    <x:row r="159" ht="15" hidden="0" customHeight="1">
      <x:c r="A159" s="31" t="str">
        <x:v>message134</x:v>
      </x:c>
      <x:c r="B159" s="31" t="str">
        <x:v>21.06.2026 12:50:19 UTC+03:30</x:v>
      </x:c>
      <x:c r="C159" s="31" t="str">
        <x:v>امین عزیزی</x:v>
      </x:c>
      <x:c r="D159" s="31" t="str"/>
      <x:c r="E159" s="31" t="str"/>
      <x:c r="F159" s="31" t="str"/>
      <x:c r="G159" s="31" t="str">
        <x:v>Yes</x:v>
      </x:c>
    </x:row>
    <x:row r="160" ht="15" hidden="0" customHeight="1">
      <x:c r="A160" s="31" t="str">
        <x:v>message-27</x:v>
      </x:c>
      <x:c r="B160" s="31"/>
      <x:c r="C160" s="31" t="str">
        <x:v>امین عزیزی</x:v>
      </x:c>
      <x:c r="D160" s="31" t="str"/>
      <x:c r="E160" s="31" t="str"/>
      <x:c r="F160" s="31" t="str"/>
      <x:c r="G160" s="31" t="str">
        <x:v>No</x:v>
      </x:c>
    </x:row>
    <x:row r="161" ht="15" hidden="0" customHeight="1">
      <x:c r="A161" s="31" t="str">
        <x:v>message135</x:v>
      </x:c>
      <x:c r="B161" s="31" t="str">
        <x:v>27.06.2026 15:35:40 UTC+03:30</x:v>
      </x:c>
      <x:c r="C161" s="31" t="str">
        <x:v>Deleted Account</x:v>
      </x:c>
      <x:c r="D161" s="31" t="str">
        <x:v>امین</x:v>
      </x:c>
      <x:c r="E161" s="31" t="str"/>
      <x:c r="F161" s="31" t="str"/>
      <x:c r="G161" s="31" t="str">
        <x:v>No</x:v>
      </x:c>
    </x:row>
    <x:row r="162" ht="15" hidden="0" customHeight="1">
      <x:c r="A162" s="31" t="str">
        <x:v>message136</x:v>
      </x:c>
      <x:c r="B162" s="31" t="str">
        <x:v>27.06.2026 15:36:03 UTC+03:30</x:v>
      </x:c>
      <x:c r="C162" s="31" t="str">
        <x:v>Deleted Account</x:v>
      </x:c>
      <x:c r="D162" s="31" t="str">
        <x:v>میگم هرچی عکس داری از فاکتور ها تا اخر امروز بفرست اینجا</x:v>
      </x:c>
      <x:c r="E162" s="31" t="str"/>
      <x:c r="F162" s="31" t="str"/>
      <x:c r="G162" s="31" t="str">
        <x:v>No</x:v>
      </x:c>
    </x:row>
    <x:row r="163" ht="15" hidden="0" customHeight="1">
      <x:c r="A163" s="31" t="str">
        <x:v>message137</x:v>
      </x:c>
      <x:c r="B163" s="31" t="str">
        <x:v>27.06.2026 15:36:34 UTC+03:30</x:v>
      </x:c>
      <x:c r="C163" s="31" t="str">
        <x:v>Deleted Account</x:v>
      </x:c>
      <x:c r="D163" s="31" t="str">
        <x:v>و اینکه برای فردا عصر و پسفردا عصر یا حتی 3شنبه عصر تایم های خالیت رو بگو یه نیمساعت بریم میت</x:v>
      </x:c>
      <x:c r="E163" s="31" t="str"/>
      <x:c r="F163" s="31" t="str"/>
      <x:c r="G163" s="31" t="str">
        <x:v>No</x:v>
      </x:c>
    </x:row>
    <x:row r="164" ht="15" hidden="0" customHeight="1">
      <x:c r="A164" s="31" t="str">
        <x:v>message138</x:v>
      </x:c>
      <x:c r="B164" s="31" t="str">
        <x:v>27.06.2026 16:50:34 UTC+03:30</x:v>
      </x:c>
      <x:c r="C164" s="31" t="str">
        <x:v>امین عزیزی</x:v>
      </x:c>
      <x:c r="D164" s="31" t="str">
        <x:v>فاکتورها دست خودتهعکسی به من ندادی خودشونم ندادی💀😂</x:v>
      </x:c>
      <x:c r="E164" s="31" t="str">
        <x:v>#go_to_message136</x:v>
      </x:c>
      <x:c r="F164" s="31" t="str"/>
      <x:c r="G164" s="31" t="str">
        <x:v>No</x:v>
      </x:c>
    </x:row>
    <x:row r="165" ht="15" hidden="0" customHeight="1">
      <x:c r="A165" s="31" t="str">
        <x:v>message139</x:v>
      </x:c>
      <x:c r="B165" s="31" t="str">
        <x:v>27.06.2026 16:50:56 UTC+03:30</x:v>
      </x:c>
      <x:c r="C165" s="31" t="str">
        <x:v>امین عزیزی</x:v>
      </x:c>
      <x:c r="D165" s="31" t="str">
        <x:v>فردا عصر بهترین زمانههروقت بگی اوکیم</x:v>
      </x:c>
      <x:c r="E165" s="31" t="str">
        <x:v>#go_to_message137</x:v>
      </x:c>
      <x:c r="F165" s="31" t="str"/>
      <x:c r="G165" s="31" t="str">
        <x:v>No</x:v>
      </x:c>
    </x:row>
    <x:row r="166" ht="15" hidden="0" customHeight="1">
      <x:c r="A166" s="31" t="str">
        <x:v>message140</x:v>
      </x:c>
      <x:c r="B166" s="31" t="str">
        <x:v>27.06.2026 17:09:39 UTC+03:30</x:v>
      </x:c>
      <x:c r="C166" s="31" t="str">
        <x:v>Deleted Account</x:v>
      </x:c>
      <x:c r="D166" s="31" t="str">
        <x:v>نه اون قبلی ها</x:v>
      </x:c>
      <x:c r="E166" s="31" t="str">
        <x:v>#go_to_message138</x:v>
      </x:c>
      <x:c r="F166" s="31" t="str"/>
      <x:c r="G166" s="31" t="str">
        <x:v>No</x:v>
      </x:c>
    </x:row>
    <x:row r="167" ht="15" hidden="0" customHeight="1">
      <x:c r="A167" s="31" t="str">
        <x:v>message141</x:v>
      </x:c>
      <x:c r="B167" s="31" t="str">
        <x:v>27.06.2026 17:10:03 UTC+03:30</x:v>
      </x:c>
      <x:c r="C167" s="31" t="str">
        <x:v>Deleted Account</x:v>
      </x:c>
      <x:c r="D167" s="31" t="str">
        <x:v>حله عالی</x:v>
      </x:c>
      <x:c r="E167" s="31" t="str">
        <x:v>#go_to_message139</x:v>
      </x:c>
      <x:c r="F167" s="31" t="str"/>
      <x:c r="G167" s="31" t="str">
        <x:v>No</x:v>
      </x:c>
    </x:row>
    <x:row r="168" ht="15" hidden="0" customHeight="1">
      <x:c r="A168" s="31" t="str">
        <x:v>message142</x:v>
      </x:c>
      <x:c r="B168" s="31" t="str">
        <x:v>27.06.2026 18:24:14 UTC+03:30</x:v>
      </x:c>
      <x:c r="C168" s="31" t="str">
        <x:v>Deleted Account</x:v>
      </x:c>
      <x:c r="D168" s="31" t="str">
        <x:v>جشن یلدا</x:v>
      </x:c>
      <x:c r="E168" s="31" t="str"/>
      <x:c r="F168" s="31" t="str">
        <x:v>telegram export/photos/photo_29@27-06-2026_18-24-14.jpg</x:v>
      </x:c>
      <x:c r="G168" s="31" t="str">
        <x:v>No</x:v>
      </x:c>
    </x:row>
    <x:row r="169" ht="15" hidden="0" customHeight="1">
      <x:c r="A169" s="31" t="str">
        <x:v>message143</x:v>
      </x:c>
      <x:c r="B169" s="31" t="str">
        <x:v>27.06.2026 18:24:31 UTC+03:30</x:v>
      </x:c>
      <x:c r="C169" s="31" t="str">
        <x:v>Deleted Account</x:v>
      </x:c>
      <x:c r="D169" s="31" t="str">
        <x:v>جشن یلدا</x:v>
      </x:c>
      <x:c r="E169" s="31" t="str"/>
      <x:c r="F169" s="31" t="str">
        <x:v>telegram export/photos/photo_30@27-06-2026_18-24-31.jpg</x:v>
      </x:c>
      <x:c r="G169" s="31" t="str">
        <x:v>No</x:v>
      </x:c>
    </x:row>
    <x:row r="170" ht="15" hidden="0" customHeight="1">
      <x:c r="A170" s="31" t="str">
        <x:v>message144</x:v>
      </x:c>
      <x:c r="B170" s="31" t="str">
        <x:v>27.06.2026 18:24:39 UTC+03:30</x:v>
      </x:c>
      <x:c r="C170" s="31" t="str">
        <x:v>Deleted Account</x:v>
      </x:c>
      <x:c r="D170" s="31" t="str"/>
      <x:c r="E170" s="31" t="str"/>
      <x:c r="F170" s="31" t="str">
        <x:v>telegram export/photos/photo_31@27-06-2026_18-24-39.jpg</x:v>
      </x:c>
      <x:c r="G170" s="31" t="str">
        <x:v>No</x:v>
      </x:c>
    </x:row>
    <x:row r="171" ht="15" hidden="0" customHeight="1">
      <x:c r="A171" s="31" t="str">
        <x:v>message145</x:v>
      </x:c>
      <x:c r="B171" s="31" t="str">
        <x:v>27.06.2026 18:24:52 UTC+03:30</x:v>
      </x:c>
      <x:c r="C171" s="31" t="str">
        <x:v>Deleted Account</x:v>
      </x:c>
      <x:c r="D171" s="31" t="str">
        <x:v>چاپ پوستر انجمن</x:v>
      </x:c>
      <x:c r="E171" s="31" t="str"/>
      <x:c r="F171" s="31" t="str">
        <x:v>telegram export/photos/photo_32@27-06-2026_18-24-52.jpg</x:v>
      </x:c>
      <x:c r="G171" s="31" t="str">
        <x:v>No</x:v>
      </x:c>
    </x:row>
    <x:row r="172" ht="15" hidden="0" customHeight="1">
      <x:c r="A172" s="31" t="str">
        <x:v>message146</x:v>
      </x:c>
      <x:c r="B172" s="31" t="str">
        <x:v>27.06.2026 18:25:49 UTC+03:30</x:v>
      </x:c>
      <x:c r="C172" s="31" t="str">
        <x:v>Deleted Account</x:v>
      </x:c>
      <x:c r="D172" s="31" t="str">
        <x:v>خودکار و روان‌نویس و دفترچه جشن ورودی</x:v>
      </x:c>
      <x:c r="E172" s="31" t="str"/>
      <x:c r="F172" s="31" t="str">
        <x:v>telegram export/photos/photo_33@27-06-2026_18-25-49.jpg</x:v>
      </x:c>
      <x:c r="G172" s="31" t="str">
        <x:v>No</x:v>
      </x:c>
    </x:row>
    <x:row r="173" ht="15" hidden="0" customHeight="1">
      <x:c r="A173" s="31" t="str">
        <x:v>message147</x:v>
      </x:c>
      <x:c r="B173" s="31" t="str">
        <x:v>27.06.2026 18:26:03 UTC+03:30</x:v>
      </x:c>
      <x:c r="C173" s="31" t="str">
        <x:v>Deleted Account</x:v>
      </x:c>
      <x:c r="D173" s="31" t="str">
        <x:v>جوایز جشن ورودی</x:v>
      </x:c>
      <x:c r="E173" s="31" t="str"/>
      <x:c r="F173" s="31" t="str">
        <x:v>telegram export/photos/photo_34@27-06-2026_18-26-03.jpg</x:v>
      </x:c>
      <x:c r="G173" s="31" t="str">
        <x:v>No</x:v>
      </x:c>
    </x:row>
    <x:row r="174" ht="15" hidden="0" customHeight="1">
      <x:c r="A174" s="31" t="str">
        <x:v>message148</x:v>
      </x:c>
      <x:c r="B174" s="31" t="str">
        <x:v>27.06.2026 18:26:22 UTC+03:30</x:v>
      </x:c>
      <x:c r="C174" s="31" t="str">
        <x:v>Deleted Account</x:v>
      </x:c>
      <x:c r="D174" s="31" t="str">
        <x:v>جوایز جشن ورودی و فلش انجمن</x:v>
      </x:c>
      <x:c r="E174" s="31" t="str"/>
      <x:c r="F174" s="31" t="str">
        <x:v>telegram export/photos/photo_35@27-06-2026_18-26-22.jpg</x:v>
      </x:c>
      <x:c r="G174" s="31" t="str">
        <x:v>No</x:v>
      </x:c>
    </x:row>
    <x:row r="175" ht="15" hidden="0" customHeight="1">
      <x:c r="A175" s="31" t="str">
        <x:v>message149</x:v>
      </x:c>
      <x:c r="B175" s="31" t="str">
        <x:v>27.06.2026 18:26:45 UTC+03:30</x:v>
      </x:c>
      <x:c r="C175" s="31" t="str">
        <x:v>Deleted Account</x:v>
      </x:c>
      <x:c r="D175" s="31" t="str">
        <x:v>پذیرایی نشست اساتید مهرماه</x:v>
      </x:c>
      <x:c r="E175" s="31" t="str"/>
      <x:c r="F175" s="31" t="str">
        <x:v>telegram export/photos/photo_36@27-06-2026_18-26-45.jpg</x:v>
      </x:c>
      <x:c r="G175" s="31" t="str">
        <x:v>No</x:v>
      </x:c>
    </x:row>
    <x:row r="176" ht="15" hidden="0" customHeight="1">
      <x:c r="A176" s="31" t="str">
        <x:v>message150</x:v>
      </x:c>
      <x:c r="B176" s="31" t="str">
        <x:v>27.06.2026 18:27:12 UTC+03:30</x:v>
      </x:c>
      <x:c r="C176" s="31" t="str">
        <x:v>Deleted Account</x:v>
      </x:c>
      <x:c r="D176" s="31" t="str">
        <x:v>پذیرایی چای و فیزیک مهرماه</x:v>
      </x:c>
      <x:c r="E176" s="31" t="str"/>
      <x:c r="F176" s="31" t="str">
        <x:v>telegram export/photos/photo_37@27-06-2026_18-27-12.jpg</x:v>
      </x:c>
      <x:c r="G176" s="31" t="str">
        <x:v>No</x:v>
      </x:c>
    </x:row>
    <x:row r="177" ht="15" hidden="0" customHeight="1">
      <x:c r="A177" s="31" t="str">
        <x:v>message151</x:v>
      </x:c>
      <x:c r="B177" s="31" t="str">
        <x:v>27.06.2026 18:27:25 UTC+03:30</x:v>
      </x:c>
      <x:c r="C177" s="31" t="str">
        <x:v>Deleted Account</x:v>
      </x:c>
      <x:c r="D177" s="31" t="str">
        <x:v>پذیرایی یلدا</x:v>
      </x:c>
      <x:c r="E177" s="31" t="str"/>
      <x:c r="F177" s="31" t="str">
        <x:v>telegram export/photos/photo_38@27-06-2026_18-27-25.jpg</x:v>
      </x:c>
      <x:c r="G177" s="31" t="str">
        <x:v>No</x:v>
      </x:c>
    </x:row>
    <x:row r="178" ht="15" hidden="0" customHeight="1">
      <x:c r="A178" s="31" t="str">
        <x:v>message152</x:v>
      </x:c>
      <x:c r="B178" s="31" t="str">
        <x:v>27.06.2026 18:29:10 UTC+03:30</x:v>
      </x:c>
      <x:c r="C178" s="31" t="str">
        <x:v>Deleted Account</x:v>
      </x:c>
      <x:c r="D178" s="31" t="str">
        <x:v>نخ بسته‌بندی فال یلدا</x:v>
      </x:c>
      <x:c r="E178" s="31" t="str"/>
      <x:c r="F178" s="31" t="str">
        <x:v>telegram export/photos/photo_39@27-06-2026_18-29-10.jpg</x:v>
      </x:c>
      <x:c r="G178" s="31" t="str">
        <x:v>No</x:v>
      </x:c>
    </x:row>
    <x:row r="179" ht="15" hidden="0" customHeight="1">
      <x:c r="A179" s="31" t="str">
        <x:v>message153</x:v>
      </x:c>
      <x:c r="B179" s="31" t="str">
        <x:v>27.06.2026 18:31:08 UTC+03:30</x:v>
      </x:c>
      <x:c r="C179" s="31" t="str">
        <x:v>Deleted Account</x:v>
      </x:c>
      <x:c r="D179" s="31" t="str">
        <x:v>پذیرایی غرفه انجمنشریف سلامدو عدد دلستربیسکوئیت و چیپس و پفک</x:v>
      </x:c>
      <x:c r="E179" s="31" t="str"/>
      <x:c r="F179" s="31" t="str">
        <x:v>telegram export/photos/photo_40@27-06-2026_18-31-08.jpg</x:v>
      </x:c>
      <x:c r="G179" s="31" t="str">
        <x:v>No</x:v>
      </x:c>
    </x:row>
    <x:row r="180" ht="36" hidden="0" customHeight="1">
      <x:c r="A180" s="31" t="str">
        <x:v>message154</x:v>
      </x:c>
      <x:c r="B180" s="31" t="str">
        <x:v>27.06.2026 18:36:09 UTC+03:30</x:v>
      </x:c>
      <x:c r="C180" s="31" t="str">
        <x:v>Deleted Account
Bardia  25.12.2025 19:23:28</x:v>
      </x:c>
      <x:c r="D180" s="31" t="str">
        <x:v>سلام خوبی ببین من یه ۴۰۰ خرید کردم که یه سری جا سوییچی  و یه دونه گوشواره انار و اینا بود  یه ۲۵۰ دوباره که بازم جا سوییچی های عروسکی بود  یه ۶۰۰ که هندونه و انار های ریز بودن با یه ۱۱۶۲ که ۲۷۵ تاشو ساندویچ خریدیم  میمونه ۸۸۷ که ۲۲ تا ژله فرمند بودن که قیمت اصلی‌شون ۴۵ بود ولی تخفیف خورده بودن  فک کنم شده بودن ۴۰ اینا حالا از اینا من رسید ۴۰۰ و ۲۵۰ رو دارم ولی رسید ۶۰۰ رو ندارم فاکتور اون ۱۱۶۲ رو هم داده بودم حسین ولی گم کرده</x:v>
      </x:c>
      <x:c r="E180" s="31" t="str"/>
      <x:c r="F180" s="31" t="str"/>
      <x:c r="G180" s="31" t="str">
        <x:v>No</x:v>
      </x:c>
    </x:row>
    <x:row r="181" ht="15" hidden="0" customHeight="1">
      <x:c r="A181" s="31" t="str">
        <x:v>message155</x:v>
      </x:c>
      <x:c r="B181" s="31" t="str">
        <x:v>27.06.2026 18:36:09 UTC+03:30</x:v>
      </x:c>
      <x:c r="C181" s="31" t="str">
        <x:v>Bardia  25.12.2025 19:23:48</x:v>
      </x:c>
      <x:c r="D181" s="31" t="str"/>
      <x:c r="E181" s="31" t="str"/>
      <x:c r="F181" s="31" t="str">
        <x:v>telegram export/photos/photo_41@27-06-2026_18-36-09.jpg</x:v>
      </x:c>
      <x:c r="G181" s="31" t="str">
        <x:v>No</x:v>
      </x:c>
    </x:row>
    <x:row r="182" ht="15" hidden="0" customHeight="1">
      <x:c r="A182" s="31" t="str">
        <x:v>message156</x:v>
      </x:c>
      <x:c r="B182" s="31" t="str">
        <x:v>27.06.2026 18:36:09 UTC+03:30</x:v>
      </x:c>
      <x:c r="C182" s="31" t="str">
        <x:v>Bardia  25.12.2025 19:23:48</x:v>
      </x:c>
      <x:c r="D182" s="31" t="str"/>
      <x:c r="E182" s="31" t="str"/>
      <x:c r="F182" s="31" t="str">
        <x:v>telegram export/photos/photo_42@27-06-2026_18-36-09.jpg</x:v>
      </x:c>
      <x:c r="G182" s="31" t="str">
        <x:v>No</x:v>
      </x:c>
    </x:row>
    <x:row r="183" ht="15" hidden="0" customHeight="1">
      <x:c r="A183" s="31" t="str">
        <x:v>message157</x:v>
      </x:c>
      <x:c r="B183" s="31" t="str">
        <x:v>27.06.2026 18:36:09 UTC+03:30</x:v>
      </x:c>
      <x:c r="C183" s="31" t="str">
        <x:v>Bardia  25.12.2025 19:32:19</x:v>
      </x:c>
      <x:c r="D183" s="31" t="str">
        <x:v>این رسید اون دوتای دیگس ولی فاکتور ۱۱۶۲ رو ندارم دیگه بیشتر نتونستم پیدا کنم 😂</x:v>
      </x:c>
      <x:c r="E183" s="31" t="str"/>
      <x:c r="F183" s="31" t="str">
        <x:v>telegram export/photos/photo_43@27-06-2026_18-36-09.jpg</x:v>
      </x:c>
      <x:c r="G183" s="31" t="str">
        <x:v>No</x:v>
      </x:c>
    </x:row>
    <x:row r="184" ht="15" hidden="0" customHeight="1">
      <x:c r="A184" s="31" t="str">
        <x:v>message158</x:v>
      </x:c>
      <x:c r="B184" s="31" t="str">
        <x:v>27.06.2026 18:36:09 UTC+03:30</x:v>
      </x:c>
      <x:c r="C184" s="31" t="str">
        <x:v>Bardia  25.12.2025 19:32:19</x:v>
      </x:c>
      <x:c r="D184" s="31" t="str"/>
      <x:c r="E184" s="31" t="str"/>
      <x:c r="F184" s="31" t="str">
        <x:v>telegram export/photos/photo_44@27-06-2026_18-36-09.jpg</x:v>
      </x:c>
      <x:c r="G184" s="31" t="str">
        <x:v>No</x:v>
      </x:c>
    </x:row>
    <x:row r="185" ht="24" hidden="0" customHeight="1">
      <x:c r="A185" s="31" t="str">
        <x:v>message159</x:v>
      </x:c>
      <x:c r="B185" s="31" t="str">
        <x:v>27.06.2026 18:36:09 UTC+03:30</x:v>
      </x:c>
      <x:c r="C185" s="31" t="str">
        <x:v>Deleted Account
Deleted Account 29.12.2025 00:50:11</x:v>
      </x:c>
      <x:c r="D185" s="31" t="str">
        <x:v>خدمتت نازنین، ممنون از انرژی که گذاشتی</x:v>
      </x:c>
      <x:c r="E185" s="31" t="str"/>
      <x:c r="F185" s="31" t="str">
        <x:v>telegram export/photos/photo_45@27-06-2026_18-36-09.jpg</x:v>
      </x:c>
      <x:c r="G185" s="31" t="str">
        <x:v>No</x:v>
      </x:c>
    </x:row>
    <x:row r="186" ht="24" hidden="0" customHeight="1">
      <x:c r="A186" s="31" t="str">
        <x:v>message161</x:v>
      </x:c>
      <x:c r="B186" s="31" t="str">
        <x:v>27.06.2026 18:38:52 UTC+03:30</x:v>
      </x:c>
      <x:c r="C186" s="31" t="str">
        <x:v>Deleted Account
hossein  26.12.2025 21:51:06</x:v>
      </x:c>
      <x:c r="D186" s="31" t="str">
        <x:v>این برای یکیشون که ژله و شربت آلبالو</x:v>
      </x:c>
      <x:c r="E186" s="31" t="str"/>
      <x:c r="F186" s="31" t="str">
        <x:v>telegram export/photos/photo_46@27-06-2026_18-38-52.jpg</x:v>
      </x:c>
      <x:c r="G186" s="31" t="str">
        <x:v>No</x:v>
      </x:c>
    </x:row>
    <x:row r="187" ht="15" hidden="0" customHeight="1">
      <x:c r="A187" s="31" t="str">
        <x:v>message162</x:v>
      </x:c>
      <x:c r="B187" s="31" t="str">
        <x:v>27.06.2026 18:38:52 UTC+03:30</x:v>
      </x:c>
      <x:c r="C187" s="31" t="str">
        <x:v>hossein  26.12.2025 21:52:41</x:v>
      </x:c>
      <x:c r="D187" s="31" t="str">
        <x:v>اون 165 برای خرید کاغذ و ماژیک</x:v>
      </x:c>
      <x:c r="E187" s="31" t="str"/>
      <x:c r="F187" s="31" t="str"/>
      <x:c r="G187" s="31" t="str">
        <x:v>No</x:v>
      </x:c>
    </x:row>
    <x:row r="188" ht="15" hidden="0" customHeight="1">
      <x:c r="A188" s="31" t="str">
        <x:v>message163</x:v>
      </x:c>
      <x:c r="B188" s="31" t="str">
        <x:v>27.06.2026 18:38:52 UTC+03:30</x:v>
      </x:c>
      <x:c r="C188" s="31" t="str">
        <x:v>hossein  26.12.2025 21:53:41</x:v>
      </x:c>
      <x:c r="D188" s="31" t="str">
        <x:v>اون شصت تومن  و پنجاه تومن شیرینی تو راه گرفتیم😊😊</x:v>
      </x:c>
      <x:c r="E188" s="31" t="str"/>
      <x:c r="F188" s="31" t="str"/>
      <x:c r="G188" s="31" t="str">
        <x:v>No</x:v>
      </x:c>
    </x:row>
    <x:row r="189" ht="24" hidden="0" customHeight="1">
      <x:c r="A189" s="31" t="str">
        <x:v>message164</x:v>
      </x:c>
      <x:c r="B189" s="31" t="str">
        <x:v>27.06.2026 18:43:30 UTC+03:30</x:v>
      </x:c>
      <x:c r="C189" s="31" t="str">
        <x:v>Deleted Account</x:v>
      </x:c>
      <x:c r="D189" s="31" t="str">
        <x:v>* جا سوییچی، گوشواره انار و ...: ۴۰۰ * جا سوییچی‌های عروسکی: ۲۵۰ * هندونه و انارهای ریز: ۶۰۰ * ساندویچ (از فاکتور ۱۱۶۲): ۲۷۵ * ژله فرمند (۲۲ عدد - از فاکتور ۱۱۶۲): ۸۸۷ * کاغذ و ماژیک: ۱۶۵ * شیرینی (تو راه): ۶۰ * شیرینی (تو راه): ۵۰ * پودر ژله طالبی (۳۲ عدد - طبق رسید): ۱۲۸۰ * شربت آلبالو سن ایچ (۲ عدد - طبق رسید): ۸۷۰</x:v>
      </x:c>
      <x:c r="E189" s="31" t="str"/>
      <x:c r="F189" s="31" t="str">
        <x:v>telegram export/photos/photo_47@27-06-2026_18-43-30.jpg</x:v>
      </x:c>
      <x:c r="G189" s="31" t="str">
        <x:v>No</x:v>
      </x:c>
    </x:row>
    <x:row r="190" ht="15" hidden="0" customHeight="1">
      <x:c r="A190" s="31" t="str">
        <x:v>message165</x:v>
      </x:c>
      <x:c r="B190" s="31" t="str">
        <x:v>27.06.2026 18:43:30 UTC+03:30</x:v>
      </x:c>
      <x:c r="C190" s="31" t="str">
        <x:v>Deleted Account</x:v>
      </x:c>
      <x:c r="D190" s="31" t="str"/>
      <x:c r="E190" s="31" t="str"/>
      <x:c r="F190" s="31" t="str">
        <x:v>telegram export/photos/photo_48@27-06-2026_18-43-30.jpg</x:v>
      </x:c>
      <x:c r="G190" s="31" t="str">
        <x:v>No</x:v>
      </x:c>
    </x:row>
    <x:row r="191" ht="15" hidden="0" customHeight="1">
      <x:c r="A191" s="31" t="str">
        <x:v>message-28</x:v>
      </x:c>
      <x:c r="B191" s="31"/>
      <x:c r="C191" s="31" t="str">
        <x:v>Deleted Account</x:v>
      </x:c>
      <x:c r="D191" s="31" t="str"/>
      <x:c r="E191" s="31" t="str"/>
      <x:c r="F191" s="31" t="str"/>
      <x:c r="G191" s="31" t="str">
        <x:v>No</x:v>
      </x:c>
    </x:row>
    <x:row r="192" ht="15" hidden="0" customHeight="1">
      <x:c r="A192" s="31" t="str">
        <x:v>message166</x:v>
      </x:c>
      <x:c r="B192" s="31"/>
      <x:c r="C192" s="31" t="str">
        <x:v>Deleted Account</x:v>
      </x:c>
      <x:c r="D192" s="31" t="str"/>
      <x:c r="E192" s="31" t="str"/>
      <x:c r="F192" s="31" t="str"/>
      <x:c r="G192" s="31" t="str">
        <x:v>No</x:v>
      </x:c>
    </x:row>
  </x:sheetData>
  <x:mergeCells>
    <x:mergeCell ref="A2:F2"/>
  </x:mergeCells>
  <x:pageMargins left="0.7" right="0.7" top="0.75" bottom="0.75" header="0.3" footer="0.3"/>
  <x:tableParts count="1">
    <x:tablePart xmlns:r="http://schemas.openxmlformats.org/officeDocument/2006/relationships" r:id="R5f60271f93344373"/>
  </x:tableParts>
</x:worksheet>
</file>

<file path=xl/worksheets/sheet12.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44" hidden="0" customWidth="1"/>
    <x:col min="2" max="2" width="30" hidden="0" customWidth="1"/>
    <x:col min="3" max="3" width="15" hidden="0" customWidth="1"/>
    <x:col min="4" max="4" width="125" hidden="0" customWidth="1"/>
    <x:col min="5" max="5" width="115" hidden="0" customWidth="1"/>
  </x:cols>
  <x:sheetData>
    <x:row r="1" ht="15" hidden="0" customHeight="1">
      <x:c r="A1" s="33"/>
      <x:c r="B1" s="33"/>
      <x:c r="C1" s="33"/>
      <x:c r="D1" s="33"/>
      <x:c r="E1" s="33"/>
    </x:row>
    <x:row r="2" ht="16.799999237060547" hidden="0" customHeight="1">
      <x:c r="A2" s="34" t="str">
        <x:v>Original workbook cells | unchanged source snapshots</x:v>
      </x:c>
      <x:c r="B2" s="33"/>
      <x:c r="C2" s="33"/>
      <x:c r="D2" s="33"/>
      <x:c r="E2" s="33"/>
    </x:row>
    <x:row r="3" ht="15" hidden="0" customHeight="1">
      <x:c r="A3" s="33"/>
      <x:c r="B3" s="33"/>
      <x:c r="C3" s="33"/>
      <x:c r="D3" s="33"/>
      <x:c r="E3" s="33"/>
    </x:row>
    <x:row r="4" ht="15" hidden="0" customHeight="1">
      <x:c r="A4" s="7" t="str">
        <x:v>Workbook</x:v>
      </x:c>
      <x:c r="B4" s="7" t="str">
        <x:v>Worksheet</x:v>
      </x:c>
      <x:c r="C4" s="7" t="str">
        <x:v>Cell</x:v>
      </x:c>
      <x:c r="D4" s="7" t="str">
        <x:v>Original value</x:v>
      </x:c>
      <x:c r="E4" s="7" t="str">
        <x:v>Original formula as text</x:v>
      </x:c>
    </x:row>
    <x:row r="5" ht="15" hidden="0" customHeight="1">
      <x:c r="A5" s="31" t="str">
        <x:v>Anjoman accounting.xlsx</x:v>
      </x:c>
      <x:c r="B5" s="31" t="str">
        <x:v>مرداد</x:v>
      </x:c>
      <x:c r="C5" s="31" t="str">
        <x:v>A1</x:v>
      </x:c>
      <x:c r="D5" s="31" t="str">
        <x:v>بابت</x:v>
      </x:c>
      <x:c r="E5" s="31"/>
    </x:row>
    <x:row r="6" ht="15" hidden="0" customHeight="1">
      <x:c r="A6" s="31" t="str">
        <x:v>Anjoman accounting.xlsx</x:v>
      </x:c>
      <x:c r="B6" s="31" t="str">
        <x:v>مرداد</x:v>
      </x:c>
      <x:c r="C6" s="31" t="str">
        <x:v>B1</x:v>
      </x:c>
      <x:c r="D6" s="31" t="str">
        <x:v>ورودی</x:v>
      </x:c>
      <x:c r="E6" s="31"/>
    </x:row>
    <x:row r="7" ht="15" hidden="0" customHeight="1">
      <x:c r="A7" s="31" t="str">
        <x:v>Anjoman accounting.xlsx</x:v>
      </x:c>
      <x:c r="B7" s="31" t="str">
        <x:v>مرداد</x:v>
      </x:c>
      <x:c r="C7" s="31" t="str">
        <x:v>C1</x:v>
      </x:c>
      <x:c r="D7" s="31" t="str">
        <x:v>ماه</x:v>
      </x:c>
      <x:c r="E7" s="31"/>
    </x:row>
    <x:row r="8" ht="15" hidden="0" customHeight="1">
      <x:c r="A8" s="31" t="str">
        <x:v>Anjoman accounting.xlsx</x:v>
      </x:c>
      <x:c r="B8" s="31" t="str">
        <x:v>مرداد</x:v>
      </x:c>
      <x:c r="C8" s="31" t="str">
        <x:v>D1</x:v>
      </x:c>
      <x:c r="D8" s="31" t="str">
        <x:v>هزینه</x:v>
      </x:c>
      <x:c r="E8" s="31"/>
    </x:row>
    <x:row r="9" ht="15" hidden="0" customHeight="1">
      <x:c r="A9" s="31" t="str">
        <x:v>Anjoman accounting.xlsx</x:v>
      </x:c>
      <x:c r="B9" s="31" t="str">
        <x:v>مرداد</x:v>
      </x:c>
      <x:c r="C9" s="31" t="str">
        <x:v>E1</x:v>
      </x:c>
      <x:c r="D9" s="31" t="str">
        <x:v>به ...</x:v>
      </x:c>
      <x:c r="E9" s="31"/>
    </x:row>
    <x:row r="10" ht="15" hidden="0" customHeight="1">
      <x:c r="A10" s="31" t="str">
        <x:v>Anjoman accounting.xlsx</x:v>
      </x:c>
      <x:c r="B10" s="31" t="str">
        <x:v>مرداد</x:v>
      </x:c>
      <x:c r="C10" s="31" t="str">
        <x:v>F1</x:v>
      </x:c>
      <x:c r="D10" s="31" t="str">
        <x:v>بابت</x:v>
      </x:c>
      <x:c r="E10" s="31"/>
    </x:row>
    <x:row r="11" ht="15" hidden="0" customHeight="1">
      <x:c r="A11" s="31" t="str">
        <x:v>Anjoman accounting.xlsx</x:v>
      </x:c>
      <x:c r="B11" s="31" t="str">
        <x:v>مرداد</x:v>
      </x:c>
      <x:c r="C11" s="31" t="str">
        <x:v>H1</x:v>
      </x:c>
      <x:c r="D11" s="31" t="str">
        <x:v>هزینه</x:v>
      </x:c>
      <x:c r="E11" s="31"/>
    </x:row>
    <x:row r="12" ht="15" hidden="0" customHeight="1">
      <x:c r="A12" s="31" t="str">
        <x:v>Anjoman accounting.xlsx</x:v>
      </x:c>
      <x:c r="B12" s="31" t="str">
        <x:v>مرداد</x:v>
      </x:c>
      <x:c r="C12" s="31" t="str">
        <x:v>I1</x:v>
      </x:c>
      <x:c r="D12" s="31" t="str">
        <x:v>درآمد</x:v>
      </x:c>
      <x:c r="E12" s="31"/>
    </x:row>
    <x:row r="13" ht="15" hidden="0" customHeight="1">
      <x:c r="A13" s="31" t="str">
        <x:v>Anjoman accounting.xlsx</x:v>
      </x:c>
      <x:c r="B13" s="31" t="str">
        <x:v>مرداد</x:v>
      </x:c>
      <x:c r="C13" s="31" t="str">
        <x:v>J1</x:v>
      </x:c>
      <x:c r="D13" s="31" t="str">
        <x:v>تراز</x:v>
      </x:c>
      <x:c r="E13" s="31"/>
    </x:row>
    <x:row r="14" ht="15" hidden="0" customHeight="1">
      <x:c r="A14" s="31" t="str">
        <x:v>Anjoman accounting.xlsx</x:v>
      </x:c>
      <x:c r="B14" s="31" t="str">
        <x:v>مرداد</x:v>
      </x:c>
      <x:c r="C14" s="31" t="str">
        <x:v>A2</x:v>
      </x:c>
      <x:c r="D14" s="31" t="str">
        <x:v>مدرسه تابستانه</x:v>
      </x:c>
      <x:c r="E14" s="31"/>
    </x:row>
    <x:row r="15" ht="15" hidden="0" customHeight="1">
      <x:c r="A15" s="31" t="str">
        <x:v>Anjoman accounting.xlsx</x:v>
      </x:c>
      <x:c r="B15" s="31" t="str">
        <x:v>مرداد</x:v>
      </x:c>
      <x:c r="C15" s="31" t="str">
        <x:v>B2</x:v>
      </x:c>
      <x:c r="D15" s="31" t="str">
        <x:v>3.3642E7</x:v>
      </x:c>
      <x:c r="E15" s="31"/>
    </x:row>
    <x:row r="16" ht="15" hidden="0" customHeight="1">
      <x:c r="A16" s="31" t="str">
        <x:v>Anjoman accounting.xlsx</x:v>
      </x:c>
      <x:c r="B16" s="31" t="str">
        <x:v>مرداد</x:v>
      </x:c>
      <x:c r="C16" s="31" t="str">
        <x:v>C2</x:v>
      </x:c>
      <x:c r="D16" s="31" t="str">
        <x:v>مرداد</x:v>
      </x:c>
      <x:c r="E16" s="31"/>
    </x:row>
    <x:row r="17" ht="15" hidden="0" customHeight="1">
      <x:c r="A17" s="31" t="str">
        <x:v>Anjoman accounting.xlsx</x:v>
      </x:c>
      <x:c r="B17" s="31" t="str">
        <x:v>مرداد</x:v>
      </x:c>
      <x:c r="C17" s="31" t="str">
        <x:v>D2</x:v>
      </x:c>
      <x:c r="D17" s="31" t="str">
        <x:v>3500000.0</x:v>
      </x:c>
      <x:c r="E17" s="31"/>
    </x:row>
    <x:row r="18" ht="15" hidden="0" customHeight="1">
      <x:c r="A18" s="31" t="str">
        <x:v>Anjoman accounting.xlsx</x:v>
      </x:c>
      <x:c r="B18" s="31" t="str">
        <x:v>مرداد</x:v>
      </x:c>
      <x:c r="C18" s="31" t="str">
        <x:v>E2</x:v>
      </x:c>
      <x:c r="D18" s="31" t="str">
        <x:v>امیرمحمد جوشقانی</x:v>
      </x:c>
      <x:c r="E18" s="31"/>
    </x:row>
    <x:row r="19" ht="15" hidden="0" customHeight="1">
      <x:c r="A19" s="31" t="str">
        <x:v>Anjoman accounting.xlsx</x:v>
      </x:c>
      <x:c r="B19" s="31" t="str">
        <x:v>مرداد</x:v>
      </x:c>
      <x:c r="C19" s="31" t="str">
        <x:v>F2</x:v>
      </x:c>
      <x:c r="D19" s="31" t="str">
        <x:v>حق التدریس دوره پایتون</x:v>
      </x:c>
      <x:c r="E19" s="31"/>
    </x:row>
    <x:row r="20" ht="15" hidden="0" customHeight="1">
      <x:c r="A20" s="31" t="str">
        <x:v>Anjoman accounting.xlsx</x:v>
      </x:c>
      <x:c r="B20" s="31" t="str">
        <x:v>مرداد</x:v>
      </x:c>
      <x:c r="C20" s="31" t="str">
        <x:v>H2</x:v>
      </x:c>
      <x:c r="D20" s="31" t="str">
        <x:v>12600000</x:v>
      </x:c>
      <x:c r="E20" s="31" t="str">
        <x:v>=sum(D:D)</x:v>
      </x:c>
    </x:row>
    <x:row r="21" ht="15" hidden="0" customHeight="1">
      <x:c r="A21" s="31" t="str">
        <x:v>Anjoman accounting.xlsx</x:v>
      </x:c>
      <x:c r="B21" s="31" t="str">
        <x:v>مرداد</x:v>
      </x:c>
      <x:c r="C21" s="31" t="str">
        <x:v>I2</x:v>
      </x:c>
      <x:c r="D21" s="31" t="str">
        <x:v>33642000</x:v>
      </x:c>
      <x:c r="E21" s="31" t="str">
        <x:v>=sum(B:B)</x:v>
      </x:c>
    </x:row>
    <x:row r="22" ht="15" hidden="0" customHeight="1">
      <x:c r="A22" s="31" t="str">
        <x:v>Anjoman accounting.xlsx</x:v>
      </x:c>
      <x:c r="B22" s="31" t="str">
        <x:v>مرداد</x:v>
      </x:c>
      <x:c r="C22" s="31" t="str">
        <x:v>J2</x:v>
      </x:c>
      <x:c r="D22" s="31" t="str">
        <x:v>21042000</x:v>
      </x:c>
      <x:c r="E22" s="31" t="str">
        <x:v>=I2-H2</x:v>
      </x:c>
    </x:row>
    <x:row r="23" ht="15" hidden="0" customHeight="1">
      <x:c r="A23" s="31" t="str">
        <x:v>Anjoman accounting.xlsx</x:v>
      </x:c>
      <x:c r="B23" s="31" t="str">
        <x:v>مرداد</x:v>
      </x:c>
      <x:c r="C23" s="31" t="str">
        <x:v>K2</x:v>
      </x:c>
      <x:c r="D23" s="31" t="str">
        <x:v>سووووود</x:v>
      </x:c>
      <x:c r="E23" s="31" t="str">
        <x:v>=IF(J2&gt;0, "سووووود", "ضررررر")</x:v>
      </x:c>
    </x:row>
    <x:row r="24" ht="15" hidden="0" customHeight="1">
      <x:c r="A24" s="31" t="str">
        <x:v>Anjoman accounting.xlsx</x:v>
      </x:c>
      <x:c r="B24" s="31" t="str">
        <x:v>مرداد</x:v>
      </x:c>
      <x:c r="C24" s="31" t="str">
        <x:v>D3</x:v>
      </x:c>
      <x:c r="D24" s="31" t="str">
        <x:v>3000000.0</x:v>
      </x:c>
      <x:c r="E24" s="31"/>
    </x:row>
    <x:row r="25" ht="15" hidden="0" customHeight="1">
      <x:c r="A25" s="31" t="str">
        <x:v>Anjoman accounting.xlsx</x:v>
      </x:c>
      <x:c r="B25" s="31" t="str">
        <x:v>مرداد</x:v>
      </x:c>
      <x:c r="C25" s="31" t="str">
        <x:v>E3</x:v>
      </x:c>
      <x:c r="D25" s="31" t="str">
        <x:v>سهراب ملکی</x:v>
      </x:c>
      <x:c r="E25" s="31"/>
    </x:row>
    <x:row r="26" ht="15" hidden="0" customHeight="1">
      <x:c r="A26" s="31" t="str">
        <x:v>Anjoman accounting.xlsx</x:v>
      </x:c>
      <x:c r="B26" s="31" t="str">
        <x:v>مرداد</x:v>
      </x:c>
      <x:c r="C26" s="31" t="str">
        <x:v>F3</x:v>
      </x:c>
      <x:c r="D26" s="31" t="str">
        <x:v>حق التدریس دوره Mathemathica</x:v>
      </x:c>
      <x:c r="E26" s="31"/>
    </x:row>
    <x:row r="27" ht="15" hidden="0" customHeight="1">
      <x:c r="A27" s="31" t="str">
        <x:v>Anjoman accounting.xlsx</x:v>
      </x:c>
      <x:c r="B27" s="31" t="str">
        <x:v>مرداد</x:v>
      </x:c>
      <x:c r="C27" s="31" t="str">
        <x:v>D4</x:v>
      </x:c>
      <x:c r="D27" s="31" t="str">
        <x:v>3700000.0</x:v>
      </x:c>
      <x:c r="E27" s="31"/>
    </x:row>
    <x:row r="28" ht="15" hidden="0" customHeight="1">
      <x:c r="A28" s="31" t="str">
        <x:v>Anjoman accounting.xlsx</x:v>
      </x:c>
      <x:c r="B28" s="31" t="str">
        <x:v>مرداد</x:v>
      </x:c>
      <x:c r="C28" s="31" t="str">
        <x:v>E4</x:v>
      </x:c>
      <x:c r="D28" s="31" t="str">
        <x:v>متین جوکار</x:v>
      </x:c>
      <x:c r="E28" s="31"/>
    </x:row>
    <x:row r="29" ht="15" hidden="0" customHeight="1">
      <x:c r="A29" s="31" t="str">
        <x:v>Anjoman accounting.xlsx</x:v>
      </x:c>
      <x:c r="B29" s="31" t="str">
        <x:v>مرداد</x:v>
      </x:c>
      <x:c r="C29" s="31" t="str">
        <x:v>F4</x:v>
      </x:c>
      <x:c r="D29" s="31" t="str">
        <x:v>حق التدریس دوره Latex</x:v>
      </x:c>
      <x:c r="E29" s="31"/>
    </x:row>
    <x:row r="30" ht="15" hidden="0" customHeight="1">
      <x:c r="A30" s="31" t="str">
        <x:v>Anjoman accounting.xlsx</x:v>
      </x:c>
      <x:c r="B30" s="31" t="str">
        <x:v>مرداد</x:v>
      </x:c>
      <x:c r="C30" s="31" t="str">
        <x:v>D5</x:v>
      </x:c>
      <x:c r="D30" s="31" t="str">
        <x:v>500000.0</x:v>
      </x:c>
      <x:c r="E30" s="31"/>
    </x:row>
    <x:row r="31" ht="15" hidden="0" customHeight="1">
      <x:c r="A31" s="31" t="str">
        <x:v>Anjoman accounting.xlsx</x:v>
      </x:c>
      <x:c r="B31" s="31" t="str">
        <x:v>مرداد</x:v>
      </x:c>
      <x:c r="C31" s="31" t="str">
        <x:v>E5</x:v>
      </x:c>
      <x:c r="D31" s="31" t="str">
        <x:v>ابراهیم خسروانی</x:v>
      </x:c>
      <x:c r="E31" s="31"/>
    </x:row>
    <x:row r="32" ht="15" hidden="0" customHeight="1">
      <x:c r="A32" s="31" t="str">
        <x:v>Anjoman accounting.xlsx</x:v>
      </x:c>
      <x:c r="B32" s="31" t="str">
        <x:v>مرداد</x:v>
      </x:c>
      <x:c r="C32" s="31" t="str">
        <x:v>F5</x:v>
      </x:c>
      <x:c r="D32" s="31" t="str">
        <x:v>TA، فرم و شیت مدرسه تابستانه</x:v>
      </x:c>
      <x:c r="E32" s="31"/>
    </x:row>
    <x:row r="33" ht="15" hidden="0" customHeight="1">
      <x:c r="A33" s="31" t="str">
        <x:v>Anjoman accounting.xlsx</x:v>
      </x:c>
      <x:c r="B33" s="31" t="str">
        <x:v>مرداد</x:v>
      </x:c>
      <x:c r="C33" s="31" t="str">
        <x:v>D6</x:v>
      </x:c>
      <x:c r="D33" s="31" t="str">
        <x:v>600000.0</x:v>
      </x:c>
      <x:c r="E33" s="31"/>
    </x:row>
    <x:row r="34" ht="15" hidden="0" customHeight="1">
      <x:c r="A34" s="31" t="str">
        <x:v>Anjoman accounting.xlsx</x:v>
      </x:c>
      <x:c r="B34" s="31" t="str">
        <x:v>مرداد</x:v>
      </x:c>
      <x:c r="C34" s="31" t="str">
        <x:v>E6</x:v>
      </x:c>
      <x:c r="D34" s="31" t="str">
        <x:v>سپهر طلایی</x:v>
      </x:c>
      <x:c r="E34" s="31"/>
    </x:row>
    <x:row r="35" ht="15" hidden="0" customHeight="1">
      <x:c r="A35" s="31" t="str">
        <x:v>Anjoman accounting.xlsx</x:v>
      </x:c>
      <x:c r="B35" s="31" t="str">
        <x:v>مرداد</x:v>
      </x:c>
      <x:c r="C35" s="31" t="str">
        <x:v>F6</x:v>
      </x:c>
      <x:c r="D35" s="31" t="str">
        <x:v>TA پایتون، پشتیبانی ثبت نام</x:v>
      </x:c>
      <x:c r="E35" s="31"/>
    </x:row>
    <x:row r="36" ht="15" hidden="0" customHeight="1">
      <x:c r="A36" s="31" t="str">
        <x:v>Anjoman accounting.xlsx</x:v>
      </x:c>
      <x:c r="B36" s="31" t="str">
        <x:v>مرداد</x:v>
      </x:c>
      <x:c r="C36" s="31" t="str">
        <x:v>D7</x:v>
      </x:c>
      <x:c r="D36" s="31" t="str">
        <x:v>600000.0</x:v>
      </x:c>
      <x:c r="E36" s="31"/>
    </x:row>
    <x:row r="37" ht="15" hidden="0" customHeight="1">
      <x:c r="A37" s="31" t="str">
        <x:v>Anjoman accounting.xlsx</x:v>
      </x:c>
      <x:c r="B37" s="31" t="str">
        <x:v>مرداد</x:v>
      </x:c>
      <x:c r="C37" s="31" t="str">
        <x:v>E7</x:v>
      </x:c>
      <x:c r="D37" s="31" t="str">
        <x:v>محمدامین عزیزی</x:v>
      </x:c>
      <x:c r="E37" s="31"/>
    </x:row>
    <x:row r="38" ht="15" hidden="0" customHeight="1">
      <x:c r="A38" s="31" t="str">
        <x:v>Anjoman accounting.xlsx</x:v>
      </x:c>
      <x:c r="B38" s="31" t="str">
        <x:v>مرداد</x:v>
      </x:c>
      <x:c r="C38" s="31" t="str">
        <x:v>F7</x:v>
      </x:c>
      <x:c r="D38" s="31" t="str">
        <x:v>TA پایتون، پشتیبانی ثبت نام، حسابداری مدرسه</x:v>
      </x:c>
      <x:c r="E38" s="31"/>
    </x:row>
    <x:row r="39" ht="15" hidden="0" customHeight="1">
      <x:c r="A39" s="31" t="str">
        <x:v>Anjoman accounting.xlsx</x:v>
      </x:c>
      <x:c r="B39" s="31" t="str">
        <x:v>مرداد</x:v>
      </x:c>
      <x:c r="C39" s="31" t="str">
        <x:v>D8</x:v>
      </x:c>
      <x:c r="D39" s="31" t="str">
        <x:v>300000.0</x:v>
      </x:c>
      <x:c r="E39" s="31"/>
    </x:row>
    <x:row r="40" ht="15" hidden="0" customHeight="1">
      <x:c r="A40" s="31" t="str">
        <x:v>Anjoman accounting.xlsx</x:v>
      </x:c>
      <x:c r="B40" s="31" t="str">
        <x:v>مرداد</x:v>
      </x:c>
      <x:c r="C40" s="31" t="str">
        <x:v>E8</x:v>
      </x:c>
      <x:c r="D40" s="31" t="str">
        <x:v>متین جوکار</x:v>
      </x:c>
      <x:c r="E40" s="31"/>
    </x:row>
    <x:row r="41" ht="15" hidden="0" customHeight="1">
      <x:c r="A41" s="31" t="str">
        <x:v>Anjoman accounting.xlsx</x:v>
      </x:c>
      <x:c r="B41" s="31" t="str">
        <x:v>مرداد</x:v>
      </x:c>
      <x:c r="C41" s="31" t="str">
        <x:v>F8</x:v>
      </x:c>
      <x:c r="D41" s="31" t="str">
        <x:v>ضبط جبرانی جلسه3 لتک</x:v>
      </x:c>
      <x:c r="E41" s="31"/>
    </x:row>
    <x:row r="42" ht="15" hidden="0" customHeight="1">
      <x:c r="A42" s="31" t="str">
        <x:v>Anjoman accounting.xlsx</x:v>
      </x:c>
      <x:c r="B42" s="31" t="str">
        <x:v>مرداد</x:v>
      </x:c>
      <x:c r="C42" s="31" t="str">
        <x:v>D9</x:v>
      </x:c>
      <x:c r="D42" s="31" t="str">
        <x:v>400000.0</x:v>
      </x:c>
      <x:c r="E42" s="31"/>
    </x:row>
    <x:row r="43" ht="15" hidden="0" customHeight="1">
      <x:c r="A43" s="31" t="str">
        <x:v>Anjoman accounting.xlsx</x:v>
      </x:c>
      <x:c r="B43" s="31" t="str">
        <x:v>مرداد</x:v>
      </x:c>
      <x:c r="C43" s="31" t="str">
        <x:v>E9</x:v>
      </x:c>
      <x:c r="D43" s="31" t="str">
        <x:v>محمدحسین مشک افشان</x:v>
      </x:c>
      <x:c r="E43" s="31"/>
    </x:row>
    <x:row r="44" ht="15" hidden="0" customHeight="1">
      <x:c r="A44" s="31" t="str">
        <x:v>Anjoman accounting.xlsx</x:v>
      </x:c>
      <x:c r="B44" s="31" t="str">
        <x:v>مرداد</x:v>
      </x:c>
      <x:c r="C44" s="31" t="str">
        <x:v>F9</x:v>
      </x:c>
      <x:c r="D44" s="31" t="str">
        <x:v>تبلیغ مدرسه تابستانه در مهمات شریف</x:v>
      </x:c>
      <x:c r="E44" s="31"/>
    </x:row>
    <x:row r="45" ht="15" hidden="0" customHeight="1">
      <x:c r="A45" s="31" t="str">
        <x:v>Anjoman accounting.xlsx</x:v>
      </x:c>
      <x:c r="B45" s="31" t="str">
        <x:v>شهریور</x:v>
      </x:c>
      <x:c r="C45" s="31" t="str">
        <x:v>C1</x:v>
      </x:c>
      <x:c r="D45" s="31" t="str">
        <x:v>شهریور</x:v>
      </x:c>
      <x:c r="E45" s="31"/>
    </x:row>
    <x:row r="46" ht="15" hidden="0" customHeight="1">
      <x:c r="A46" s="31" t="str">
        <x:v>Anjoman accounting.xlsx</x:v>
      </x:c>
      <x:c r="B46" s="31" t="str">
        <x:v>شهریور</x:v>
      </x:c>
      <x:c r="C46" s="31" t="str">
        <x:v>A2</x:v>
      </x:c>
      <x:c r="D46" s="31" t="str">
        <x:v>ورودی معرفی رشته</x:v>
      </x:c>
      <x:c r="E46" s="31"/>
    </x:row>
    <x:row r="47" ht="15" hidden="0" customHeight="1">
      <x:c r="A47" s="31" t="str">
        <x:v>Anjoman accounting.xlsx</x:v>
      </x:c>
      <x:c r="B47" s="31" t="str">
        <x:v>شهریور</x:v>
      </x:c>
      <x:c r="C47" s="31" t="str">
        <x:v>B2</x:v>
      </x:c>
      <x:c r="D47" s="31" t="str">
        <x:v>4920000.0</x:v>
      </x:c>
      <x:c r="E47" s="31"/>
    </x:row>
    <x:row r="48" ht="15" hidden="0" customHeight="1">
      <x:c r="A48" s="31" t="str">
        <x:v>Anjoman accounting.xlsx</x:v>
      </x:c>
      <x:c r="B48" s="31" t="str">
        <x:v>شهریور</x:v>
      </x:c>
      <x:c r="C48" s="31" t="str">
        <x:v>C2</x:v>
      </x:c>
      <x:c r="D48" s="31" t="str">
        <x:v>محمدامین عزیزی</x:v>
      </x:c>
      <x:c r="E48" s="31"/>
    </x:row>
    <x:row r="49" ht="15" hidden="0" customHeight="1">
      <x:c r="A49" s="31" t="str">
        <x:v>Anjoman accounting.xlsx</x:v>
      </x:c>
      <x:c r="B49" s="31" t="str">
        <x:v>شهریور</x:v>
      </x:c>
      <x:c r="C49" s="31" t="str">
        <x:v>D2</x:v>
      </x:c>
      <x:c r="D49" s="31" t="str">
        <x:v>100000.0</x:v>
      </x:c>
      <x:c r="E49" s="31"/>
    </x:row>
    <x:row r="50" ht="15" hidden="0" customHeight="1">
      <x:c r="A50" s="31" t="str">
        <x:v>Anjoman accounting.xlsx</x:v>
      </x:c>
      <x:c r="B50" s="31" t="str">
        <x:v>شهریور</x:v>
      </x:c>
      <x:c r="C50" s="31" t="str">
        <x:v>E2</x:v>
      </x:c>
      <x:c r="D50" s="31" t="str">
        <x:v>محمدامین عزیزی</x:v>
      </x:c>
      <x:c r="E50" s="31"/>
    </x:row>
    <x:row r="51" ht="15" hidden="0" customHeight="1">
      <x:c r="A51" s="31" t="str">
        <x:v>Anjoman accounting.xlsx</x:v>
      </x:c>
      <x:c r="B51" s="31" t="str">
        <x:v>شهریور</x:v>
      </x:c>
      <x:c r="C51" s="31" t="str">
        <x:v>F2</x:v>
      </x:c>
      <x:c r="D51" s="31" t="str">
        <x:v>چاپ پوستر و بارکد برای رویداد معرفی رشته</x:v>
      </x:c>
      <x:c r="E51" s="31"/>
    </x:row>
    <x:row r="52" ht="15" hidden="0" customHeight="1">
      <x:c r="A52" s="31" t="str">
        <x:v>Anjoman accounting.xlsx</x:v>
      </x:c>
      <x:c r="B52" s="31" t="str">
        <x:v>شهریور</x:v>
      </x:c>
      <x:c r="C52" s="31" t="str">
        <x:v>D3</x:v>
      </x:c>
      <x:c r="D52" s="31" t="str">
        <x:v>2866000.0</x:v>
      </x:c>
      <x:c r="E52" s="31"/>
    </x:row>
    <x:row r="53" ht="15" hidden="0" customHeight="1">
      <x:c r="A53" s="31" t="str">
        <x:v>Anjoman accounting.xlsx</x:v>
      </x:c>
      <x:c r="B53" s="31" t="str">
        <x:v>شهریور</x:v>
      </x:c>
      <x:c r="C53" s="31" t="str">
        <x:v>E3</x:v>
      </x:c>
      <x:c r="D53" s="31" t="str">
        <x:v>محمدامین عزیزی</x:v>
      </x:c>
      <x:c r="E53" s="31"/>
    </x:row>
    <x:row r="54" ht="15" hidden="0" customHeight="1">
      <x:c r="A54" s="31" t="str">
        <x:v>Anjoman accounting.xlsx</x:v>
      </x:c>
      <x:c r="B54" s="31" t="str">
        <x:v>شهریور</x:v>
      </x:c>
      <x:c r="C54" s="31" t="str">
        <x:v>F3</x:v>
      </x:c>
      <x:c r="D54" s="31" t="str">
        <x:v>تدارکات رویداد معرفی رشته</x:v>
      </x:c>
      <x:c r="E54" s="31"/>
    </x:row>
    <x:row r="55" ht="15" hidden="0" customHeight="1">
      <x:c r="A55" s="31" t="str">
        <x:v>Anjoman accounting.xlsx</x:v>
      </x:c>
      <x:c r="B55" s="31" t="str">
        <x:v>شهریور</x:v>
      </x:c>
      <x:c r="C55" s="31" t="str">
        <x:v>D4</x:v>
      </x:c>
      <x:c r="D55" s="31" t="str">
        <x:v>189000</x:v>
      </x:c>
      <x:c r="E55" s="31" t="str">
        <x:v>=3055000-D3</x:v>
      </x:c>
    </x:row>
    <x:row r="56" ht="15" hidden="0" customHeight="1">
      <x:c r="A56" s="31" t="str">
        <x:v>Anjoman accounting.xlsx</x:v>
      </x:c>
      <x:c r="B56" s="31" t="str">
        <x:v>شهریور</x:v>
      </x:c>
      <x:c r="C56" s="31" t="str">
        <x:v>E4</x:v>
      </x:c>
      <x:c r="D56" s="31" t="str">
        <x:v>ابراهیم خسروانی</x:v>
      </x:c>
      <x:c r="E56" s="31"/>
    </x:row>
    <x:row r="57" ht="15" hidden="0" customHeight="1">
      <x:c r="A57" s="31" t="str">
        <x:v>Anjoman accounting.xlsx</x:v>
      </x:c>
      <x:c r="B57" s="31" t="str">
        <x:v>شهریور</x:v>
      </x:c>
      <x:c r="C57" s="31" t="str">
        <x:v>F4</x:v>
      </x:c>
      <x:c r="D57" s="31" t="str">
        <x:v>حق الزحمه خرید تدارکات رویداد معرفی رشته</x:v>
      </x:c>
      <x:c r="E57" s="31"/>
    </x:row>
    <x:row r="58" ht="15" hidden="0" customHeight="1">
      <x:c r="A58" s="31" t="str">
        <x:v>Anjoman accounting.xlsx</x:v>
      </x:c>
      <x:c r="B58" s="31" t="str">
        <x:v>مجموع</x:v>
      </x:c>
      <x:c r="C58" s="31" t="str">
        <x:v>A1</x:v>
      </x:c>
      <x:c r="D58" s="31" t="str">
        <x:v>بابت</x:v>
      </x:c>
      <x:c r="E58" s="31"/>
    </x:row>
    <x:row r="59" ht="15" hidden="0" customHeight="1">
      <x:c r="A59" s="31" t="str">
        <x:v>Anjoman accounting.xlsx</x:v>
      </x:c>
      <x:c r="B59" s="31" t="str">
        <x:v>مجموع</x:v>
      </x:c>
      <x:c r="C59" s="31" t="str">
        <x:v>B1</x:v>
      </x:c>
      <x:c r="D59" s="31" t="str">
        <x:v>ورودی</x:v>
      </x:c>
      <x:c r="E59" s="31"/>
    </x:row>
    <x:row r="60" ht="15" hidden="0" customHeight="1">
      <x:c r="A60" s="31" t="str">
        <x:v>Anjoman accounting.xlsx</x:v>
      </x:c>
      <x:c r="B60" s="31" t="str">
        <x:v>مجموع</x:v>
      </x:c>
      <x:c r="C60" s="31" t="str">
        <x:v>C1</x:v>
      </x:c>
      <x:c r="D60" s="31" t="str">
        <x:v>ماه</x:v>
      </x:c>
      <x:c r="E60" s="31"/>
    </x:row>
    <x:row r="61" ht="15" hidden="0" customHeight="1">
      <x:c r="A61" s="31" t="str">
        <x:v>Anjoman accounting.xlsx</x:v>
      </x:c>
      <x:c r="B61" s="31" t="str">
        <x:v>مجموع</x:v>
      </x:c>
      <x:c r="C61" s="31" t="str">
        <x:v>D1</x:v>
      </x:c>
      <x:c r="D61" s="31" t="str">
        <x:v>هزینه</x:v>
      </x:c>
      <x:c r="E61" s="31"/>
    </x:row>
    <x:row r="62" ht="15" hidden="0" customHeight="1">
      <x:c r="A62" s="31" t="str">
        <x:v>Anjoman accounting.xlsx</x:v>
      </x:c>
      <x:c r="B62" s="31" t="str">
        <x:v>مجموع</x:v>
      </x:c>
      <x:c r="C62" s="31" t="str">
        <x:v>E1</x:v>
      </x:c>
      <x:c r="D62" s="31" t="str">
        <x:v>به ...</x:v>
      </x:c>
      <x:c r="E62" s="31"/>
    </x:row>
    <x:row r="63" ht="15" hidden="0" customHeight="1">
      <x:c r="A63" s="31" t="str">
        <x:v>Anjoman accounting.xlsx</x:v>
      </x:c>
      <x:c r="B63" s="31" t="str">
        <x:v>مجموع</x:v>
      </x:c>
      <x:c r="C63" s="31" t="str">
        <x:v>F1</x:v>
      </x:c>
      <x:c r="D63" s="31" t="str">
        <x:v>بابت</x:v>
      </x:c>
      <x:c r="E63" s="31"/>
    </x:row>
    <x:row r="64" ht="15" hidden="0" customHeight="1">
      <x:c r="A64" s="31" t="str">
        <x:v>Anjoman accounting.xlsx</x:v>
      </x:c>
      <x:c r="B64" s="31" t="str">
        <x:v>مجموع</x:v>
      </x:c>
      <x:c r="C64" s="31" t="str">
        <x:v>I1</x:v>
      </x:c>
      <x:c r="D64" s="31" t="str">
        <x:v>مجموع هزینه</x:v>
      </x:c>
      <x:c r="E64" s="31"/>
    </x:row>
    <x:row r="65" ht="15" hidden="0" customHeight="1">
      <x:c r="A65" s="31" t="str">
        <x:v>Anjoman accounting.xlsx</x:v>
      </x:c>
      <x:c r="B65" s="31" t="str">
        <x:v>مجموع</x:v>
      </x:c>
      <x:c r="C65" s="31" t="str">
        <x:v>J1</x:v>
      </x:c>
      <x:c r="D65" s="31" t="str">
        <x:v>مجموع درآمد</x:v>
      </x:c>
      <x:c r="E65" s="31"/>
    </x:row>
    <x:row r="66" ht="15" hidden="0" customHeight="1">
      <x:c r="A66" s="31" t="str">
        <x:v>Anjoman accounting.xlsx</x:v>
      </x:c>
      <x:c r="B66" s="31" t="str">
        <x:v>مجموع</x:v>
      </x:c>
      <x:c r="C66" s="31" t="str">
        <x:v>L1</x:v>
      </x:c>
      <x:c r="D66" s="31" t="str">
        <x:v>ماه</x:v>
      </x:c>
      <x:c r="E66" s="31"/>
    </x:row>
    <x:row r="67" ht="15" hidden="0" customHeight="1">
      <x:c r="A67" s="31" t="str">
        <x:v>Anjoman accounting.xlsx</x:v>
      </x:c>
      <x:c r="B67" s="31" t="str">
        <x:v>مجموع</x:v>
      </x:c>
      <x:c r="C67" s="31" t="str">
        <x:v>M1</x:v>
      </x:c>
      <x:c r="D67" s="31" t="str">
        <x:v>تراز ماهانه</x:v>
      </x:c>
      <x:c r="E67" s="31"/>
    </x:row>
    <x:row r="68" ht="15" hidden="0" customHeight="1">
      <x:c r="A68" s="31" t="str">
        <x:v>Anjoman accounting.xlsx</x:v>
      </x:c>
      <x:c r="B68" s="31" t="str">
        <x:v>مجموع</x:v>
      </x:c>
      <x:c r="C68" s="31" t="str">
        <x:v>O1</x:v>
      </x:c>
      <x:c r="D68" s="31" t="str">
        <x:v>تراز کل</x:v>
      </x:c>
      <x:c r="E68" s="31"/>
    </x:row>
    <x:row r="69" ht="15" hidden="0" customHeight="1">
      <x:c r="A69" s="31" t="str">
        <x:v>Anjoman accounting.xlsx</x:v>
      </x:c>
      <x:c r="B69" s="31" t="str">
        <x:v>مجموع</x:v>
      </x:c>
      <x:c r="C69" s="31" t="str">
        <x:v>C2</x:v>
      </x:c>
      <x:c r="D69" s="31" t="str">
        <x:v>مرداد</x:v>
      </x:c>
      <x:c r="E69" s="31"/>
    </x:row>
    <x:row r="70" ht="15" hidden="0" customHeight="1">
      <x:c r="A70" s="31" t="str">
        <x:v>Anjoman accounting.xlsx</x:v>
      </x:c>
      <x:c r="B70" s="31" t="str">
        <x:v>مجموع</x:v>
      </x:c>
      <x:c r="C70" s="31" t="str">
        <x:v>D2</x:v>
      </x:c>
      <x:c r="D70" s="31" t="str">
        <x:v>3500000.0</x:v>
      </x:c>
      <x:c r="E70" s="31"/>
    </x:row>
    <x:row r="71" ht="15" hidden="0" customHeight="1">
      <x:c r="A71" s="31" t="str">
        <x:v>Anjoman accounting.xlsx</x:v>
      </x:c>
      <x:c r="B71" s="31" t="str">
        <x:v>مجموع</x:v>
      </x:c>
      <x:c r="C71" s="31" t="str">
        <x:v>E2</x:v>
      </x:c>
      <x:c r="D71" s="31" t="str">
        <x:v>امیرمحمد جوشقانی</x:v>
      </x:c>
      <x:c r="E71" s="31"/>
    </x:row>
    <x:row r="72" ht="15" hidden="0" customHeight="1">
      <x:c r="A72" s="31" t="str">
        <x:v>Anjoman accounting.xlsx</x:v>
      </x:c>
      <x:c r="B72" s="31" t="str">
        <x:v>مجموع</x:v>
      </x:c>
      <x:c r="C72" s="31" t="str">
        <x:v>F2</x:v>
      </x:c>
      <x:c r="D72" s="31" t="str">
        <x:v>حق التدریس دوره پایتون</x:v>
      </x:c>
      <x:c r="E72" s="31"/>
    </x:row>
    <x:row r="73" ht="15" hidden="0" customHeight="1">
      <x:c r="A73" s="31" t="str">
        <x:v>Anjoman accounting.xlsx</x:v>
      </x:c>
      <x:c r="B73" s="31" t="str">
        <x:v>مجموع</x:v>
      </x:c>
      <x:c r="C73" s="31" t="str">
        <x:v>I2</x:v>
      </x:c>
      <x:c r="D73" s="31" t="str">
        <x:v>38638300</x:v>
      </x:c>
      <x:c r="E73" s="31" t="str">
        <x:v>=sum(D:D)</x:v>
      </x:c>
    </x:row>
    <x:row r="74" ht="15" hidden="0" customHeight="1">
      <x:c r="A74" s="31" t="str">
        <x:v>Anjoman accounting.xlsx</x:v>
      </x:c>
      <x:c r="B74" s="31" t="str">
        <x:v>مجموع</x:v>
      </x:c>
      <x:c r="C74" s="31" t="str">
        <x:v>J2</x:v>
      </x:c>
      <x:c r="D74" s="31" t="str">
        <x:v>112552000</x:v>
      </x:c>
      <x:c r="E74" s="31" t="str">
        <x:v>=sum(B:B)</x:v>
      </x:c>
    </x:row>
    <x:row r="75" ht="15" hidden="0" customHeight="1">
      <x:c r="A75" s="31" t="str">
        <x:v>Anjoman accounting.xlsx</x:v>
      </x:c>
      <x:c r="B75" s="31" t="str">
        <x:v>مجموع</x:v>
      </x:c>
      <x:c r="C75" s="31" t="str">
        <x:v>L2</x:v>
      </x:c>
      <x:c r="D75" s="31" t="str">
        <x:v>مرداد</x:v>
      </x:c>
      <x:c r="E75" s="31"/>
    </x:row>
    <x:row r="76" ht="15" hidden="0" customHeight="1">
      <x:c r="A76" s="31" t="str">
        <x:v>Anjoman accounting.xlsx</x:v>
      </x:c>
      <x:c r="B76" s="31" t="str">
        <x:v>مجموع</x:v>
      </x:c>
      <x:c r="C76" s="31" t="str">
        <x:v>M2</x:v>
      </x:c>
      <x:c r="D76" s="31" t="str">
        <x:v>20742000</x:v>
      </x:c>
      <x:c r="E76" s="31" t="str">
        <x:v>=B3-sum(D2:D10)</x:v>
      </x:c>
    </x:row>
    <x:row r="77" ht="15" hidden="0" customHeight="1">
      <x:c r="A77" s="31" t="str">
        <x:v>Anjoman accounting.xlsx</x:v>
      </x:c>
      <x:c r="B77" s="31" t="str">
        <x:v>مجموع</x:v>
      </x:c>
      <x:c r="C77" s="31" t="str">
        <x:v>O2</x:v>
      </x:c>
      <x:c r="D77" s="31" t="str">
        <x:v>73913700</x:v>
      </x:c>
      <x:c r="E77" s="31" t="str">
        <x:v>=J2-I2</x:v>
      </x:c>
    </x:row>
    <x:row r="78" ht="15" hidden="0" customHeight="1">
      <x:c r="A78" s="31" t="str">
        <x:v>Anjoman accounting.xlsx</x:v>
      </x:c>
      <x:c r="B78" s="31" t="str">
        <x:v>مجموع</x:v>
      </x:c>
      <x:c r="C78" s="31" t="str">
        <x:v>A3</x:v>
      </x:c>
      <x:c r="D78" s="31" t="str">
        <x:v>مدرسه تابستانه</x:v>
      </x:c>
      <x:c r="E78" s="31"/>
    </x:row>
    <x:row r="79" ht="15" hidden="0" customHeight="1">
      <x:c r="A79" s="31" t="str">
        <x:v>Anjoman accounting.xlsx</x:v>
      </x:c>
      <x:c r="B79" s="31" t="str">
        <x:v>مجموع</x:v>
      </x:c>
      <x:c r="C79" s="31" t="str">
        <x:v>B3</x:v>
      </x:c>
      <x:c r="D79" s="31" t="str">
        <x:v>3.3642E7</x:v>
      </x:c>
      <x:c r="E79" s="31"/>
    </x:row>
    <x:row r="80" ht="15" hidden="0" customHeight="1">
      <x:c r="A80" s="31" t="str">
        <x:v>Anjoman accounting.xlsx</x:v>
      </x:c>
      <x:c r="B80" s="31" t="str">
        <x:v>مجموع</x:v>
      </x:c>
      <x:c r="C80" s="31" t="str">
        <x:v>D3</x:v>
      </x:c>
      <x:c r="D80" s="31" t="str">
        <x:v>3000000.0</x:v>
      </x:c>
      <x:c r="E80" s="31"/>
    </x:row>
    <x:row r="81" ht="15" hidden="0" customHeight="1">
      <x:c r="A81" s="31" t="str">
        <x:v>Anjoman accounting.xlsx</x:v>
      </x:c>
      <x:c r="B81" s="31" t="str">
        <x:v>مجموع</x:v>
      </x:c>
      <x:c r="C81" s="31" t="str">
        <x:v>E3</x:v>
      </x:c>
      <x:c r="D81" s="31" t="str">
        <x:v>سهراب ملکی</x:v>
      </x:c>
      <x:c r="E81" s="31"/>
    </x:row>
    <x:row r="82" ht="15" hidden="0" customHeight="1">
      <x:c r="A82" s="31" t="str">
        <x:v>Anjoman accounting.xlsx</x:v>
      </x:c>
      <x:c r="B82" s="31" t="str">
        <x:v>مجموع</x:v>
      </x:c>
      <x:c r="C82" s="31" t="str">
        <x:v>F3</x:v>
      </x:c>
      <x:c r="D82" s="31" t="str">
        <x:v>حق التدریس دوره Mathemathica</x:v>
      </x:c>
      <x:c r="E82" s="31"/>
    </x:row>
    <x:row r="83" ht="15" hidden="0" customHeight="1">
      <x:c r="A83" s="31" t="str">
        <x:v>Anjoman accounting.xlsx</x:v>
      </x:c>
      <x:c r="B83" s="31" t="str">
        <x:v>مجموع</x:v>
      </x:c>
      <x:c r="C83" s="31" t="str">
        <x:v>L3</x:v>
      </x:c>
      <x:c r="D83" s="31" t="str">
        <x:v>شهریور</x:v>
      </x:c>
      <x:c r="E83" s="31"/>
    </x:row>
    <x:row r="84" ht="15" hidden="0" customHeight="1">
      <x:c r="A84" s="31" t="str">
        <x:v>Anjoman accounting.xlsx</x:v>
      </x:c>
      <x:c r="B84" s="31" t="str">
        <x:v>مجموع</x:v>
      </x:c>
      <x:c r="C84" s="31" t="str">
        <x:v>M3</x:v>
      </x:c>
      <x:c r="D84" s="31" t="str">
        <x:v>1765000</x:v>
      </x:c>
      <x:c r="E84" s="31" t="str">
        <x:v>=B15-SUM(D15:D17)</x:v>
      </x:c>
    </x:row>
    <x:row r="85" ht="15" hidden="0" customHeight="1">
      <x:c r="A85" s="31" t="str">
        <x:v>Anjoman accounting.xlsx</x:v>
      </x:c>
      <x:c r="B85" s="31" t="str">
        <x:v>مجموع</x:v>
      </x:c>
      <x:c r="C85" s="31" t="str">
        <x:v>D4</x:v>
      </x:c>
      <x:c r="D85" s="31" t="str">
        <x:v>3700000.0</x:v>
      </x:c>
      <x:c r="E85" s="31"/>
    </x:row>
    <x:row r="86" ht="15" hidden="0" customHeight="1">
      <x:c r="A86" s="31" t="str">
        <x:v>Anjoman accounting.xlsx</x:v>
      </x:c>
      <x:c r="B86" s="31" t="str">
        <x:v>مجموع</x:v>
      </x:c>
      <x:c r="C86" s="31" t="str">
        <x:v>E4</x:v>
      </x:c>
      <x:c r="D86" s="31" t="str">
        <x:v>متین جوکار</x:v>
      </x:c>
      <x:c r="E86" s="31"/>
    </x:row>
    <x:row r="87" ht="15" hidden="0" customHeight="1">
      <x:c r="A87" s="31" t="str">
        <x:v>Anjoman accounting.xlsx</x:v>
      </x:c>
      <x:c r="B87" s="31" t="str">
        <x:v>مجموع</x:v>
      </x:c>
      <x:c r="C87" s="31" t="str">
        <x:v>F4</x:v>
      </x:c>
      <x:c r="D87" s="31" t="str">
        <x:v>حق التدریس دوره Latex</x:v>
      </x:c>
      <x:c r="E87" s="31"/>
    </x:row>
    <x:row r="88" ht="15" hidden="0" customHeight="1">
      <x:c r="A88" s="31" t="str">
        <x:v>Anjoman accounting.xlsx</x:v>
      </x:c>
      <x:c r="B88" s="31" t="str">
        <x:v>مجموع</x:v>
      </x:c>
      <x:c r="C88" s="31" t="str">
        <x:v>L4</x:v>
      </x:c>
      <x:c r="D88" s="31" t="str">
        <x:v>مهر</x:v>
      </x:c>
      <x:c r="E88" s="31"/>
    </x:row>
    <x:row r="89" ht="15" hidden="0" customHeight="1">
      <x:c r="A89" s="31" t="str">
        <x:v>Anjoman accounting.xlsx</x:v>
      </x:c>
      <x:c r="B89" s="31" t="str">
        <x:v>مجموع</x:v>
      </x:c>
      <x:c r="C89" s="31" t="str">
        <x:v>M4</x:v>
      </x:c>
      <x:c r="D89" s="31" t="str">
        <x:v>-2345225</x:v>
      </x:c>
      <x:c r="E89" s="31" t="str">
        <x:v>=B19-SUM(D19:D22)</x:v>
      </x:c>
    </x:row>
    <x:row r="90" ht="15" hidden="0" customHeight="1">
      <x:c r="A90" s="31" t="str">
        <x:v>Anjoman accounting.xlsx</x:v>
      </x:c>
      <x:c r="B90" s="31" t="str">
        <x:v>مجموع</x:v>
      </x:c>
      <x:c r="C90" s="31" t="str">
        <x:v>D5</x:v>
      </x:c>
      <x:c r="D90" s="31" t="str">
        <x:v>500000.0</x:v>
      </x:c>
      <x:c r="E90" s="31"/>
    </x:row>
    <x:row r="91" ht="15" hidden="0" customHeight="1">
      <x:c r="A91" s="31" t="str">
        <x:v>Anjoman accounting.xlsx</x:v>
      </x:c>
      <x:c r="B91" s="31" t="str">
        <x:v>مجموع</x:v>
      </x:c>
      <x:c r="C91" s="31" t="str">
        <x:v>E5</x:v>
      </x:c>
      <x:c r="D91" s="31" t="str">
        <x:v>ابراهیم خسروانی</x:v>
      </x:c>
      <x:c r="E91" s="31"/>
    </x:row>
    <x:row r="92" ht="15" hidden="0" customHeight="1">
      <x:c r="A92" s="31" t="str">
        <x:v>Anjoman accounting.xlsx</x:v>
      </x:c>
      <x:c r="B92" s="31" t="str">
        <x:v>مجموع</x:v>
      </x:c>
      <x:c r="C92" s="31" t="str">
        <x:v>F5</x:v>
      </x:c>
      <x:c r="D92" s="31" t="str">
        <x:v>TA، فرم و شیت مدرسه تابستانه</x:v>
      </x:c>
      <x:c r="E92" s="31"/>
    </x:row>
    <x:row r="93" ht="15" hidden="0" customHeight="1">
      <x:c r="A93" s="31" t="str">
        <x:v>Anjoman accounting.xlsx</x:v>
      </x:c>
      <x:c r="B93" s="31" t="str">
        <x:v>مجموع</x:v>
      </x:c>
      <x:c r="C93" s="31" t="str">
        <x:v>L5</x:v>
      </x:c>
      <x:c r="D93" s="31" t="str">
        <x:v>آبان</x:v>
      </x:c>
      <x:c r="E93" s="31"/>
    </x:row>
    <x:row r="94" ht="15" hidden="0" customHeight="1">
      <x:c r="A94" s="31" t="str">
        <x:v>Anjoman accounting.xlsx</x:v>
      </x:c>
      <x:c r="B94" s="31" t="str">
        <x:v>مجموع</x:v>
      </x:c>
      <x:c r="C94" s="31" t="str">
        <x:v>M5</x:v>
      </x:c>
      <x:c r="D94" s="31" t="str">
        <x:v>601300</x:v>
      </x:c>
      <x:c r="E94" s="31" t="str">
        <x:v>=sum(B25:B30)-sum(D25:D36)</x:v>
      </x:c>
    </x:row>
    <x:row r="95" ht="15" hidden="0" customHeight="1">
      <x:c r="A95" s="31" t="str">
        <x:v>Anjoman accounting.xlsx</x:v>
      </x:c>
      <x:c r="B95" s="31" t="str">
        <x:v>مجموع</x:v>
      </x:c>
      <x:c r="C95" s="31" t="str">
        <x:v>D6</x:v>
      </x:c>
      <x:c r="D95" s="31" t="str">
        <x:v>600000.0</x:v>
      </x:c>
      <x:c r="E95" s="31"/>
    </x:row>
    <x:row r="96" ht="15" hidden="0" customHeight="1">
      <x:c r="A96" s="31" t="str">
        <x:v>Anjoman accounting.xlsx</x:v>
      </x:c>
      <x:c r="B96" s="31" t="str">
        <x:v>مجموع</x:v>
      </x:c>
      <x:c r="C96" s="31" t="str">
        <x:v>E6</x:v>
      </x:c>
      <x:c r="D96" s="31" t="str">
        <x:v>سپهر طلایی</x:v>
      </x:c>
      <x:c r="E96" s="31"/>
    </x:row>
    <x:row r="97" ht="15" hidden="0" customHeight="1">
      <x:c r="A97" s="31" t="str">
        <x:v>Anjoman accounting.xlsx</x:v>
      </x:c>
      <x:c r="B97" s="31" t="str">
        <x:v>مجموع</x:v>
      </x:c>
      <x:c r="C97" s="31" t="str">
        <x:v>F6</x:v>
      </x:c>
      <x:c r="D97" s="31" t="str">
        <x:v>TA پایتون، پشتیبانی ثبت نام</x:v>
      </x:c>
      <x:c r="E97" s="31"/>
    </x:row>
    <x:row r="98" ht="15" hidden="0" customHeight="1">
      <x:c r="A98" s="31" t="str">
        <x:v>Anjoman accounting.xlsx</x:v>
      </x:c>
      <x:c r="B98" s="31" t="str">
        <x:v>مجموع</x:v>
      </x:c>
      <x:c r="C98" s="31" t="str">
        <x:v>L6</x:v>
      </x:c>
      <x:c r="D98" s="31" t="str">
        <x:v>آذر</x:v>
      </x:c>
      <x:c r="E98" s="31"/>
    </x:row>
    <x:row r="99" ht="15" hidden="0" customHeight="1">
      <x:c r="A99" s="31" t="str">
        <x:v>Anjoman accounting.xlsx</x:v>
      </x:c>
      <x:c r="B99" s="31" t="str">
        <x:v>مجموع</x:v>
      </x:c>
      <x:c r="C99" s="31" t="str">
        <x:v>M6</x:v>
      </x:c>
      <x:c r="D99" s="31" t="str">
        <x:v>23000000</x:v>
      </x:c>
      <x:c r="E99" s="31" t="str">
        <x:v>=sum(B38:B40)-sum(D39:D40)</x:v>
      </x:c>
    </x:row>
    <x:row r="100" ht="15" hidden="0" customHeight="1">
      <x:c r="A100" s="31" t="str">
        <x:v>Anjoman accounting.xlsx</x:v>
      </x:c>
      <x:c r="B100" s="31" t="str">
        <x:v>مجموع</x:v>
      </x:c>
      <x:c r="C100" s="31" t="str">
        <x:v>D7</x:v>
      </x:c>
      <x:c r="D100" s="31" t="str">
        <x:v>600000.0</x:v>
      </x:c>
      <x:c r="E100" s="31"/>
    </x:row>
    <x:row r="101" ht="15" hidden="0" customHeight="1">
      <x:c r="A101" s="31" t="str">
        <x:v>Anjoman accounting.xlsx</x:v>
      </x:c>
      <x:c r="B101" s="31" t="str">
        <x:v>مجموع</x:v>
      </x:c>
      <x:c r="C101" s="31" t="str">
        <x:v>E7</x:v>
      </x:c>
      <x:c r="D101" s="31" t="str">
        <x:v>محمدامین عزیزی</x:v>
      </x:c>
      <x:c r="E101" s="31"/>
    </x:row>
    <x:row r="102" ht="15" hidden="0" customHeight="1">
      <x:c r="A102" s="31" t="str">
        <x:v>Anjoman accounting.xlsx</x:v>
      </x:c>
      <x:c r="B102" s="31" t="str">
        <x:v>مجموع</x:v>
      </x:c>
      <x:c r="C102" s="31" t="str">
        <x:v>F7</x:v>
      </x:c>
      <x:c r="D102" s="31" t="str">
        <x:v>TA پایتون، پشتیبانی ثبت نام، حسابداری مدرسه</x:v>
      </x:c>
      <x:c r="E102" s="31"/>
    </x:row>
    <x:row r="103" ht="15" hidden="0" customHeight="1">
      <x:c r="A103" s="31" t="str">
        <x:v>Anjoman accounting.xlsx</x:v>
      </x:c>
      <x:c r="B103" s="31" t="str">
        <x:v>مجموع</x:v>
      </x:c>
      <x:c r="C103" s="31" t="str">
        <x:v>L7</x:v>
      </x:c>
      <x:c r="D103" s="31" t="str">
        <x:v>دی</x:v>
      </x:c>
      <x:c r="E103" s="31"/>
    </x:row>
    <x:row r="104" ht="15" hidden="0" customHeight="1">
      <x:c r="A104" s="31" t="str">
        <x:v>Anjoman accounting.xlsx</x:v>
      </x:c>
      <x:c r="B104" s="31" t="str">
        <x:v>مجموع</x:v>
      </x:c>
      <x:c r="C104" s="31" t="str">
        <x:v>M7</x:v>
      </x:c>
      <x:c r="D104" s="31" t="str">
        <x:v>16490000</x:v>
      </x:c>
      <x:c r="E104" s="31" t="str">
        <x:v>=B42+B43</x:v>
      </x:c>
    </x:row>
    <x:row r="105" ht="15" hidden="0" customHeight="1">
      <x:c r="A105" s="31" t="str">
        <x:v>Anjoman accounting.xlsx</x:v>
      </x:c>
      <x:c r="B105" s="31" t="str">
        <x:v>مجموع</x:v>
      </x:c>
      <x:c r="C105" s="31" t="str">
        <x:v>D8</x:v>
      </x:c>
      <x:c r="D105" s="31" t="str">
        <x:v>300000.0</x:v>
      </x:c>
      <x:c r="E105" s="31"/>
    </x:row>
    <x:row r="106" ht="15" hidden="0" customHeight="1">
      <x:c r="A106" s="31" t="str">
        <x:v>Anjoman accounting.xlsx</x:v>
      </x:c>
      <x:c r="B106" s="31" t="str">
        <x:v>مجموع</x:v>
      </x:c>
      <x:c r="C106" s="31" t="str">
        <x:v>E8</x:v>
      </x:c>
      <x:c r="D106" s="31" t="str">
        <x:v>متین جوکار</x:v>
      </x:c>
      <x:c r="E106" s="31"/>
    </x:row>
    <x:row r="107" ht="15" hidden="0" customHeight="1">
      <x:c r="A107" s="31" t="str">
        <x:v>Anjoman accounting.xlsx</x:v>
      </x:c>
      <x:c r="B107" s="31" t="str">
        <x:v>مجموع</x:v>
      </x:c>
      <x:c r="C107" s="31" t="str">
        <x:v>F8</x:v>
      </x:c>
      <x:c r="D107" s="31" t="str">
        <x:v>ضبط جبرانی جلسه3 لتک</x:v>
      </x:c>
      <x:c r="E107" s="31"/>
    </x:row>
    <x:row r="108" ht="15" hidden="0" customHeight="1">
      <x:c r="A108" s="31" t="str">
        <x:v>Anjoman accounting.xlsx</x:v>
      </x:c>
      <x:c r="B108" s="31" t="str">
        <x:v>مجموع</x:v>
      </x:c>
      <x:c r="C108" s="31" t="str">
        <x:v>D9</x:v>
      </x:c>
      <x:c r="D108" s="31" t="str">
        <x:v>400000.0</x:v>
      </x:c>
      <x:c r="E108" s="31"/>
    </x:row>
    <x:row r="109" ht="15" hidden="0" customHeight="1">
      <x:c r="A109" s="31" t="str">
        <x:v>Anjoman accounting.xlsx</x:v>
      </x:c>
      <x:c r="B109" s="31" t="str">
        <x:v>مجموع</x:v>
      </x:c>
      <x:c r="C109" s="31" t="str">
        <x:v>E9</x:v>
      </x:c>
      <x:c r="D109" s="31" t="str">
        <x:v>محمدحسین مشک افشان</x:v>
      </x:c>
      <x:c r="E109" s="31"/>
    </x:row>
    <x:row r="110" ht="15" hidden="0" customHeight="1">
      <x:c r="A110" s="31" t="str">
        <x:v>Anjoman accounting.xlsx</x:v>
      </x:c>
      <x:c r="B110" s="31" t="str">
        <x:v>مجموع</x:v>
      </x:c>
      <x:c r="C110" s="31" t="str">
        <x:v>F9</x:v>
      </x:c>
      <x:c r="D110" s="31" t="str">
        <x:v>تبلیغ مدرسه تابستانه در مهمات شریف</x:v>
      </x:c>
      <x:c r="E110" s="31"/>
    </x:row>
    <x:row r="111" ht="15" hidden="0" customHeight="1">
      <x:c r="A111" s="31" t="str">
        <x:v>Anjoman accounting.xlsx</x:v>
      </x:c>
      <x:c r="B111" s="31" t="str">
        <x:v>مجموع</x:v>
      </x:c>
      <x:c r="C111" s="31" t="str">
        <x:v>D10</x:v>
      </x:c>
      <x:c r="D111" s="31" t="str">
        <x:v>300000.0</x:v>
      </x:c>
      <x:c r="E111" s="31"/>
    </x:row>
    <x:row r="112" ht="15" hidden="0" customHeight="1">
      <x:c r="A112" s="31" t="str">
        <x:v>Anjoman accounting.xlsx</x:v>
      </x:c>
      <x:c r="B112" s="31" t="str">
        <x:v>مجموع</x:v>
      </x:c>
      <x:c r="C112" s="31" t="str">
        <x:v>E10</x:v>
      </x:c>
      <x:c r="D112" s="31" t="str">
        <x:v>امیرمحمد جوشقانی</x:v>
      </x:c>
      <x:c r="E112" s="31"/>
    </x:row>
    <x:row r="113" ht="15" hidden="0" customHeight="1">
      <x:c r="A113" s="31" t="str">
        <x:v>Anjoman accounting.xlsx</x:v>
      </x:c>
      <x:c r="B113" s="31" t="str">
        <x:v>مجموع</x:v>
      </x:c>
      <x:c r="C113" s="31" t="str">
        <x:v>F10</x:v>
      </x:c>
      <x:c r="D113" s="31" t="str">
        <x:v>ضبط جبرانی جلسه4 پایتون</x:v>
      </x:c>
      <x:c r="E113" s="31"/>
    </x:row>
    <x:row r="114" ht="15" hidden="0" customHeight="1">
      <x:c r="A114" s="31" t="str">
        <x:v>Anjoman accounting.xlsx</x:v>
      </x:c>
      <x:c r="B114" s="31" t="str">
        <x:v>مجموع</x:v>
      </x:c>
      <x:c r="C114" s="31" t="str">
        <x:v>D11</x:v>
      </x:c>
      <x:c r="D114" s="31" t="str">
        <x:v>750000.0</x:v>
      </x:c>
      <x:c r="E114" s="31"/>
    </x:row>
    <x:row r="115" ht="15" hidden="0" customHeight="1">
      <x:c r="A115" s="31" t="str">
        <x:v>Anjoman accounting.xlsx</x:v>
      </x:c>
      <x:c r="B115" s="31" t="str">
        <x:v>مجموع</x:v>
      </x:c>
      <x:c r="C115" s="31" t="str">
        <x:v>E11</x:v>
      </x:c>
      <x:c r="D115" s="31" t="str">
        <x:v>حسن شیری</x:v>
      </x:c>
      <x:c r="E115" s="31"/>
    </x:row>
    <x:row r="116" ht="15" hidden="0" customHeight="1">
      <x:c r="A116" s="31" t="str">
        <x:v>Anjoman accounting.xlsx</x:v>
      </x:c>
      <x:c r="B116" s="31" t="str">
        <x:v>مجموع</x:v>
      </x:c>
      <x:c r="C116" s="31" t="str">
        <x:v>F11</x:v>
      </x:c>
      <x:c r="D116" s="31" t="str">
        <x:v>گرفتن کلید انجمن برای اعضا</x:v>
      </x:c>
      <x:c r="E116" s="31"/>
    </x:row>
    <x:row r="117" ht="15" hidden="0" customHeight="1">
      <x:c r="A117" s="31" t="str">
        <x:v>Anjoman accounting.xlsx</x:v>
      </x:c>
      <x:c r="B117" s="31" t="str">
        <x:v>مجموع</x:v>
      </x:c>
      <x:c r="C117" s="31" t="str">
        <x:v>D12</x:v>
      </x:c>
      <x:c r="D117" s="31" t="str">
        <x:v>400000.0</x:v>
      </x:c>
      <x:c r="E117" s="31"/>
    </x:row>
    <x:row r="118" ht="15" hidden="0" customHeight="1">
      <x:c r="A118" s="31" t="str">
        <x:v>Anjoman accounting.xlsx</x:v>
      </x:c>
      <x:c r="B118" s="31" t="str">
        <x:v>مجموع</x:v>
      </x:c>
      <x:c r="C118" s="31" t="str">
        <x:v>E12</x:v>
      </x:c>
      <x:c r="D118" s="31" t="str">
        <x:v>حسن شیری</x:v>
      </x:c>
      <x:c r="E118" s="31"/>
    </x:row>
    <x:row r="119" ht="15" hidden="0" customHeight="1">
      <x:c r="A119" s="31" t="str">
        <x:v>Anjoman accounting.xlsx</x:v>
      </x:c>
      <x:c r="B119" s="31" t="str">
        <x:v>مجموع</x:v>
      </x:c>
      <x:c r="C119" s="31" t="str">
        <x:v>F12</x:v>
      </x:c>
      <x:c r="D119" s="31" t="str">
        <x:v>نبلیغات مدرسه تابستانه در مهمات شریف</x:v>
      </x:c>
      <x:c r="E119" s="31"/>
    </x:row>
    <x:row r="120" ht="15" hidden="0" customHeight="1">
      <x:c r="A120" s="31" t="str">
        <x:v>Anjoman accounting.xlsx</x:v>
      </x:c>
      <x:c r="B120" s="31" t="str">
        <x:v>مجموع</x:v>
      </x:c>
      <x:c r="C120" s="31" t="str">
        <x:v>C14</x:v>
      </x:c>
      <x:c r="D120" s="31" t="str">
        <x:v>شهریور</x:v>
      </x:c>
      <x:c r="E120" s="31"/>
    </x:row>
    <x:row r="121" ht="15" hidden="0" customHeight="1">
      <x:c r="A121" s="31" t="str">
        <x:v>Anjoman accounting.xlsx</x:v>
      </x:c>
      <x:c r="B121" s="31" t="str">
        <x:v>مجموع</x:v>
      </x:c>
      <x:c r="C121" s="31" t="str">
        <x:v>A15</x:v>
      </x:c>
      <x:c r="D121" s="31" t="str">
        <x:v>ورودی معرفی رشته</x:v>
      </x:c>
      <x:c r="E121" s="31"/>
    </x:row>
    <x:row r="122" ht="15" hidden="0" customHeight="1">
      <x:c r="A122" s="31" t="str">
        <x:v>Anjoman accounting.xlsx</x:v>
      </x:c>
      <x:c r="B122" s="31" t="str">
        <x:v>مجموع</x:v>
      </x:c>
      <x:c r="C122" s="31" t="str">
        <x:v>B15</x:v>
      </x:c>
      <x:c r="D122" s="31" t="str">
        <x:v>4920000.0</x:v>
      </x:c>
      <x:c r="E122" s="31"/>
    </x:row>
    <x:row r="123" ht="15" hidden="0" customHeight="1">
      <x:c r="A123" s="31" t="str">
        <x:v>Anjoman accounting.xlsx</x:v>
      </x:c>
      <x:c r="B123" s="31" t="str">
        <x:v>مجموع</x:v>
      </x:c>
      <x:c r="C123" s="31" t="str">
        <x:v>D15</x:v>
      </x:c>
      <x:c r="D123" s="31" t="str">
        <x:v>100000.0</x:v>
      </x:c>
      <x:c r="E123" s="31"/>
    </x:row>
    <x:row r="124" ht="15" hidden="0" customHeight="1">
      <x:c r="A124" s="31" t="str">
        <x:v>Anjoman accounting.xlsx</x:v>
      </x:c>
      <x:c r="B124" s="31" t="str">
        <x:v>مجموع</x:v>
      </x:c>
      <x:c r="C124" s="31" t="str">
        <x:v>E15</x:v>
      </x:c>
      <x:c r="D124" s="31" t="str">
        <x:v>محمدامین عزیزی</x:v>
      </x:c>
      <x:c r="E124" s="31"/>
    </x:row>
    <x:row r="125" ht="15" hidden="0" customHeight="1">
      <x:c r="A125" s="31" t="str">
        <x:v>Anjoman accounting.xlsx</x:v>
      </x:c>
      <x:c r="B125" s="31" t="str">
        <x:v>مجموع</x:v>
      </x:c>
      <x:c r="C125" s="31" t="str">
        <x:v>F15</x:v>
      </x:c>
      <x:c r="D125" s="31" t="str">
        <x:v>چاپ پوستر و بارکد برای رویداد معرفی رشته</x:v>
      </x:c>
      <x:c r="E125" s="31"/>
    </x:row>
    <x:row r="126" ht="15" hidden="0" customHeight="1">
      <x:c r="A126" s="31" t="str">
        <x:v>Anjoman accounting.xlsx</x:v>
      </x:c>
      <x:c r="B126" s="31" t="str">
        <x:v>مجموع</x:v>
      </x:c>
      <x:c r="C126" s="31" t="str">
        <x:v>D16</x:v>
      </x:c>
      <x:c r="D126" s="31" t="str">
        <x:v>2866000.0</x:v>
      </x:c>
      <x:c r="E126" s="31"/>
    </x:row>
    <x:row r="127" ht="15" hidden="0" customHeight="1">
      <x:c r="A127" s="31" t="str">
        <x:v>Anjoman accounting.xlsx</x:v>
      </x:c>
      <x:c r="B127" s="31" t="str">
        <x:v>مجموع</x:v>
      </x:c>
      <x:c r="C127" s="31" t="str">
        <x:v>E16</x:v>
      </x:c>
      <x:c r="D127" s="31" t="str">
        <x:v>محمدامین عزیزی</x:v>
      </x:c>
      <x:c r="E127" s="31"/>
    </x:row>
    <x:row r="128" ht="15" hidden="0" customHeight="1">
      <x:c r="A128" s="31" t="str">
        <x:v>Anjoman accounting.xlsx</x:v>
      </x:c>
      <x:c r="B128" s="31" t="str">
        <x:v>مجموع</x:v>
      </x:c>
      <x:c r="C128" s="31" t="str">
        <x:v>F16</x:v>
      </x:c>
      <x:c r="D128" s="31" t="str">
        <x:v>تدارکات رویداد معرفی رشته</x:v>
      </x:c>
      <x:c r="E128" s="31"/>
    </x:row>
    <x:row r="129" ht="15" hidden="0" customHeight="1">
      <x:c r="A129" s="31" t="str">
        <x:v>Anjoman accounting.xlsx</x:v>
      </x:c>
      <x:c r="B129" s="31" t="str">
        <x:v>مجموع</x:v>
      </x:c>
      <x:c r="C129" s="31" t="str">
        <x:v>D17</x:v>
      </x:c>
      <x:c r="D129" s="31" t="str">
        <x:v>189000</x:v>
      </x:c>
      <x:c r="E129" s="31" t="str">
        <x:v>=3055000-D16</x:v>
      </x:c>
    </x:row>
    <x:row r="130" ht="15" hidden="0" customHeight="1">
      <x:c r="A130" s="31" t="str">
        <x:v>Anjoman accounting.xlsx</x:v>
      </x:c>
      <x:c r="B130" s="31" t="str">
        <x:v>مجموع</x:v>
      </x:c>
      <x:c r="C130" s="31" t="str">
        <x:v>E17</x:v>
      </x:c>
      <x:c r="D130" s="31" t="str">
        <x:v>ابراهیم خسروانی</x:v>
      </x:c>
      <x:c r="E130" s="31"/>
    </x:row>
    <x:row r="131" ht="15" hidden="0" customHeight="1">
      <x:c r="A131" s="31" t="str">
        <x:v>Anjoman accounting.xlsx</x:v>
      </x:c>
      <x:c r="B131" s="31" t="str">
        <x:v>مجموع</x:v>
      </x:c>
      <x:c r="C131" s="31" t="str">
        <x:v>F17</x:v>
      </x:c>
      <x:c r="D131" s="31" t="str">
        <x:v>حق الزحمه خرید تدارکات رویداد معرفی رشته</x:v>
      </x:c>
      <x:c r="E131" s="31"/>
    </x:row>
    <x:row r="132" ht="15" hidden="0" customHeight="1">
      <x:c r="A132" s="31" t="str">
        <x:v>Anjoman accounting.xlsx</x:v>
      </x:c>
      <x:c r="B132" s="31" t="str">
        <x:v>مجموع</x:v>
      </x:c>
      <x:c r="C132" s="31" t="str">
        <x:v>C18</x:v>
      </x:c>
      <x:c r="D132" s="31" t="str">
        <x:v>مهر</x:v>
      </x:c>
      <x:c r="E132" s="31"/>
    </x:row>
    <x:row r="133" ht="15" hidden="0" customHeight="1">
      <x:c r="A133" s="31" t="str">
        <x:v>Anjoman accounting.xlsx</x:v>
      </x:c>
      <x:c r="B133" s="31" t="str">
        <x:v>مجموع</x:v>
      </x:c>
      <x:c r="C133" s="31" t="str">
        <x:v>A19</x:v>
      </x:c>
      <x:c r="D133" s="31" t="str">
        <x:v>واریزی دکتر مقیمی برای شیرینی نشست عمومی اساتید</x:v>
      </x:c>
      <x:c r="E133" s="31"/>
    </x:row>
    <x:row r="134" ht="15" hidden="0" customHeight="1">
      <x:c r="A134" s="31" t="str">
        <x:v>Anjoman accounting.xlsx</x:v>
      </x:c>
      <x:c r="B134" s="31" t="str">
        <x:v>مجموع</x:v>
      </x:c>
      <x:c r="C134" s="31" t="str">
        <x:v>B19</x:v>
      </x:c>
      <x:c r="D134" s="31" t="str">
        <x:v>500000.0</x:v>
      </x:c>
      <x:c r="E134" s="31"/>
    </x:row>
    <x:row r="135" ht="15" hidden="0" customHeight="1">
      <x:c r="A135" s="31" t="str">
        <x:v>Anjoman accounting.xlsx</x:v>
      </x:c>
      <x:c r="B135" s="31" t="str">
        <x:v>مجموع</x:v>
      </x:c>
      <x:c r="C135" s="31" t="str">
        <x:v>D19</x:v>
      </x:c>
      <x:c r="D135" s="31" t="str">
        <x:v>90000.0</x:v>
      </x:c>
      <x:c r="E135" s="31"/>
    </x:row>
    <x:row r="136" ht="15" hidden="0" customHeight="1">
      <x:c r="A136" s="31" t="str">
        <x:v>Anjoman accounting.xlsx</x:v>
      </x:c>
      <x:c r="B136" s="31" t="str">
        <x:v>مجموع</x:v>
      </x:c>
      <x:c r="C136" s="31" t="str">
        <x:v>F19</x:v>
      </x:c>
      <x:c r="D136" s="31" t="str">
        <x:v>پوستر نشست عمومی با اساتید و حلقه های کوانتا(هفته 19مهر)</x:v>
      </x:c>
      <x:c r="E136" s="31"/>
    </x:row>
    <x:row r="137" ht="15" hidden="0" customHeight="1">
      <x:c r="A137" s="31" t="str">
        <x:v>Anjoman accounting.xlsx</x:v>
      </x:c>
      <x:c r="B137" s="31" t="str">
        <x:v>مجموع</x:v>
      </x:c>
      <x:c r="C137" s="31" t="str">
        <x:v>D20</x:v>
      </x:c>
      <x:c r="D137" s="31" t="str">
        <x:v>1052375.0</x:v>
      </x:c>
      <x:c r="E137" s="31"/>
    </x:row>
    <x:row r="138" ht="15" hidden="0" customHeight="1">
      <x:c r="A138" s="31" t="str">
        <x:v>Anjoman accounting.xlsx</x:v>
      </x:c>
      <x:c r="B138" s="31" t="str">
        <x:v>مجموع</x:v>
      </x:c>
      <x:c r="C138" s="31" t="str">
        <x:v>F20</x:v>
      </x:c>
      <x:c r="D138" s="31" t="str">
        <x:v>شیرینی نشست عمومی با اساتید</x:v>
      </x:c>
      <x:c r="E138" s="31"/>
    </x:row>
    <x:row r="139" ht="15" hidden="0" customHeight="1">
      <x:c r="A139" s="31" t="str">
        <x:v>Anjoman accounting.xlsx</x:v>
      </x:c>
      <x:c r="B139" s="31" t="str">
        <x:v>مجموع</x:v>
      </x:c>
      <x:c r="C139" s="31" t="str">
        <x:v>D21</x:v>
      </x:c>
      <x:c r="D139" s="31" t="str">
        <x:v>790000.0</x:v>
      </x:c>
      <x:c r="E139" s="31"/>
    </x:row>
    <x:row r="140" ht="15" hidden="0" customHeight="1">
      <x:c r="A140" s="31" t="str">
        <x:v>Anjoman accounting.xlsx</x:v>
      </x:c>
      <x:c r="B140" s="31" t="str">
        <x:v>مجموع</x:v>
      </x:c>
      <x:c r="C140" s="31" t="str">
        <x:v>F21</x:v>
      </x:c>
      <x:c r="D140" s="31" t="str">
        <x:v>2*50 لیوان + 3*40 بیسکوییت+100چای برای انجمن چای</x:v>
      </x:c>
      <x:c r="E140" s="31"/>
    </x:row>
    <x:row r="141" ht="15" hidden="0" customHeight="1">
      <x:c r="A141" s="31" t="str">
        <x:v>Anjoman accounting.xlsx</x:v>
      </x:c>
      <x:c r="B141" s="31" t="str">
        <x:v>مجموع</x:v>
      </x:c>
      <x:c r="C141" s="31" t="str">
        <x:v>D22</x:v>
      </x:c>
      <x:c r="D141" s="31" t="str">
        <x:v>912850.0</x:v>
      </x:c>
      <x:c r="E141" s="31"/>
    </x:row>
    <x:row r="142" ht="15" hidden="0" customHeight="1">
      <x:c r="A142" s="31" t="str">
        <x:v>Anjoman accounting.xlsx</x:v>
      </x:c>
      <x:c r="B142" s="31" t="str">
        <x:v>مجموع</x:v>
      </x:c>
      <x:c r="C142" s="31" t="str">
        <x:v>F22</x:v>
      </x:c>
      <x:c r="D142" s="31" t="str">
        <x:v>شیریننی نشست انجمن چای</x:v>
      </x:c>
      <x:c r="E142" s="31"/>
    </x:row>
    <x:row r="143" ht="15" hidden="0" customHeight="1">
      <x:c r="A143" s="31" t="str">
        <x:v>Anjoman accounting.xlsx</x:v>
      </x:c>
      <x:c r="B143" s="31" t="str">
        <x:v>مجموع</x:v>
      </x:c>
      <x:c r="C143" s="31" t="str">
        <x:v>D23</x:v>
      </x:c>
      <x:c r="D143" s="31" t="str">
        <x:v>1052375.0</x:v>
      </x:c>
      <x:c r="E143" s="31"/>
    </x:row>
    <x:row r="144" ht="15" hidden="0" customHeight="1">
      <x:c r="A144" s="31" t="str">
        <x:v>Anjoman accounting.xlsx</x:v>
      </x:c>
      <x:c r="B144" s="31" t="str">
        <x:v>مجموع</x:v>
      </x:c>
      <x:c r="C144" s="31" t="str">
        <x:v>F23</x:v>
      </x:c>
      <x:c r="D144" s="31" t="str">
        <x:v>شیرینی دیدار با اساتید</x:v>
      </x:c>
      <x:c r="E144" s="31"/>
    </x:row>
    <x:row r="145" ht="15" hidden="0" customHeight="1">
      <x:c r="A145" s="31" t="str">
        <x:v>Anjoman accounting.xlsx</x:v>
      </x:c>
      <x:c r="B145" s="31" t="str">
        <x:v>مجموع</x:v>
      </x:c>
      <x:c r="C145" s="31" t="str">
        <x:v>C24</x:v>
      </x:c>
      <x:c r="D145" s="31" t="str">
        <x:v>آبان</x:v>
      </x:c>
      <x:c r="E145" s="31"/>
    </x:row>
    <x:row r="146" ht="15" hidden="0" customHeight="1">
      <x:c r="A146" s="31" t="str">
        <x:v>Anjoman accounting.xlsx</x:v>
      </x:c>
      <x:c r="B146" s="31" t="str">
        <x:v>مجموع</x:v>
      </x:c>
      <x:c r="C146" s="31" t="str">
        <x:v>A25</x:v>
      </x:c>
      <x:c r="D146" s="31" t="str">
        <x:v>دریافتی از انجمن سابق</x:v>
      </x:c>
      <x:c r="E146" s="31"/>
    </x:row>
    <x:row r="147" ht="15" hidden="0" customHeight="1">
      <x:c r="A147" s="31" t="str">
        <x:v>Anjoman accounting.xlsx</x:v>
      </x:c>
      <x:c r="B147" s="31" t="str">
        <x:v>مجموع</x:v>
      </x:c>
      <x:c r="C147" s="31" t="str">
        <x:v>B25</x:v>
      </x:c>
      <x:c r="D147" s="31" t="str">
        <x:v>1.1E7</x:v>
      </x:c>
      <x:c r="E147" s="31"/>
    </x:row>
    <x:row r="148" ht="15" hidden="0" customHeight="1">
      <x:c r="A148" s="31" t="str">
        <x:v>Anjoman accounting.xlsx</x:v>
      </x:c>
      <x:c r="B148" s="31" t="str">
        <x:v>مجموع</x:v>
      </x:c>
      <x:c r="C148" s="31" t="str">
        <x:v>D25</x:v>
      </x:c>
      <x:c r="D148" s="31" t="str">
        <x:v>725000.0</x:v>
      </x:c>
      <x:c r="E148" s="31"/>
    </x:row>
    <x:row r="149" ht="15" hidden="0" customHeight="1">
      <x:c r="A149" s="31" t="str">
        <x:v>Anjoman accounting.xlsx</x:v>
      </x:c>
      <x:c r="B149" s="31" t="str">
        <x:v>مجموع</x:v>
      </x:c>
      <x:c r="C149" s="31" t="str">
        <x:v>E25</x:v>
      </x:c>
      <x:c r="D149" s="31" t="str">
        <x:v>نیما کوهی</x:v>
      </x:c>
      <x:c r="E149" s="31"/>
    </x:row>
    <x:row r="150" ht="15" hidden="0" customHeight="1">
      <x:c r="A150" s="31" t="str">
        <x:v>Anjoman accounting.xlsx</x:v>
      </x:c>
      <x:c r="B150" s="31" t="str">
        <x:v>مجموع</x:v>
      </x:c>
      <x:c r="C150" s="31" t="str">
        <x:v>F25</x:v>
      </x:c>
      <x:c r="D150" s="31" t="str">
        <x:v>باتری دوربین فیلمبرداری</x:v>
      </x:c>
      <x:c r="E150" s="31"/>
    </x:row>
    <x:row r="151" ht="15" hidden="0" customHeight="1">
      <x:c r="A151" s="31" t="str">
        <x:v>Anjoman accounting.xlsx</x:v>
      </x:c>
      <x:c r="B151" s="31" t="str">
        <x:v>مجموع</x:v>
      </x:c>
      <x:c r="C151" s="31" t="str">
        <x:v>D26</x:v>
      </x:c>
      <x:c r="D151" s="31" t="str">
        <x:v>120000.0</x:v>
      </x:c>
      <x:c r="E151" s="31"/>
    </x:row>
    <x:row r="152" ht="15" hidden="0" customHeight="1">
      <x:c r="A152" s="31" t="str">
        <x:v>Anjoman accounting.xlsx</x:v>
      </x:c>
      <x:c r="B152" s="31" t="str">
        <x:v>مجموع</x:v>
      </x:c>
      <x:c r="C152" s="31" t="str">
        <x:v>E26</x:v>
      </x:c>
      <x:c r="D152" s="31" t="str">
        <x:v>اردوان شهبازی</x:v>
      </x:c>
      <x:c r="E152" s="31"/>
    </x:row>
    <x:row r="153" ht="15" hidden="0" customHeight="1">
      <x:c r="A153" s="31" t="str">
        <x:v>Anjoman accounting.xlsx</x:v>
      </x:c>
      <x:c r="B153" s="31" t="str">
        <x:v>مجموع</x:v>
      </x:c>
      <x:c r="C153" s="31" t="str">
        <x:v>F26</x:v>
      </x:c>
      <x:c r="D153" s="31" t="str">
        <x:v>خرید چسب بادکنک برای جشن ورودی</x:v>
      </x:c>
      <x:c r="E153" s="31"/>
    </x:row>
    <x:row r="154" ht="15" hidden="0" customHeight="1">
      <x:c r="A154" s="31" t="str">
        <x:v>Anjoman accounting.xlsx</x:v>
      </x:c>
      <x:c r="B154" s="31" t="str">
        <x:v>مجموع</x:v>
      </x:c>
      <x:c r="C154" s="31" t="str">
        <x:v>D27</x:v>
      </x:c>
      <x:c r="D154" s="31" t="str">
        <x:v>1310000.0</x:v>
      </x:c>
      <x:c r="E154" s="31"/>
    </x:row>
    <x:row r="155" ht="15" hidden="0" customHeight="1">
      <x:c r="A155" s="31" t="str">
        <x:v>Anjoman accounting.xlsx</x:v>
      </x:c>
      <x:c r="B155" s="31" t="str">
        <x:v>مجموع</x:v>
      </x:c>
      <x:c r="C155" s="31" t="str">
        <x:v>E27</x:v>
      </x:c>
      <x:c r="D155" s="31" t="str">
        <x:v>راحله مختاری</x:v>
      </x:c>
      <x:c r="E155" s="31"/>
    </x:row>
    <x:row r="156" ht="15" hidden="0" customHeight="1">
      <x:c r="A156" s="31" t="str">
        <x:v>Anjoman accounting.xlsx</x:v>
      </x:c>
      <x:c r="B156" s="31" t="str">
        <x:v>مجموع</x:v>
      </x:c>
      <x:c r="C156" s="31" t="str">
        <x:v>F27</x:v>
      </x:c>
      <x:c r="D156" s="31" t="str">
        <x:v>تزئینات جشن ورودی</x:v>
      </x:c>
      <x:c r="E156" s="31"/>
    </x:row>
    <x:row r="157" ht="15" hidden="0" customHeight="1">
      <x:c r="A157" s="31" t="str">
        <x:v>Anjoman accounting.xlsx</x:v>
      </x:c>
      <x:c r="B157" s="31" t="str">
        <x:v>مجموع</x:v>
      </x:c>
      <x:c r="C157" s="31" t="str">
        <x:v>D28</x:v>
      </x:c>
      <x:c r="D157" s="31" t="str">
        <x:v>4344000</x:v>
      </x:c>
      <x:c r="E157" s="31" t="str">
        <x:v>=1444000+1500000+1400000</x:v>
      </x:c>
    </x:row>
    <x:row r="158" ht="15" hidden="0" customHeight="1">
      <x:c r="A158" s="31" t="str">
        <x:v>Anjoman accounting.xlsx</x:v>
      </x:c>
      <x:c r="B158" s="31" t="str">
        <x:v>مجموع</x:v>
      </x:c>
      <x:c r="C158" s="31" t="str">
        <x:v>F28</x:v>
      </x:c>
      <x:c r="D158" s="31" t="str">
        <x:v>جایزه های جشن ورودی</x:v>
      </x:c>
      <x:c r="E158" s="31"/>
    </x:row>
    <x:row r="159" ht="15" hidden="0" customHeight="1">
      <x:c r="A159" s="31" t="str">
        <x:v>Anjoman accounting.xlsx</x:v>
      </x:c>
      <x:c r="B159" s="31" t="str">
        <x:v>مجموع</x:v>
      </x:c>
      <x:c r="C159" s="31" t="str">
        <x:v>D29</x:v>
      </x:c>
      <x:c r="D159" s="31" t="str">
        <x:v>300000.0</x:v>
      </x:c>
      <x:c r="E159" s="31"/>
    </x:row>
    <x:row r="160" ht="15" hidden="0" customHeight="1">
      <x:c r="A160" s="31" t="str">
        <x:v>Anjoman accounting.xlsx</x:v>
      </x:c>
      <x:c r="B160" s="31" t="str">
        <x:v>مجموع</x:v>
      </x:c>
      <x:c r="C160" s="31" t="str">
        <x:v>F29</x:v>
      </x:c>
      <x:c r="D160" s="31" t="str">
        <x:v>شاباش نقدی برای جشن ورودی</x:v>
      </x:c>
      <x:c r="E160" s="31"/>
    </x:row>
    <x:row r="161" ht="15" hidden="0" customHeight="1">
      <x:c r="A161" s="31" t="str">
        <x:v>Anjoman accounting.xlsx</x:v>
      </x:c>
      <x:c r="B161" s="31" t="str">
        <x:v>مجموع</x:v>
      </x:c>
      <x:c r="C161" s="31" t="str">
        <x:v>D30</x:v>
      </x:c>
      <x:c r="D161" s="31" t="str">
        <x:v>70000.0</x:v>
      </x:c>
      <x:c r="E161" s="31"/>
    </x:row>
    <x:row r="162" ht="15" hidden="0" customHeight="1">
      <x:c r="A162" s="31" t="str">
        <x:v>Anjoman accounting.xlsx</x:v>
      </x:c>
      <x:c r="B162" s="31" t="str">
        <x:v>مجموع</x:v>
      </x:c>
      <x:c r="C162" s="31" t="str">
        <x:v>F30</x:v>
      </x:c>
      <x:c r="D162" s="31" t="str">
        <x:v>دستمال برای اتاق انجمن</x:v>
      </x:c>
      <x:c r="E162" s="31"/>
    </x:row>
    <x:row r="163" ht="15" hidden="0" customHeight="1">
      <x:c r="A163" s="31" t="str">
        <x:v>Anjoman accounting.xlsx</x:v>
      </x:c>
      <x:c r="B163" s="31" t="str">
        <x:v>مجموع</x:v>
      </x:c>
      <x:c r="C163" s="31" t="str">
        <x:v>D31</x:v>
      </x:c>
      <x:c r="D163" s="31" t="str">
        <x:v>310000.0</x:v>
      </x:c>
      <x:c r="E163" s="31"/>
    </x:row>
    <x:row r="164" ht="15" hidden="0" customHeight="1">
      <x:c r="A164" s="31" t="str">
        <x:v>Anjoman accounting.xlsx</x:v>
      </x:c>
      <x:c r="B164" s="31" t="str">
        <x:v>مجموع</x:v>
      </x:c>
      <x:c r="C164" s="31" t="str">
        <x:v>F31</x:v>
      </x:c>
      <x:c r="D164" s="31" t="str">
        <x:v>خرید اتصالات پروژکتور انجمن</x:v>
      </x:c>
      <x:c r="E164" s="31"/>
    </x:row>
    <x:row r="165" ht="15" hidden="0" customHeight="1">
      <x:c r="A165" s="31" t="str">
        <x:v>Anjoman accounting.xlsx</x:v>
      </x:c>
      <x:c r="B165" s="31" t="str">
        <x:v>مجموع</x:v>
      </x:c>
      <x:c r="C165" s="31" t="str">
        <x:v>D32</x:v>
      </x:c>
      <x:c r="D165" s="31" t="str">
        <x:v>1760000.0</x:v>
      </x:c>
      <x:c r="E165" s="31"/>
    </x:row>
    <x:row r="166" ht="15" hidden="0" customHeight="1">
      <x:c r="A166" s="31" t="str">
        <x:v>Anjoman accounting.xlsx</x:v>
      </x:c>
      <x:c r="B166" s="31" t="str">
        <x:v>مجموع</x:v>
      </x:c>
      <x:c r="C166" s="31" t="str">
        <x:v>F32</x:v>
      </x:c>
      <x:c r="D166" s="31" t="str">
        <x:v>خرید حفاظ برق و ابزار برای اتصال پروژکتور در غرفه ها</x:v>
      </x:c>
      <x:c r="E166" s="31"/>
    </x:row>
    <x:row r="167" ht="15" hidden="0" customHeight="1">
      <x:c r="A167" s="31" t="str">
        <x:v>Anjoman accounting.xlsx</x:v>
      </x:c>
      <x:c r="B167" s="31" t="str">
        <x:v>مجموع</x:v>
      </x:c>
      <x:c r="C167" s="31" t="str">
        <x:v>D33</x:v>
      </x:c>
      <x:c r="D167" s="31" t="str">
        <x:v>230000.0</x:v>
      </x:c>
      <x:c r="E167" s="31"/>
    </x:row>
    <x:row r="168" ht="15" hidden="0" customHeight="1">
      <x:c r="A168" s="31" t="str">
        <x:v>Anjoman accounting.xlsx</x:v>
      </x:c>
      <x:c r="B168" s="31" t="str">
        <x:v>مجموع</x:v>
      </x:c>
      <x:c r="C168" s="31" t="str">
        <x:v>F33</x:v>
      </x:c>
      <x:c r="D168" s="31" t="str">
        <x:v>پذیرایی غرفه انجمن</x:v>
      </x:c>
      <x:c r="E168" s="31"/>
    </x:row>
    <x:row r="169" ht="15" hidden="0" customHeight="1">
      <x:c r="A169" s="31" t="str">
        <x:v>Anjoman accounting.xlsx</x:v>
      </x:c>
      <x:c r="B169" s="31" t="str">
        <x:v>مجموع</x:v>
      </x:c>
      <x:c r="C169" s="31" t="str">
        <x:v>D34</x:v>
      </x:c>
      <x:c r="D169" s="31" t="str">
        <x:v>1226100.0</x:v>
      </x:c>
      <x:c r="E169" s="31"/>
    </x:row>
    <x:row r="170" ht="15" hidden="0" customHeight="1">
      <x:c r="A170" s="31" t="str">
        <x:v>Anjoman accounting.xlsx</x:v>
      </x:c>
      <x:c r="B170" s="31" t="str">
        <x:v>مجموع</x:v>
      </x:c>
      <x:c r="C170" s="31" t="str">
        <x:v>F34</x:v>
      </x:c>
      <x:c r="D170" s="31" t="str">
        <x:v>خرید دارو برای کمک های اولیه در انجمن</x:v>
      </x:c>
      <x:c r="E170" s="31"/>
    </x:row>
    <x:row r="171" ht="15" hidden="0" customHeight="1">
      <x:c r="A171" s="31" t="str">
        <x:v>Anjoman accounting.xlsx</x:v>
      </x:c>
      <x:c r="B171" s="31" t="str">
        <x:v>مجموع</x:v>
      </x:c>
      <x:c r="C171" s="31" t="str">
        <x:v>D35</x:v>
      </x:c>
      <x:c r="D171" s="31" t="str">
        <x:v>2300.0</x:v>
      </x:c>
      <x:c r="E171" s="31"/>
    </x:row>
    <x:row r="172" ht="15" hidden="0" customHeight="1">
      <x:c r="A172" s="31" t="str">
        <x:v>Anjoman accounting.xlsx</x:v>
      </x:c>
      <x:c r="B172" s="31" t="str">
        <x:v>مجموع</x:v>
      </x:c>
      <x:c r="C172" s="31" t="str">
        <x:v>F35</x:v>
      </x:c>
      <x:c r="D172" s="31" t="str">
        <x:v>چاپ قوانین اتاق انجمن</x:v>
      </x:c>
      <x:c r="E172" s="31"/>
    </x:row>
    <x:row r="173" ht="15" hidden="0" customHeight="1">
      <x:c r="A173" s="31" t="str">
        <x:v>Anjoman accounting.xlsx</x:v>
      </x:c>
      <x:c r="B173" s="31" t="str">
        <x:v>مجموع</x:v>
      </x:c>
      <x:c r="C173" s="31" t="str">
        <x:v>D36</x:v>
      </x:c>
      <x:c r="D173" s="31" t="str">
        <x:v>1300.0</x:v>
      </x:c>
      <x:c r="E173" s="31"/>
    </x:row>
    <x:row r="174" ht="15" hidden="0" customHeight="1">
      <x:c r="A174" s="31" t="str">
        <x:v>Anjoman accounting.xlsx</x:v>
      </x:c>
      <x:c r="B174" s="31" t="str">
        <x:v>مجموع</x:v>
      </x:c>
      <x:c r="C174" s="31" t="str">
        <x:v>F36</x:v>
      </x:c>
      <x:c r="D174" s="31" t="str">
        <x:v>چاپ قوانین اتاق انجمن</x:v>
      </x:c>
      <x:c r="E174" s="31"/>
    </x:row>
    <x:row r="175" ht="15" hidden="0" customHeight="1">
      <x:c r="A175" s="31" t="str">
        <x:v>Anjoman accounting.xlsx</x:v>
      </x:c>
      <x:c r="B175" s="31" t="str">
        <x:v>مجموع</x:v>
      </x:c>
      <x:c r="C175" s="31" t="str">
        <x:v>C37</x:v>
      </x:c>
      <x:c r="D175" s="31" t="str">
        <x:v>آذر</x:v>
      </x:c>
      <x:c r="E175" s="31"/>
    </x:row>
    <x:row r="176" ht="15" hidden="0" customHeight="1">
      <x:c r="A176" s="31" t="str">
        <x:v>Anjoman accounting.xlsx</x:v>
      </x:c>
      <x:c r="B176" s="31" t="str">
        <x:v>مجموع</x:v>
      </x:c>
      <x:c r="C176" s="31" t="str">
        <x:v>A38</x:v>
      </x:c>
      <x:c r="D176" s="31" t="str">
        <x:v>واریزی دکتر مقیمی جهت کمک به انجمن</x:v>
      </x:c>
      <x:c r="E176" s="31"/>
    </x:row>
    <x:row r="177" ht="15" hidden="0" customHeight="1">
      <x:c r="A177" s="31" t="str">
        <x:v>Anjoman accounting.xlsx</x:v>
      </x:c>
      <x:c r="B177" s="31" t="str">
        <x:v>مجموع</x:v>
      </x:c>
      <x:c r="C177" s="31" t="str">
        <x:v>B38</x:v>
      </x:c>
      <x:c r="D177" s="31" t="str">
        <x:v>1.0E7</x:v>
      </x:c>
      <x:c r="E177" s="31"/>
    </x:row>
    <x:row r="178" ht="15" hidden="0" customHeight="1">
      <x:c r="A178" s="31" t="str">
        <x:v>Anjoman accounting.xlsx</x:v>
      </x:c>
      <x:c r="B178" s="31" t="str">
        <x:v>مجموع</x:v>
      </x:c>
      <x:c r="C178" s="31" t="str">
        <x:v>A39</x:v>
      </x:c>
      <x:c r="D178" s="31" t="str">
        <x:v>واریزی دکتر مقیمی جهت کمک به انجمن</x:v>
      </x:c>
      <x:c r="E178" s="31"/>
    </x:row>
    <x:row r="179" ht="15" hidden="0" customHeight="1">
      <x:c r="A179" s="31" t="str">
        <x:v>Anjoman accounting.xlsx</x:v>
      </x:c>
      <x:c r="B179" s="31" t="str">
        <x:v>مجموع</x:v>
      </x:c>
      <x:c r="C179" s="31" t="str">
        <x:v>B39</x:v>
      </x:c>
      <x:c r="D179" s="31" t="str">
        <x:v>7000000.0</x:v>
      </x:c>
      <x:c r="E179" s="31"/>
    </x:row>
    <x:row r="180" ht="15" hidden="0" customHeight="1">
      <x:c r="A180" s="31" t="str">
        <x:v>Anjoman accounting.xlsx</x:v>
      </x:c>
      <x:c r="B180" s="31" t="str">
        <x:v>مجموع</x:v>
      </x:c>
      <x:c r="C180" s="31" t="str">
        <x:v>A40</x:v>
      </x:c>
      <x:c r="D180" s="31" t="str">
        <x:v>واریزی دکتر مقیمی جهت کمک به انجمن</x:v>
      </x:c>
      <x:c r="E180" s="31"/>
    </x:row>
    <x:row r="181" ht="15" hidden="0" customHeight="1">
      <x:c r="A181" s="31" t="str">
        <x:v>Anjoman accounting.xlsx</x:v>
      </x:c>
      <x:c r="B181" s="31" t="str">
        <x:v>مجموع</x:v>
      </x:c>
      <x:c r="C181" s="31" t="str">
        <x:v>B40</x:v>
      </x:c>
      <x:c r="D181" s="31" t="str">
        <x:v>6000000.0</x:v>
      </x:c>
      <x:c r="E181" s="31"/>
    </x:row>
    <x:row r="182" ht="15" hidden="0" customHeight="1">
      <x:c r="A182" s="31" t="str">
        <x:v>Anjoman accounting.xlsx</x:v>
      </x:c>
      <x:c r="B182" s="31" t="str">
        <x:v>مجموع</x:v>
      </x:c>
      <x:c r="C182" s="31" t="str">
        <x:v>C41</x:v>
      </x:c>
      <x:c r="D182" s="31" t="str">
        <x:v>دی</x:v>
      </x:c>
      <x:c r="E182" s="31"/>
    </x:row>
    <x:row r="183" ht="15" hidden="0" customHeight="1">
      <x:c r="A183" s="31" t="str">
        <x:v>Anjoman accounting.xlsx</x:v>
      </x:c>
      <x:c r="B183" s="31" t="str">
        <x:v>مجموع</x:v>
      </x:c>
      <x:c r="C183" s="31" t="str">
        <x:v>A42</x:v>
      </x:c>
      <x:c r="D183" s="31" t="str">
        <x:v>دونیشن برای جشن یلدا در حساب</x:v>
      </x:c>
      <x:c r="E183" s="31"/>
    </x:row>
    <x:row r="184" ht="15" hidden="0" customHeight="1">
      <x:c r="A184" s="31" t="str">
        <x:v>Anjoman accounting.xlsx</x:v>
      </x:c>
      <x:c r="B184" s="31" t="str">
        <x:v>مجموع</x:v>
      </x:c>
      <x:c r="C184" s="31" t="str">
        <x:v>B42</x:v>
      </x:c>
      <x:c r="D184" s="31" t="str">
        <x:v>1.579E7</x:v>
      </x:c>
      <x:c r="E184" s="31"/>
    </x:row>
    <x:row r="185" ht="15" hidden="0" customHeight="1">
      <x:c r="A185" s="31" t="str">
        <x:v>Anjoman accounting.xlsx</x:v>
      </x:c>
      <x:c r="B185" s="31" t="str">
        <x:v>مجموع</x:v>
      </x:c>
      <x:c r="C185" s="31" t="str">
        <x:v>D42</x:v>
      </x:c>
      <x:c r="D185" s="31" t="str">
        <x:v>2137000.0</x:v>
      </x:c>
      <x:c r="E185" s="31"/>
    </x:row>
    <x:row r="186" ht="15" hidden="0" customHeight="1">
      <x:c r="A186" s="31" t="str">
        <x:v>Anjoman accounting.xlsx</x:v>
      </x:c>
      <x:c r="B186" s="31" t="str">
        <x:v>مجموع</x:v>
      </x:c>
      <x:c r="C186" s="31" t="str">
        <x:v>F42</x:v>
      </x:c>
      <x:c r="D186" s="31" t="str">
        <x:v>جایزه و پذیرایی جشن یلدا</x:v>
      </x:c>
      <x:c r="E186" s="31"/>
    </x:row>
    <x:row r="187" ht="15" hidden="0" customHeight="1">
      <x:c r="A187" s="31" t="str">
        <x:v>Anjoman accounting.xlsx</x:v>
      </x:c>
      <x:c r="B187" s="31" t="str">
        <x:v>مجموع</x:v>
      </x:c>
      <x:c r="C187" s="31" t="str">
        <x:v>A43</x:v>
      </x:c>
      <x:c r="D187" s="31" t="str">
        <x:v>دونیشن وجه نقد برای جشن یلدا</x:v>
      </x:c>
      <x:c r="E187" s="31"/>
    </x:row>
    <x:row r="188" ht="15" hidden="0" customHeight="1">
      <x:c r="A188" s="31" t="str">
        <x:v>Anjoman accounting.xlsx</x:v>
      </x:c>
      <x:c r="B188" s="31" t="str">
        <x:v>مجموع</x:v>
      </x:c>
      <x:c r="C188" s="31" t="str">
        <x:v>B43</x:v>
      </x:c>
      <x:c r="D188" s="31" t="str">
        <x:v>700000.0</x:v>
      </x:c>
      <x:c r="E188" s="31"/>
    </x:row>
    <x:row r="189" ht="15" hidden="0" customHeight="1">
      <x:c r="A189" s="31" t="str">
        <x:v>Anjoman accounting.xlsx</x:v>
      </x:c>
      <x:c r="B189" s="31" t="str">
        <x:v>مجموع</x:v>
      </x:c>
      <x:c r="C189" s="31" t="str">
        <x:v>C44</x:v>
      </x:c>
      <x:c r="D189" s="31" t="str">
        <x:v>مهر 05</x:v>
      </x:c>
      <x:c r="E189" s="31"/>
    </x:row>
    <x:row r="190" ht="15" hidden="0" customHeight="1">
      <x:c r="A190" s="31" t="str">
        <x:v>Anjoman accounting.xlsx</x:v>
      </x:c>
      <x:c r="B190" s="31" t="str">
        <x:v>مجموع</x:v>
      </x:c>
      <x:c r="C190" s="31" t="str">
        <x:v>A45</x:v>
      </x:c>
      <x:c r="D190" s="31" t="str">
        <x:v>معرفی رشته</x:v>
      </x:c>
      <x:c r="E190" s="31"/>
    </x:row>
    <x:row r="191" ht="15" hidden="0" customHeight="1">
      <x:c r="A191" s="31" t="str">
        <x:v>Anjoman accounting.xlsx</x:v>
      </x:c>
      <x:c r="B191" s="31" t="str">
        <x:v>مجموع</x:v>
      </x:c>
      <x:c r="C191" s="31" t="str">
        <x:v>B45</x:v>
      </x:c>
      <x:c r="D191" s="31" t="str">
        <x:v>2.3E7</x:v>
      </x:c>
      <x:c r="E191" s="31"/>
    </x:row>
    <x:row r="192" ht="15" hidden="0" customHeight="1">
      <x:c r="A192" s="31" t="str">
        <x:v>Anjoman accounting.xlsx</x:v>
      </x:c>
      <x:c r="B192" s="31" t="str">
        <x:v>مجموع</x:v>
      </x:c>
      <x:c r="C192" s="31" t="str">
        <x:v>D45</x:v>
      </x:c>
      <x:c r="D192" s="31" t="str">
        <x:v>5000000.0</x:v>
      </x:c>
      <x:c r="E192" s="31"/>
    </x:row>
    <x:row r="193" ht="15" hidden="0" customHeight="1">
      <x:c r="A193" s="31" t="str">
        <x:v>Anjoman accounting.xlsx</x:v>
      </x:c>
      <x:c r="B193" s="31" t="str">
        <x:v>مجموع</x:v>
      </x:c>
      <x:c r="C193" s="31" t="str">
        <x:v>F45</x:v>
      </x:c>
      <x:c r="D193" s="31" t="str">
        <x:v>دورهمی بعد از رویداد معرفی رشته</x:v>
      </x:c>
      <x:c r="E193" s="31"/>
    </x:row>
    <x:row r="194" ht="15" hidden="0" customHeight="1">
      <x:c r="A194" s="31" t="str">
        <x:v>Anjoman accounting - refined.xlsx</x:v>
      </x:c>
      <x:c r="B194" s="31" t="str">
        <x:v>داشبورد</x:v>
      </x:c>
      <x:c r="C194" s="31" t="str">
        <x:v>A1</x:v>
      </x:c>
      <x:c r="D194" s="31" t="str">
        <x:v>داشبورد گزارش حسابداری انجمن</x:v>
      </x:c>
      <x:c r="E194" s="31"/>
    </x:row>
    <x:row r="195" ht="15" hidden="0" customHeight="1">
      <x:c r="A195" s="31" t="str">
        <x:v>Anjoman accounting - refined.xlsx</x:v>
      </x:c>
      <x:c r="B195" s="31" t="str">
        <x:v>داشبورد</x:v>
      </x:c>
      <x:c r="C195" s="31" t="str">
        <x:v>A3</x:v>
      </x:c>
      <x:c r="D195" s="31" t="str">
        <x:v>شاخص</x:v>
      </x:c>
      <x:c r="E195" s="31"/>
    </x:row>
    <x:row r="196" ht="15" hidden="0" customHeight="1">
      <x:c r="A196" s="31" t="str">
        <x:v>Anjoman accounting - refined.xlsx</x:v>
      </x:c>
      <x:c r="B196" s="31" t="str">
        <x:v>داشبورد</x:v>
      </x:c>
      <x:c r="C196" s="31" t="str">
        <x:v>B3</x:v>
      </x:c>
      <x:c r="D196" s="31" t="str">
        <x:v>مقدار تومان</x:v>
      </x:c>
      <x:c r="E196" s="31"/>
    </x:row>
    <x:row r="197" ht="15" hidden="0" customHeight="1">
      <x:c r="A197" s="31" t="str">
        <x:v>Anjoman accounting - refined.xlsx</x:v>
      </x:c>
      <x:c r="B197" s="31" t="str">
        <x:v>داشبورد</x:v>
      </x:c>
      <x:c r="C197" s="31" t="str">
        <x:v>C3</x:v>
      </x:c>
      <x:c r="D197" s="31" t="str">
        <x:v>وضعیت/توضیح</x:v>
      </x:c>
      <x:c r="E197" s="31"/>
    </x:row>
    <x:row r="198" ht="15" hidden="0" customHeight="1">
      <x:c r="A198" s="31" t="str">
        <x:v>Anjoman accounting - refined.xlsx</x:v>
      </x:c>
      <x:c r="B198" s="31" t="str">
        <x:v>داشبورد</x:v>
      </x:c>
      <x:c r="C198" s="31" t="str">
        <x:v>E3</x:v>
      </x:c>
      <x:c r="D198" s="31" t="str">
        <x:v>کنترل</x:v>
      </x:c>
      <x:c r="E198" s="31"/>
    </x:row>
    <x:row r="199" ht="15" hidden="0" customHeight="1">
      <x:c r="A199" s="31" t="str">
        <x:v>Anjoman accounting - refined.xlsx</x:v>
      </x:c>
      <x:c r="B199" s="31" t="str">
        <x:v>داشبورد</x:v>
      </x:c>
      <x:c r="C199" s="31" t="str">
        <x:v>F3</x:v>
      </x:c>
      <x:c r="D199" s="31" t="str">
        <x:v>نتیجه</x:v>
      </x:c>
      <x:c r="E199" s="31"/>
    </x:row>
    <x:row r="200" ht="15" hidden="0" customHeight="1">
      <x:c r="A200" s="31" t="str">
        <x:v>Anjoman accounting - refined.xlsx</x:v>
      </x:c>
      <x:c r="B200" s="31" t="str">
        <x:v>داشبورد</x:v>
      </x:c>
      <x:c r="C200" s="31" t="str">
        <x:v>A4</x:v>
      </x:c>
      <x:c r="D200" s="31" t="str">
        <x:v>درآمد تاییدشده</x:v>
      </x:c>
      <x:c r="E200" s="31"/>
    </x:row>
    <x:row r="201" ht="15" hidden="0" customHeight="1">
      <x:c r="A201" s="31" t="str">
        <x:v>Anjoman accounting - refined.xlsx</x:v>
      </x:c>
      <x:c r="B201" s="31" t="str">
        <x:v>داشبورد</x:v>
      </x:c>
      <x:c r="C201" s="31" t="str">
        <x:v>B4</x:v>
      </x:c>
      <x:c r="D201" s="31"/>
      <x:c r="E201" s="31" t="str">
        <x:v>=تطبیق!B5</x:v>
      </x:c>
    </x:row>
    <x:row r="202" ht="15" hidden="0" customHeight="1">
      <x:c r="A202" s="31" t="str">
        <x:v>Anjoman accounting - refined.xlsx</x:v>
      </x:c>
      <x:c r="B202" s="31" t="str">
        <x:v>داشبورد</x:v>
      </x:c>
      <x:c r="C202" s="31" t="str">
        <x:v>C4</x:v>
      </x:c>
      <x:c r="D202" s="31" t="str">
        <x:v>مبنای گزارش رسمی</x:v>
      </x:c>
      <x:c r="E202" s="31"/>
    </x:row>
    <x:row r="203" ht="15" hidden="0" customHeight="1">
      <x:c r="A203" s="31" t="str">
        <x:v>Anjoman accounting - refined.xlsx</x:v>
      </x:c>
      <x:c r="B203" s="31" t="str">
        <x:v>داشبورد</x:v>
      </x:c>
      <x:c r="C203" s="31" t="str">
        <x:v>E4</x:v>
      </x:c>
      <x:c r="D203" s="31" t="str">
        <x:v>واحد گزارش</x:v>
      </x:c>
      <x:c r="E203" s="31"/>
    </x:row>
    <x:row r="204" ht="15" hidden="0" customHeight="1">
      <x:c r="A204" s="31" t="str">
        <x:v>Anjoman accounting - refined.xlsx</x:v>
      </x:c>
      <x:c r="B204" s="31" t="str">
        <x:v>داشبورد</x:v>
      </x:c>
      <x:c r="C204" s="31" t="str">
        <x:v>F4</x:v>
      </x:c>
      <x:c r="D204" s="31" t="str">
        <x:v>تومان</x:v>
      </x:c>
      <x:c r="E204" s="31"/>
    </x:row>
    <x:row r="205" ht="15" hidden="0" customHeight="1">
      <x:c r="A205" s="31" t="str">
        <x:v>Anjoman accounting - refined.xlsx</x:v>
      </x:c>
      <x:c r="B205" s="31" t="str">
        <x:v>داشبورد</x:v>
      </x:c>
      <x:c r="C205" s="31" t="str">
        <x:v>A5</x:v>
      </x:c>
      <x:c r="D205" s="31" t="str">
        <x:v>هزینه تاییدشده</x:v>
      </x:c>
      <x:c r="E205" s="31"/>
    </x:row>
    <x:row r="206" ht="15" hidden="0" customHeight="1">
      <x:c r="A206" s="31" t="str">
        <x:v>Anjoman accounting - refined.xlsx</x:v>
      </x:c>
      <x:c r="B206" s="31" t="str">
        <x:v>داشبورد</x:v>
      </x:c>
      <x:c r="C206" s="31" t="str">
        <x:v>B5</x:v>
      </x:c>
      <x:c r="D206" s="31"/>
      <x:c r="E206" s="31" t="str">
        <x:v>=تطبیق!B6</x:v>
      </x:c>
    </x:row>
    <x:row r="207" ht="15" hidden="0" customHeight="1">
      <x:c r="A207" s="31" t="str">
        <x:v>Anjoman accounting - refined.xlsx</x:v>
      </x:c>
      <x:c r="B207" s="31" t="str">
        <x:v>داشبورد</x:v>
      </x:c>
      <x:c r="C207" s="31" t="str">
        <x:v>C5</x:v>
      </x:c>
      <x:c r="D207" s="31" t="str">
        <x:v>مبنای گزارش رسمی</x:v>
      </x:c>
      <x:c r="E207" s="31"/>
    </x:row>
    <x:row r="208" ht="15" hidden="0" customHeight="1">
      <x:c r="A208" s="31" t="str">
        <x:v>Anjoman accounting - refined.xlsx</x:v>
      </x:c>
      <x:c r="B208" s="31" t="str">
        <x:v>داشبورد</x:v>
      </x:c>
      <x:c r="C208" s="31" t="str">
        <x:v>E5</x:v>
      </x:c>
      <x:c r="D208" s="31" t="str">
        <x:v>اصل داده</x:v>
      </x:c>
      <x:c r="E208" s="31"/>
    </x:row>
    <x:row r="209" ht="15" hidden="0" customHeight="1">
      <x:c r="A209" s="31" t="str">
        <x:v>Anjoman accounting - refined.xlsx</x:v>
      </x:c>
      <x:c r="B209" s="31" t="str">
        <x:v>داشبورد</x:v>
      </x:c>
      <x:c r="C209" s="31" t="str">
        <x:v>F5</x:v>
      </x:c>
      <x:c r="D209" s="31" t="str">
        <x:v>اصل/خام حفظ شده</x:v>
      </x:c>
      <x:c r="E209" s="31"/>
    </x:row>
    <x:row r="210" ht="15" hidden="0" customHeight="1">
      <x:c r="A210" s="31" t="str">
        <x:v>Anjoman accounting - refined.xlsx</x:v>
      </x:c>
      <x:c r="B210" s="31" t="str">
        <x:v>داشبورد</x:v>
      </x:c>
      <x:c r="C210" s="31" t="str">
        <x:v>A6</x:v>
      </x:c>
      <x:c r="D210" s="31" t="str">
        <x:v>تراز تاییدشده</x:v>
      </x:c>
      <x:c r="E210" s="31"/>
    </x:row>
    <x:row r="211" ht="15" hidden="0" customHeight="1">
      <x:c r="A211" s="31" t="str">
        <x:v>Anjoman accounting - refined.xlsx</x:v>
      </x:c>
      <x:c r="B211" s="31" t="str">
        <x:v>داشبورد</x:v>
      </x:c>
      <x:c r="C211" s="31" t="str">
        <x:v>B6</x:v>
      </x:c>
      <x:c r="D211" s="31"/>
      <x:c r="E211" s="31" t="str">
        <x:v>=تطبیق!B7</x:v>
      </x:c>
    </x:row>
    <x:row r="212" ht="15" hidden="0" customHeight="1">
      <x:c r="A212" s="31" t="str">
        <x:v>Anjoman accounting - refined.xlsx</x:v>
      </x:c>
      <x:c r="B212" s="31" t="str">
        <x:v>داشبورد</x:v>
      </x:c>
      <x:c r="C212" s="31" t="str">
        <x:v>C6</x:v>
      </x:c>
      <x:c r="D212" s="31" t="str">
        <x:v>درآمد منهای هزینه</x:v>
      </x:c>
      <x:c r="E212" s="31"/>
    </x:row>
    <x:row r="213" ht="15" hidden="0" customHeight="1">
      <x:c r="A213" s="31" t="str">
        <x:v>Anjoman accounting - refined.xlsx</x:v>
      </x:c>
      <x:c r="B213" s="31" t="str">
        <x:v>داشبورد</x:v>
      </x:c>
      <x:c r="C213" s="31" t="str">
        <x:v>E6</x:v>
      </x:c>
      <x:c r="D213" s="31" t="str">
        <x:v>اقلام نامطمئن</x:v>
      </x:c>
      <x:c r="E213" s="31"/>
    </x:row>
    <x:row r="214" ht="15" hidden="0" customHeight="1">
      <x:c r="A214" s="31" t="str">
        <x:v>Anjoman accounting - refined.xlsx</x:v>
      </x:c>
      <x:c r="B214" s="31" t="str">
        <x:v>داشبورد</x:v>
      </x:c>
      <x:c r="C214" s="31" t="str">
        <x:v>F6</x:v>
      </x:c>
      <x:c r="D214" s="31" t="str">
        <x:v>از جمع تاییدشده حذف</x:v>
      </x:c>
      <x:c r="E214" s="31"/>
    </x:row>
    <x:row r="215" ht="15" hidden="0" customHeight="1">
      <x:c r="A215" s="31" t="str">
        <x:v>Anjoman accounting - refined.xlsx</x:v>
      </x:c>
      <x:c r="B215" s="31" t="str">
        <x:v>داشبورد</x:v>
      </x:c>
      <x:c r="C215" s="31" t="str">
        <x:v>A7</x:v>
      </x:c>
      <x:c r="D215" s="31" t="str">
        <x:v>درآمد پیشنهادی</x:v>
      </x:c>
      <x:c r="E215" s="31"/>
    </x:row>
    <x:row r="216" ht="15" hidden="0" customHeight="1">
      <x:c r="A216" s="31" t="str">
        <x:v>Anjoman accounting - refined.xlsx</x:v>
      </x:c>
      <x:c r="B216" s="31" t="str">
        <x:v>داشبورد</x:v>
      </x:c>
      <x:c r="C216" s="31" t="str">
        <x:v>B7</x:v>
      </x:c>
      <x:c r="D216" s="31"/>
      <x:c r="E216" s="31" t="str">
        <x:v>=تطبیق!B8</x:v>
      </x:c>
    </x:row>
    <x:row r="217" ht="15" hidden="0" customHeight="1">
      <x:c r="A217" s="31" t="str">
        <x:v>Anjoman accounting - refined.xlsx</x:v>
      </x:c>
      <x:c r="B217" s="31" t="str">
        <x:v>داشبورد</x:v>
      </x:c>
      <x:c r="C217" s="31" t="str">
        <x:v>C7</x:v>
      </x:c>
      <x:c r="D217" s="31" t="str">
        <x:v>خارج از تراز تا تایید</x:v>
      </x:c>
      <x:c r="E217" s="31"/>
    </x:row>
    <x:row r="218" ht="15" hidden="0" customHeight="1">
      <x:c r="A218" s="31" t="str">
        <x:v>Anjoman accounting - refined.xlsx</x:v>
      </x:c>
      <x:c r="B218" s="31" t="str">
        <x:v>داشبورد</x:v>
      </x:c>
      <x:c r="C218" s="31" t="str">
        <x:v>E7</x:v>
      </x:c>
      <x:c r="D218" s="31" t="str">
        <x:v>زبان</x:v>
      </x:c>
      <x:c r="E218" s="31"/>
    </x:row>
    <x:row r="219" ht="15" hidden="0" customHeight="1">
      <x:c r="A219" s="31" t="str">
        <x:v>Anjoman accounting - refined.xlsx</x:v>
      </x:c>
      <x:c r="B219" s="31" t="str">
        <x:v>داشبورد</x:v>
      </x:c>
      <x:c r="C219" s="31" t="str">
        <x:v>F7</x:v>
      </x:c>
      <x:c r="D219" s="31" t="str">
        <x:v>فارسی</x:v>
      </x:c>
      <x:c r="E219" s="31"/>
    </x:row>
    <x:row r="220" ht="15" hidden="0" customHeight="1">
      <x:c r="A220" s="31" t="str">
        <x:v>Anjoman accounting - refined.xlsx</x:v>
      </x:c>
      <x:c r="B220" s="31" t="str">
        <x:v>داشبورد</x:v>
      </x:c>
      <x:c r="C220" s="31" t="str">
        <x:v>A8</x:v>
      </x:c>
      <x:c r="D220" s="31" t="str">
        <x:v>هزینه پیشنهادی</x:v>
      </x:c>
      <x:c r="E220" s="31"/>
    </x:row>
    <x:row r="221" ht="15" hidden="0" customHeight="1">
      <x:c r="A221" s="31" t="str">
        <x:v>Anjoman accounting - refined.xlsx</x:v>
      </x:c>
      <x:c r="B221" s="31" t="str">
        <x:v>داشبورد</x:v>
      </x:c>
      <x:c r="C221" s="31" t="str">
        <x:v>B8</x:v>
      </x:c>
      <x:c r="D221" s="31"/>
      <x:c r="E221" s="31" t="str">
        <x:v>=تطبیق!B9</x:v>
      </x:c>
    </x:row>
    <x:row r="222" ht="15" hidden="0" customHeight="1">
      <x:c r="A222" s="31" t="str">
        <x:v>Anjoman accounting - refined.xlsx</x:v>
      </x:c>
      <x:c r="B222" s="31" t="str">
        <x:v>داشبورد</x:v>
      </x:c>
      <x:c r="C222" s="31" t="str">
        <x:v>C8</x:v>
      </x:c>
      <x:c r="D222" s="31" t="str">
        <x:v>خارج از تراز تا تایید</x:v>
      </x:c>
      <x:c r="E222" s="31"/>
    </x:row>
    <x:row r="223" ht="15" hidden="0" customHeight="1">
      <x:c r="A223" s="31" t="str">
        <x:v>Anjoman accounting - refined.xlsx</x:v>
      </x:c>
      <x:c r="B223" s="31" t="str">
        <x:v>داشبورد</x:v>
      </x:c>
      <x:c r="C223" s="31" t="str">
        <x:v>A9</x:v>
      </x:c>
      <x:c r="D223" s="31" t="str">
        <x:v>رسیدهای در صف بررسی</x:v>
      </x:c>
      <x:c r="E223" s="31"/>
    </x:row>
    <x:row r="224" ht="15" hidden="0" customHeight="1">
      <x:c r="A224" s="31" t="str">
        <x:v>Anjoman accounting - refined.xlsx</x:v>
      </x:c>
      <x:c r="B224" s="31" t="str">
        <x:v>داشبورد</x:v>
      </x:c>
      <x:c r="C224" s="31" t="str">
        <x:v>B9</x:v>
      </x:c>
      <x:c r="D224" s="31"/>
      <x:c r="E224" s="31" t="str">
        <x:v>=تطبیق!B10</x:v>
      </x:c>
    </x:row>
    <x:row r="225" ht="15" hidden="0" customHeight="1">
      <x:c r="A225" s="31" t="str">
        <x:v>Anjoman accounting - refined.xlsx</x:v>
      </x:c>
      <x:c r="B225" s="31" t="str">
        <x:v>داشبورد</x:v>
      </x:c>
      <x:c r="C225" s="31" t="str">
        <x:v>C9</x:v>
      </x:c>
      <x:c r="D225" s="31" t="str">
        <x:v>ورود دستی لازم</x:v>
      </x:c>
      <x:c r="E225" s="31"/>
    </x:row>
    <x:row r="226" ht="15" hidden="0" customHeight="1">
      <x:c r="A226" s="31" t="str">
        <x:v>Anjoman accounting - refined.xlsx</x:v>
      </x:c>
      <x:c r="B226" s="31" t="str">
        <x:v>تراکنش‌ها</x:v>
      </x:c>
      <x:c r="C226" s="31" t="str">
        <x:v>A1</x:v>
      </x:c>
      <x:c r="D226" s="31" t="str">
        <x:v>دفتر کل تراکنش‌ها</x:v>
      </x:c>
      <x:c r="E226" s="31"/>
    </x:row>
    <x:row r="227" ht="15" hidden="0" customHeight="1">
      <x:c r="A227" s="31" t="str">
        <x:v>Anjoman accounting - refined.xlsx</x:v>
      </x:c>
      <x:c r="B227" s="31" t="str">
        <x:v>تراکنش‌ها</x:v>
      </x:c>
      <x:c r="C227" s="31" t="str">
        <x:v>A2</x:v>
      </x:c>
      <x:c r="D227" s="31" t="str">
        <x:v>نسخه refined | واحد گزارش: تومان | مبالغ نامطمئن در صف بررسی از جمع تاییدشده حذف می‌شوند.</x:v>
      </x:c>
      <x:c r="E227" s="31"/>
    </x:row>
    <x:row r="228" ht="15" hidden="0" customHeight="1">
      <x:c r="A228" s="31" t="str">
        <x:v>Anjoman accounting - refined.xlsx</x:v>
      </x:c>
      <x:c r="B228" s="31" t="str">
        <x:v>تراکنش‌ها</x:v>
      </x:c>
      <x:c r="C228" s="31" t="str">
        <x:v>A3</x:v>
      </x:c>
      <x:c r="D228" s="31" t="str">
        <x:v>شناسه تراکنش</x:v>
      </x:c>
      <x:c r="E228" s="31"/>
    </x:row>
    <x:row r="229" ht="15" hidden="0" customHeight="1">
      <x:c r="A229" s="31" t="str">
        <x:v>Anjoman accounting - refined.xlsx</x:v>
      </x:c>
      <x:c r="B229" s="31" t="str">
        <x:v>تراکنش‌ها</x:v>
      </x:c>
      <x:c r="C229" s="31" t="str">
        <x:v>B3</x:v>
      </x:c>
      <x:c r="D229" s="31" t="str">
        <x:v>نوع</x:v>
      </x:c>
      <x:c r="E229" s="31"/>
    </x:row>
    <x:row r="230" ht="15" hidden="0" customHeight="1">
      <x:c r="A230" s="31" t="str">
        <x:v>Anjoman accounting - refined.xlsx</x:v>
      </x:c>
      <x:c r="B230" s="31" t="str">
        <x:v>تراکنش‌ها</x:v>
      </x:c>
      <x:c r="C230" s="31" t="str">
        <x:v>C3</x:v>
      </x:c>
      <x:c r="D230" s="31" t="str">
        <x:v>تاریخ/ماه</x:v>
      </x:c>
      <x:c r="E230" s="31"/>
    </x:row>
    <x:row r="231" ht="15" hidden="0" customHeight="1">
      <x:c r="A231" s="31" t="str">
        <x:v>Anjoman accounting - refined.xlsx</x:v>
      </x:c>
      <x:c r="B231" s="31" t="str">
        <x:v>تراکنش‌ها</x:v>
      </x:c>
      <x:c r="C231" s="31" t="str">
        <x:v>D3</x:v>
      </x:c>
      <x:c r="D231" s="31" t="str">
        <x:v>مبلغ اصلی</x:v>
      </x:c>
      <x:c r="E231" s="31"/>
    </x:row>
    <x:row r="232" ht="15" hidden="0" customHeight="1">
      <x:c r="A232" s="31" t="str">
        <x:v>Anjoman accounting - refined.xlsx</x:v>
      </x:c>
      <x:c r="B232" s="31" t="str">
        <x:v>تراکنش‌ها</x:v>
      </x:c>
      <x:c r="C232" s="31" t="str">
        <x:v>E3</x:v>
      </x:c>
      <x:c r="D232" s="31" t="str">
        <x:v>واحد اصلی</x:v>
      </x:c>
      <x:c r="E232" s="31"/>
    </x:row>
    <x:row r="233" ht="15" hidden="0" customHeight="1">
      <x:c r="A233" s="31" t="str">
        <x:v>Anjoman accounting - refined.xlsx</x:v>
      </x:c>
      <x:c r="B233" s="31" t="str">
        <x:v>تراکنش‌ها</x:v>
      </x:c>
      <x:c r="C233" s="31" t="str">
        <x:v>F3</x:v>
      </x:c>
      <x:c r="D233" s="31" t="str">
        <x:v>مبلغ تومان</x:v>
      </x:c>
      <x:c r="E233" s="31"/>
    </x:row>
    <x:row r="234" ht="15" hidden="0" customHeight="1">
      <x:c r="A234" s="31" t="str">
        <x:v>Anjoman accounting - refined.xlsx</x:v>
      </x:c>
      <x:c r="B234" s="31" t="str">
        <x:v>تراکنش‌ها</x:v>
      </x:c>
      <x:c r="C234" s="31" t="str">
        <x:v>G3</x:v>
      </x:c>
      <x:c r="D234" s="31" t="str">
        <x:v>طرف حساب</x:v>
      </x:c>
      <x:c r="E234" s="31"/>
    </x:row>
    <x:row r="235" ht="15" hidden="0" customHeight="1">
      <x:c r="A235" s="31" t="str">
        <x:v>Anjoman accounting - refined.xlsx</x:v>
      </x:c>
      <x:c r="B235" s="31" t="str">
        <x:v>تراکنش‌ها</x:v>
      </x:c>
      <x:c r="C235" s="31" t="str">
        <x:v>H3</x:v>
      </x:c>
      <x:c r="D235" s="31" t="str">
        <x:v>شرح</x:v>
      </x:c>
      <x:c r="E235" s="31"/>
    </x:row>
    <x:row r="236" ht="15" hidden="0" customHeight="1">
      <x:c r="A236" s="31" t="str">
        <x:v>Anjoman accounting - refined.xlsx</x:v>
      </x:c>
      <x:c r="B236" s="31" t="str">
        <x:v>تراکنش‌ها</x:v>
      </x:c>
      <x:c r="C236" s="31" t="str">
        <x:v>I3</x:v>
      </x:c>
      <x:c r="D236" s="31" t="str">
        <x:v>دسته‌بندی</x:v>
      </x:c>
      <x:c r="E236" s="31"/>
    </x:row>
    <x:row r="237" ht="15" hidden="0" customHeight="1">
      <x:c r="A237" s="31" t="str">
        <x:v>Anjoman accounting - refined.xlsx</x:v>
      </x:c>
      <x:c r="B237" s="31" t="str">
        <x:v>تراکنش‌ها</x:v>
      </x:c>
      <x:c r="C237" s="31" t="str">
        <x:v>J3</x:v>
      </x:c>
      <x:c r="D237" s="31" t="str">
        <x:v>وضعیت</x:v>
      </x:c>
      <x:c r="E237" s="31"/>
    </x:row>
    <x:row r="238" ht="15" hidden="0" customHeight="1">
      <x:c r="A238" s="31" t="str">
        <x:v>Anjoman accounting - refined.xlsx</x:v>
      </x:c>
      <x:c r="B238" s="31" t="str">
        <x:v>تراکنش‌ها</x:v>
      </x:c>
      <x:c r="C238" s="31" t="str">
        <x:v>K3</x:v>
      </x:c>
      <x:c r="D238" s="31" t="str">
        <x:v>مبنای ثبت</x:v>
      </x:c>
      <x:c r="E238" s="31"/>
    </x:row>
    <x:row r="239" ht="15" hidden="0" customHeight="1">
      <x:c r="A239" s="31" t="str">
        <x:v>Anjoman accounting - refined.xlsx</x:v>
      </x:c>
      <x:c r="B239" s="31" t="str">
        <x:v>تراکنش‌ها</x:v>
      </x:c>
      <x:c r="C239" s="31" t="str">
        <x:v>L3</x:v>
      </x:c>
      <x:c r="D239" s="31" t="str">
        <x:v>شناسه مدرک</x:v>
      </x:c>
      <x:c r="E239" s="31"/>
    </x:row>
    <x:row r="240" ht="15" hidden="0" customHeight="1">
      <x:c r="A240" s="31" t="str">
        <x:v>Anjoman accounting - refined.xlsx</x:v>
      </x:c>
      <x:c r="B240" s="31" t="str">
        <x:v>تراکنش‌ها</x:v>
      </x:c>
      <x:c r="C240" s="31" t="str">
        <x:v>M3</x:v>
      </x:c>
      <x:c r="D240" s="31" t="str">
        <x:v>یادداشت</x:v>
      </x:c>
      <x:c r="E240" s="31"/>
    </x:row>
    <x:row r="241" ht="15" hidden="0" customHeight="1">
      <x:c r="A241" s="31" t="str">
        <x:v>Anjoman accounting - refined.xlsx</x:v>
      </x:c>
      <x:c r="B241" s="31" t="str">
        <x:v>تراکنش‌ها</x:v>
      </x:c>
      <x:c r="C241" s="31" t="str">
        <x:v>A4</x:v>
      </x:c>
      <x:c r="D241" s="31" t="str">
        <x:v>TX-00001</x:v>
      </x:c>
      <x:c r="E241" s="31"/>
    </x:row>
    <x:row r="242" ht="15" hidden="0" customHeight="1">
      <x:c r="A242" s="31" t="str">
        <x:v>Anjoman accounting - refined.xlsx</x:v>
      </x:c>
      <x:c r="B242" s="31" t="str">
        <x:v>تراکنش‌ها</x:v>
      </x:c>
      <x:c r="C242" s="31" t="str">
        <x:v>B4</x:v>
      </x:c>
      <x:c r="D242" s="31" t="str">
        <x:v>هزینه</x:v>
      </x:c>
      <x:c r="E242" s="31"/>
    </x:row>
    <x:row r="243" ht="15" hidden="0" customHeight="1">
      <x:c r="A243" s="31" t="str">
        <x:v>Anjoman accounting - refined.xlsx</x:v>
      </x:c>
      <x:c r="B243" s="31" t="str">
        <x:v>تراکنش‌ها</x:v>
      </x:c>
      <x:c r="C243" s="31" t="str">
        <x:v>C4</x:v>
      </x:c>
      <x:c r="D243" s="31" t="str">
        <x:v>مرداد</x:v>
      </x:c>
      <x:c r="E243" s="31"/>
    </x:row>
    <x:row r="244" ht="15" hidden="0" customHeight="1">
      <x:c r="A244" s="31" t="str">
        <x:v>Anjoman accounting - refined.xlsx</x:v>
      </x:c>
      <x:c r="B244" s="31" t="str">
        <x:v>تراکنش‌ها</x:v>
      </x:c>
      <x:c r="C244" s="31" t="str">
        <x:v>D4</x:v>
      </x:c>
      <x:c r="D244" s="31" t="str">
        <x:v>3500000</x:v>
      </x:c>
      <x:c r="E244" s="31"/>
    </x:row>
    <x:row r="245" ht="15" hidden="0" customHeight="1">
      <x:c r="A245" s="31" t="str">
        <x:v>Anjoman accounting - refined.xlsx</x:v>
      </x:c>
      <x:c r="B245" s="31" t="str">
        <x:v>تراکنش‌ها</x:v>
      </x:c>
      <x:c r="C245" s="31" t="str">
        <x:v>E4</x:v>
      </x:c>
      <x:c r="D245" s="31" t="str">
        <x:v>تومان</x:v>
      </x:c>
      <x:c r="E245" s="31"/>
    </x:row>
    <x:row r="246" ht="15" hidden="0" customHeight="1">
      <x:c r="A246" s="31" t="str">
        <x:v>Anjoman accounting - refined.xlsx</x:v>
      </x:c>
      <x:c r="B246" s="31" t="str">
        <x:v>تراکنش‌ها</x:v>
      </x:c>
      <x:c r="C246" s="31" t="str">
        <x:v>F4</x:v>
      </x:c>
      <x:c r="D246" s="31" t="str">
        <x:v>3500000</x:v>
      </x:c>
      <x:c r="E246" s="31"/>
    </x:row>
    <x:row r="247" ht="15" hidden="0" customHeight="1">
      <x:c r="A247" s="31" t="str">
        <x:v>Anjoman accounting - refined.xlsx</x:v>
      </x:c>
      <x:c r="B247" s="31" t="str">
        <x:v>تراکنش‌ها</x:v>
      </x:c>
      <x:c r="C247" s="31" t="str">
        <x:v>G4</x:v>
      </x:c>
      <x:c r="D247" s="31" t="str">
        <x:v>امیرمحمد جوشقانی</x:v>
      </x:c>
      <x:c r="E247" s="31"/>
    </x:row>
    <x:row r="248" ht="15" hidden="0" customHeight="1">
      <x:c r="A248" s="31" t="str">
        <x:v>Anjoman accounting - refined.xlsx</x:v>
      </x:c>
      <x:c r="B248" s="31" t="str">
        <x:v>تراکنش‌ها</x:v>
      </x:c>
      <x:c r="C248" s="31" t="str">
        <x:v>H4</x:v>
      </x:c>
      <x:c r="D248" s="31" t="str">
        <x:v>حق التدریس دوره پایتون</x:v>
      </x:c>
      <x:c r="E248" s="31"/>
    </x:row>
    <x:row r="249" ht="15" hidden="0" customHeight="1">
      <x:c r="A249" s="31" t="str">
        <x:v>Anjoman accounting - refined.xlsx</x:v>
      </x:c>
      <x:c r="B249" s="31" t="str">
        <x:v>تراکنش‌ها</x:v>
      </x:c>
      <x:c r="C249" s="31" t="str">
        <x:v>I4</x:v>
      </x:c>
      <x:c r="D249" s="31" t="str">
        <x:v>هزینه / عملیاتی</x:v>
      </x:c>
      <x:c r="E249" s="31"/>
    </x:row>
    <x:row r="250" ht="15" hidden="0" customHeight="1">
      <x:c r="A250" s="31" t="str">
        <x:v>Anjoman accounting - refined.xlsx</x:v>
      </x:c>
      <x:c r="B250" s="31" t="str">
        <x:v>تراکنش‌ها</x:v>
      </x:c>
      <x:c r="C250" s="31" t="str">
        <x:v>J4</x:v>
      </x:c>
      <x:c r="D250" s="31" t="str">
        <x:v>تاییدشده</x:v>
      </x:c>
      <x:c r="E250" s="31"/>
    </x:row>
    <x:row r="251" ht="15" hidden="0" customHeight="1">
      <x:c r="A251" s="31" t="str">
        <x:v>Anjoman accounting - refined.xlsx</x:v>
      </x:c>
      <x:c r="B251" s="31" t="str">
        <x:v>تراکنش‌ها</x:v>
      </x:c>
      <x:c r="C251" s="31" t="str">
        <x:v>K4</x:v>
      </x:c>
      <x:c r="D251" s="31" t="str">
        <x:v>دفتر قبلی</x:v>
      </x:c>
      <x:c r="E251" s="31"/>
    </x:row>
    <x:row r="252" ht="15" hidden="0" customHeight="1">
      <x:c r="A252" s="31" t="str">
        <x:v>Anjoman accounting - refined.xlsx</x:v>
      </x:c>
      <x:c r="B252" s="31" t="str">
        <x:v>تراکنش‌ها</x:v>
      </x:c>
      <x:c r="C252" s="31" t="str">
        <x:v>L4</x:v>
      </x:c>
      <x:c r="D252" s="31" t="str">
        <x:v>LEDGER-MAJMOO-002</x:v>
      </x:c>
      <x:c r="E252" s="31"/>
    </x:row>
    <x:row r="253" ht="15" hidden="0" customHeight="1">
      <x:c r="A253" s="31" t="str">
        <x:v>Anjoman accounting - refined.xlsx</x:v>
      </x:c>
      <x:c r="B253" s="31" t="str">
        <x:v>تراکنش‌ها</x:v>
      </x:c>
      <x:c r="C253" s="31" t="str">
        <x:v>M4</x:v>
      </x:c>
      <x:c r="D253" s="31" t="str">
        <x:v>مبلغ از دفتر قبلی خوانده شد؛ نیازمند تطبیق نهایی با شواهد پرداخت.</x:v>
      </x:c>
      <x:c r="E253" s="31"/>
    </x:row>
    <x:row r="254" ht="15" hidden="0" customHeight="1">
      <x:c r="A254" s="31" t="str">
        <x:v>Anjoman accounting - refined.xlsx</x:v>
      </x:c>
      <x:c r="B254" s="31" t="str">
        <x:v>تراکنش‌ها</x:v>
      </x:c>
      <x:c r="C254" s="31" t="str">
        <x:v>A5</x:v>
      </x:c>
      <x:c r="D254" s="31" t="str">
        <x:v>TX-00002</x:v>
      </x:c>
      <x:c r="E254" s="31"/>
    </x:row>
    <x:row r="255" ht="15" hidden="0" customHeight="1">
      <x:c r="A255" s="31" t="str">
        <x:v>Anjoman accounting - refined.xlsx</x:v>
      </x:c>
      <x:c r="B255" s="31" t="str">
        <x:v>تراکنش‌ها</x:v>
      </x:c>
      <x:c r="C255" s="31" t="str">
        <x:v>B5</x:v>
      </x:c>
      <x:c r="D255" s="31" t="str">
        <x:v>درآمد</x:v>
      </x:c>
      <x:c r="E255" s="31"/>
    </x:row>
    <x:row r="256" ht="15" hidden="0" customHeight="1">
      <x:c r="A256" s="31" t="str">
        <x:v>Anjoman accounting - refined.xlsx</x:v>
      </x:c>
      <x:c r="B256" s="31" t="str">
        <x:v>تراکنش‌ها</x:v>
      </x:c>
      <x:c r="C256" s="31" t="str">
        <x:v>C5</x:v>
      </x:c>
      <x:c r="D256" s="31" t="str">
        <x:v>مرداد</x:v>
      </x:c>
      <x:c r="E256" s="31"/>
    </x:row>
    <x:row r="257" ht="15" hidden="0" customHeight="1">
      <x:c r="A257" s="31" t="str">
        <x:v>Anjoman accounting - refined.xlsx</x:v>
      </x:c>
      <x:c r="B257" s="31" t="str">
        <x:v>تراکنش‌ها</x:v>
      </x:c>
      <x:c r="C257" s="31" t="str">
        <x:v>D5</x:v>
      </x:c>
      <x:c r="D257" s="31" t="str">
        <x:v>33642000</x:v>
      </x:c>
      <x:c r="E257" s="31"/>
    </x:row>
    <x:row r="258" ht="15" hidden="0" customHeight="1">
      <x:c r="A258" s="31" t="str">
        <x:v>Anjoman accounting - refined.xlsx</x:v>
      </x:c>
      <x:c r="B258" s="31" t="str">
        <x:v>تراکنش‌ها</x:v>
      </x:c>
      <x:c r="C258" s="31" t="str">
        <x:v>E5</x:v>
      </x:c>
      <x:c r="D258" s="31" t="str">
        <x:v>تومان</x:v>
      </x:c>
      <x:c r="E258" s="31"/>
    </x:row>
    <x:row r="259" ht="15" hidden="0" customHeight="1">
      <x:c r="A259" s="31" t="str">
        <x:v>Anjoman accounting - refined.xlsx</x:v>
      </x:c>
      <x:c r="B259" s="31" t="str">
        <x:v>تراکنش‌ها</x:v>
      </x:c>
      <x:c r="C259" s="31" t="str">
        <x:v>F5</x:v>
      </x:c>
      <x:c r="D259" s="31" t="str">
        <x:v>33642000</x:v>
      </x:c>
      <x:c r="E259" s="31"/>
    </x:row>
    <x:row r="260" ht="15" hidden="0" customHeight="1">
      <x:c r="A260" s="31" t="str">
        <x:v>Anjoman accounting - refined.xlsx</x:v>
      </x:c>
      <x:c r="B260" s="31" t="str">
        <x:v>تراکنش‌ها</x:v>
      </x:c>
      <x:c r="C260" s="31" t="str">
        <x:v>G5</x:v>
      </x:c>
      <x:c r="D260" s="31" t="str">
        <x:v>سهراب ملکی</x:v>
      </x:c>
      <x:c r="E260" s="31"/>
    </x:row>
    <x:row r="261" ht="15" hidden="0" customHeight="1">
      <x:c r="A261" s="31" t="str">
        <x:v>Anjoman accounting - refined.xlsx</x:v>
      </x:c>
      <x:c r="B261" s="31" t="str">
        <x:v>تراکنش‌ها</x:v>
      </x:c>
      <x:c r="C261" s="31" t="str">
        <x:v>H5</x:v>
      </x:c>
      <x:c r="D261" s="31" t="str">
        <x:v>مدرسه تابستانه</x:v>
      </x:c>
      <x:c r="E261" s="31"/>
    </x:row>
    <x:row r="262" ht="15" hidden="0" customHeight="1">
      <x:c r="A262" s="31" t="str">
        <x:v>Anjoman accounting - refined.xlsx</x:v>
      </x:c>
      <x:c r="B262" s="31" t="str">
        <x:v>تراکنش‌ها</x:v>
      </x:c>
      <x:c r="C262" s="31" t="str">
        <x:v>I5</x:v>
      </x:c>
      <x:c r="D262" s="31" t="str">
        <x:v>درآمد / کمک / رویداد</x:v>
      </x:c>
      <x:c r="E262" s="31"/>
    </x:row>
    <x:row r="263" ht="15" hidden="0" customHeight="1">
      <x:c r="A263" s="31" t="str">
        <x:v>Anjoman accounting - refined.xlsx</x:v>
      </x:c>
      <x:c r="B263" s="31" t="str">
        <x:v>تراکنش‌ها</x:v>
      </x:c>
      <x:c r="C263" s="31" t="str">
        <x:v>J5</x:v>
      </x:c>
      <x:c r="D263" s="31" t="str">
        <x:v>تاییدشده</x:v>
      </x:c>
      <x:c r="E263" s="31"/>
    </x:row>
    <x:row r="264" ht="15" hidden="0" customHeight="1">
      <x:c r="A264" s="31" t="str">
        <x:v>Anjoman accounting - refined.xlsx</x:v>
      </x:c>
      <x:c r="B264" s="31" t="str">
        <x:v>تراکنش‌ها</x:v>
      </x:c>
      <x:c r="C264" s="31" t="str">
        <x:v>K5</x:v>
      </x:c>
      <x:c r="D264" s="31" t="str">
        <x:v>دفتر قبلی</x:v>
      </x:c>
      <x:c r="E264" s="31"/>
    </x:row>
    <x:row r="265" ht="15" hidden="0" customHeight="1">
      <x:c r="A265" s="31" t="str">
        <x:v>Anjoman accounting - refined.xlsx</x:v>
      </x:c>
      <x:c r="B265" s="31" t="str">
        <x:v>تراکنش‌ها</x:v>
      </x:c>
      <x:c r="C265" s="31" t="str">
        <x:v>L5</x:v>
      </x:c>
      <x:c r="D265" s="31" t="str">
        <x:v>LEDGER-MAJMOO-003</x:v>
      </x:c>
      <x:c r="E265" s="31"/>
    </x:row>
    <x:row r="266" ht="15" hidden="0" customHeight="1">
      <x:c r="A266" s="31" t="str">
        <x:v>Anjoman accounting - refined.xlsx</x:v>
      </x:c>
      <x:c r="B266" s="31" t="str">
        <x:v>تراکنش‌ها</x:v>
      </x:c>
      <x:c r="C266" s="31" t="str">
        <x:v>M5</x:v>
      </x:c>
      <x:c r="D266" s="31" t="str">
        <x:v>مبلغ از دفتر قبلی خوانده شد؛ نیازمند تطبیق نهایی با شواهد بانکی/رسید.</x:v>
      </x:c>
      <x:c r="E266" s="31"/>
    </x:row>
    <x:row r="267" ht="15" hidden="0" customHeight="1">
      <x:c r="A267" s="31" t="str">
        <x:v>Anjoman accounting - refined.xlsx</x:v>
      </x:c>
      <x:c r="B267" s="31" t="str">
        <x:v>تراکنش‌ها</x:v>
      </x:c>
      <x:c r="C267" s="31" t="str">
        <x:v>A6</x:v>
      </x:c>
      <x:c r="D267" s="31" t="str">
        <x:v>TX-00003</x:v>
      </x:c>
      <x:c r="E267" s="31"/>
    </x:row>
    <x:row r="268" ht="15" hidden="0" customHeight="1">
      <x:c r="A268" s="31" t="str">
        <x:v>Anjoman accounting - refined.xlsx</x:v>
      </x:c>
      <x:c r="B268" s="31" t="str">
        <x:v>تراکنش‌ها</x:v>
      </x:c>
      <x:c r="C268" s="31" t="str">
        <x:v>B6</x:v>
      </x:c>
      <x:c r="D268" s="31" t="str">
        <x:v>هزینه</x:v>
      </x:c>
      <x:c r="E268" s="31"/>
    </x:row>
    <x:row r="269" ht="15" hidden="0" customHeight="1">
      <x:c r="A269" s="31" t="str">
        <x:v>Anjoman accounting - refined.xlsx</x:v>
      </x:c>
      <x:c r="B269" s="31" t="str">
        <x:v>تراکنش‌ها</x:v>
      </x:c>
      <x:c r="C269" s="31" t="str">
        <x:v>C6</x:v>
      </x:c>
      <x:c r="D269" s="31" t="str">
        <x:v>مرداد</x:v>
      </x:c>
      <x:c r="E269" s="31"/>
    </x:row>
    <x:row r="270" ht="15" hidden="0" customHeight="1">
      <x:c r="A270" s="31" t="str">
        <x:v>Anjoman accounting - refined.xlsx</x:v>
      </x:c>
      <x:c r="B270" s="31" t="str">
        <x:v>تراکنش‌ها</x:v>
      </x:c>
      <x:c r="C270" s="31" t="str">
        <x:v>D6</x:v>
      </x:c>
      <x:c r="D270" s="31" t="str">
        <x:v>3000000</x:v>
      </x:c>
      <x:c r="E270" s="31"/>
    </x:row>
    <x:row r="271" ht="15" hidden="0" customHeight="1">
      <x:c r="A271" s="31" t="str">
        <x:v>Anjoman accounting - refined.xlsx</x:v>
      </x:c>
      <x:c r="B271" s="31" t="str">
        <x:v>تراکنش‌ها</x:v>
      </x:c>
      <x:c r="C271" s="31" t="str">
        <x:v>E6</x:v>
      </x:c>
      <x:c r="D271" s="31" t="str">
        <x:v>تومان</x:v>
      </x:c>
      <x:c r="E271" s="31"/>
    </x:row>
    <x:row r="272" ht="15" hidden="0" customHeight="1">
      <x:c r="A272" s="31" t="str">
        <x:v>Anjoman accounting - refined.xlsx</x:v>
      </x:c>
      <x:c r="B272" s="31" t="str">
        <x:v>تراکنش‌ها</x:v>
      </x:c>
      <x:c r="C272" s="31" t="str">
        <x:v>F6</x:v>
      </x:c>
      <x:c r="D272" s="31" t="str">
        <x:v>3000000</x:v>
      </x:c>
      <x:c r="E272" s="31"/>
    </x:row>
    <x:row r="273" ht="15" hidden="0" customHeight="1">
      <x:c r="A273" s="31" t="str">
        <x:v>Anjoman accounting - refined.xlsx</x:v>
      </x:c>
      <x:c r="B273" s="31" t="str">
        <x:v>تراکنش‌ها</x:v>
      </x:c>
      <x:c r="C273" s="31" t="str">
        <x:v>G6</x:v>
      </x:c>
      <x:c r="D273" s="31" t="str">
        <x:v>سهراب ملکی</x:v>
      </x:c>
      <x:c r="E273" s="31"/>
    </x:row>
    <x:row r="274" ht="15" hidden="0" customHeight="1">
      <x:c r="A274" s="31" t="str">
        <x:v>Anjoman accounting - refined.xlsx</x:v>
      </x:c>
      <x:c r="B274" s="31" t="str">
        <x:v>تراکنش‌ها</x:v>
      </x:c>
      <x:c r="C274" s="31" t="str">
        <x:v>H6</x:v>
      </x:c>
      <x:c r="D274" s="31" t="str">
        <x:v>حق التدریس دوره Mathemathica</x:v>
      </x:c>
      <x:c r="E274" s="31"/>
    </x:row>
    <x:row r="275" ht="15" hidden="0" customHeight="1">
      <x:c r="A275" s="31" t="str">
        <x:v>Anjoman accounting - refined.xlsx</x:v>
      </x:c>
      <x:c r="B275" s="31" t="str">
        <x:v>تراکنش‌ها</x:v>
      </x:c>
      <x:c r="C275" s="31" t="str">
        <x:v>I6</x:v>
      </x:c>
      <x:c r="D275" s="31" t="str">
        <x:v>هزینه / عملیاتی</x:v>
      </x:c>
      <x:c r="E275" s="31"/>
    </x:row>
    <x:row r="276" ht="15" hidden="0" customHeight="1">
      <x:c r="A276" s="31" t="str">
        <x:v>Anjoman accounting - refined.xlsx</x:v>
      </x:c>
      <x:c r="B276" s="31" t="str">
        <x:v>تراکنش‌ها</x:v>
      </x:c>
      <x:c r="C276" s="31" t="str">
        <x:v>J6</x:v>
      </x:c>
      <x:c r="D276" s="31" t="str">
        <x:v>تاییدشده</x:v>
      </x:c>
      <x:c r="E276" s="31"/>
    </x:row>
    <x:row r="277" ht="15" hidden="0" customHeight="1">
      <x:c r="A277" s="31" t="str">
        <x:v>Anjoman accounting - refined.xlsx</x:v>
      </x:c>
      <x:c r="B277" s="31" t="str">
        <x:v>تراکنش‌ها</x:v>
      </x:c>
      <x:c r="C277" s="31" t="str">
        <x:v>K6</x:v>
      </x:c>
      <x:c r="D277" s="31" t="str">
        <x:v>دفتر قبلی</x:v>
      </x:c>
      <x:c r="E277" s="31"/>
    </x:row>
    <x:row r="278" ht="15" hidden="0" customHeight="1">
      <x:c r="A278" s="31" t="str">
        <x:v>Anjoman accounting - refined.xlsx</x:v>
      </x:c>
      <x:c r="B278" s="31" t="str">
        <x:v>تراکنش‌ها</x:v>
      </x:c>
      <x:c r="C278" s="31" t="str">
        <x:v>L6</x:v>
      </x:c>
      <x:c r="D278" s="31" t="str">
        <x:v>LEDGER-MAJMOO-003</x:v>
      </x:c>
      <x:c r="E278" s="31"/>
    </x:row>
    <x:row r="279" ht="15" hidden="0" customHeight="1">
      <x:c r="A279" s="31" t="str">
        <x:v>Anjoman accounting - refined.xlsx</x:v>
      </x:c>
      <x:c r="B279" s="31" t="str">
        <x:v>تراکنش‌ها</x:v>
      </x:c>
      <x:c r="C279" s="31" t="str">
        <x:v>M6</x:v>
      </x:c>
      <x:c r="D279" s="31" t="str">
        <x:v>مبلغ از دفتر قبلی خوانده شد؛ نیازمند تطبیق نهایی با شواهد پرداخت.</x:v>
      </x:c>
      <x:c r="E279" s="31"/>
    </x:row>
    <x:row r="280" ht="15" hidden="0" customHeight="1">
      <x:c r="A280" s="31" t="str">
        <x:v>Anjoman accounting - refined.xlsx</x:v>
      </x:c>
      <x:c r="B280" s="31" t="str">
        <x:v>تراکنش‌ها</x:v>
      </x:c>
      <x:c r="C280" s="31" t="str">
        <x:v>A7</x:v>
      </x:c>
      <x:c r="D280" s="31" t="str">
        <x:v>TX-00004</x:v>
      </x:c>
      <x:c r="E280" s="31"/>
    </x:row>
    <x:row r="281" ht="15" hidden="0" customHeight="1">
      <x:c r="A281" s="31" t="str">
        <x:v>Anjoman accounting - refined.xlsx</x:v>
      </x:c>
      <x:c r="B281" s="31" t="str">
        <x:v>تراکنش‌ها</x:v>
      </x:c>
      <x:c r="C281" s="31" t="str">
        <x:v>B7</x:v>
      </x:c>
      <x:c r="D281" s="31" t="str">
        <x:v>هزینه</x:v>
      </x:c>
      <x:c r="E281" s="31"/>
    </x:row>
    <x:row r="282" ht="15" hidden="0" customHeight="1">
      <x:c r="A282" s="31" t="str">
        <x:v>Anjoman accounting - refined.xlsx</x:v>
      </x:c>
      <x:c r="B282" s="31" t="str">
        <x:v>تراکنش‌ها</x:v>
      </x:c>
      <x:c r="C282" s="31" t="str">
        <x:v>C7</x:v>
      </x:c>
      <x:c r="D282" s="31" t="str">
        <x:v>مرداد</x:v>
      </x:c>
      <x:c r="E282" s="31"/>
    </x:row>
    <x:row r="283" ht="15" hidden="0" customHeight="1">
      <x:c r="A283" s="31" t="str">
        <x:v>Anjoman accounting - refined.xlsx</x:v>
      </x:c>
      <x:c r="B283" s="31" t="str">
        <x:v>تراکنش‌ها</x:v>
      </x:c>
      <x:c r="C283" s="31" t="str">
        <x:v>D7</x:v>
      </x:c>
      <x:c r="D283" s="31" t="str">
        <x:v>3700000</x:v>
      </x:c>
      <x:c r="E283" s="31"/>
    </x:row>
    <x:row r="284" ht="15" hidden="0" customHeight="1">
      <x:c r="A284" s="31" t="str">
        <x:v>Anjoman accounting - refined.xlsx</x:v>
      </x:c>
      <x:c r="B284" s="31" t="str">
        <x:v>تراکنش‌ها</x:v>
      </x:c>
      <x:c r="C284" s="31" t="str">
        <x:v>E7</x:v>
      </x:c>
      <x:c r="D284" s="31" t="str">
        <x:v>تومان</x:v>
      </x:c>
      <x:c r="E284" s="31"/>
    </x:row>
    <x:row r="285" ht="15" hidden="0" customHeight="1">
      <x:c r="A285" s="31" t="str">
        <x:v>Anjoman accounting - refined.xlsx</x:v>
      </x:c>
      <x:c r="B285" s="31" t="str">
        <x:v>تراکنش‌ها</x:v>
      </x:c>
      <x:c r="C285" s="31" t="str">
        <x:v>F7</x:v>
      </x:c>
      <x:c r="D285" s="31" t="str">
        <x:v>3700000</x:v>
      </x:c>
      <x:c r="E285" s="31"/>
    </x:row>
    <x:row r="286" ht="15" hidden="0" customHeight="1">
      <x:c r="A286" s="31" t="str">
        <x:v>Anjoman accounting - refined.xlsx</x:v>
      </x:c>
      <x:c r="B286" s="31" t="str">
        <x:v>تراکنش‌ها</x:v>
      </x:c>
      <x:c r="C286" s="31" t="str">
        <x:v>G7</x:v>
      </x:c>
      <x:c r="D286" s="31" t="str">
        <x:v>متین جوکار</x:v>
      </x:c>
      <x:c r="E286" s="31"/>
    </x:row>
    <x:row r="287" ht="15" hidden="0" customHeight="1">
      <x:c r="A287" s="31" t="str">
        <x:v>Anjoman accounting - refined.xlsx</x:v>
      </x:c>
      <x:c r="B287" s="31" t="str">
        <x:v>تراکنش‌ها</x:v>
      </x:c>
      <x:c r="C287" s="31" t="str">
        <x:v>H7</x:v>
      </x:c>
      <x:c r="D287" s="31" t="str">
        <x:v>حق التدریس دوره Latex</x:v>
      </x:c>
      <x:c r="E287" s="31"/>
    </x:row>
    <x:row r="288" ht="15" hidden="0" customHeight="1">
      <x:c r="A288" s="31" t="str">
        <x:v>Anjoman accounting - refined.xlsx</x:v>
      </x:c>
      <x:c r="B288" s="31" t="str">
        <x:v>تراکنش‌ها</x:v>
      </x:c>
      <x:c r="C288" s="31" t="str">
        <x:v>I7</x:v>
      </x:c>
      <x:c r="D288" s="31" t="str">
        <x:v>هزینه / عملیاتی</x:v>
      </x:c>
      <x:c r="E288" s="31"/>
    </x:row>
    <x:row r="289" ht="15" hidden="0" customHeight="1">
      <x:c r="A289" s="31" t="str">
        <x:v>Anjoman accounting - refined.xlsx</x:v>
      </x:c>
      <x:c r="B289" s="31" t="str">
        <x:v>تراکنش‌ها</x:v>
      </x:c>
      <x:c r="C289" s="31" t="str">
        <x:v>J7</x:v>
      </x:c>
      <x:c r="D289" s="31" t="str">
        <x:v>تاییدشده</x:v>
      </x:c>
      <x:c r="E289" s="31"/>
    </x:row>
    <x:row r="290" ht="15" hidden="0" customHeight="1">
      <x:c r="A290" s="31" t="str">
        <x:v>Anjoman accounting - refined.xlsx</x:v>
      </x:c>
      <x:c r="B290" s="31" t="str">
        <x:v>تراکنش‌ها</x:v>
      </x:c>
      <x:c r="C290" s="31" t="str">
        <x:v>K7</x:v>
      </x:c>
      <x:c r="D290" s="31" t="str">
        <x:v>دفتر قبلی</x:v>
      </x:c>
      <x:c r="E290" s="31"/>
    </x:row>
    <x:row r="291" ht="15" hidden="0" customHeight="1">
      <x:c r="A291" s="31" t="str">
        <x:v>Anjoman accounting - refined.xlsx</x:v>
      </x:c>
      <x:c r="B291" s="31" t="str">
        <x:v>تراکنش‌ها</x:v>
      </x:c>
      <x:c r="C291" s="31" t="str">
        <x:v>L7</x:v>
      </x:c>
      <x:c r="D291" s="31" t="str">
        <x:v>LEDGER-MAJMOO-004</x:v>
      </x:c>
      <x:c r="E291" s="31"/>
    </x:row>
    <x:row r="292" ht="15" hidden="0" customHeight="1">
      <x:c r="A292" s="31" t="str">
        <x:v>Anjoman accounting - refined.xlsx</x:v>
      </x:c>
      <x:c r="B292" s="31" t="str">
        <x:v>تراکنش‌ها</x:v>
      </x:c>
      <x:c r="C292" s="31" t="str">
        <x:v>M7</x:v>
      </x:c>
      <x:c r="D292" s="31" t="str">
        <x:v>مبلغ از دفتر قبلی خوانده شد؛ نیازمند تطبیق نهایی با شواهد پرداخت.</x:v>
      </x:c>
      <x:c r="E292" s="31"/>
    </x:row>
    <x:row r="293" ht="15" hidden="0" customHeight="1">
      <x:c r="A293" s="31" t="str">
        <x:v>Anjoman accounting - refined.xlsx</x:v>
      </x:c>
      <x:c r="B293" s="31" t="str">
        <x:v>تراکنش‌ها</x:v>
      </x:c>
      <x:c r="C293" s="31" t="str">
        <x:v>A8</x:v>
      </x:c>
      <x:c r="D293" s="31" t="str">
        <x:v>TX-00005</x:v>
      </x:c>
      <x:c r="E293" s="31"/>
    </x:row>
    <x:row r="294" ht="15" hidden="0" customHeight="1">
      <x:c r="A294" s="31" t="str">
        <x:v>Anjoman accounting - refined.xlsx</x:v>
      </x:c>
      <x:c r="B294" s="31" t="str">
        <x:v>تراکنش‌ها</x:v>
      </x:c>
      <x:c r="C294" s="31" t="str">
        <x:v>B8</x:v>
      </x:c>
      <x:c r="D294" s="31" t="str">
        <x:v>هزینه</x:v>
      </x:c>
      <x:c r="E294" s="31"/>
    </x:row>
    <x:row r="295" ht="15" hidden="0" customHeight="1">
      <x:c r="A295" s="31" t="str">
        <x:v>Anjoman accounting - refined.xlsx</x:v>
      </x:c>
      <x:c r="B295" s="31" t="str">
        <x:v>تراکنش‌ها</x:v>
      </x:c>
      <x:c r="C295" s="31" t="str">
        <x:v>C8</x:v>
      </x:c>
      <x:c r="D295" s="31" t="str">
        <x:v>مرداد</x:v>
      </x:c>
      <x:c r="E295" s="31"/>
    </x:row>
    <x:row r="296" ht="15" hidden="0" customHeight="1">
      <x:c r="A296" s="31" t="str">
        <x:v>Anjoman accounting - refined.xlsx</x:v>
      </x:c>
      <x:c r="B296" s="31" t="str">
        <x:v>تراکنش‌ها</x:v>
      </x:c>
      <x:c r="C296" s="31" t="str">
        <x:v>D8</x:v>
      </x:c>
      <x:c r="D296" s="31" t="str">
        <x:v>500000</x:v>
      </x:c>
      <x:c r="E296" s="31"/>
    </x:row>
    <x:row r="297" ht="15" hidden="0" customHeight="1">
      <x:c r="A297" s="31" t="str">
        <x:v>Anjoman accounting - refined.xlsx</x:v>
      </x:c>
      <x:c r="B297" s="31" t="str">
        <x:v>تراکنش‌ها</x:v>
      </x:c>
      <x:c r="C297" s="31" t="str">
        <x:v>E8</x:v>
      </x:c>
      <x:c r="D297" s="31" t="str">
        <x:v>تومان</x:v>
      </x:c>
      <x:c r="E297" s="31"/>
    </x:row>
    <x:row r="298" ht="15" hidden="0" customHeight="1">
      <x:c r="A298" s="31" t="str">
        <x:v>Anjoman accounting - refined.xlsx</x:v>
      </x:c>
      <x:c r="B298" s="31" t="str">
        <x:v>تراکنش‌ها</x:v>
      </x:c>
      <x:c r="C298" s="31" t="str">
        <x:v>F8</x:v>
      </x:c>
      <x:c r="D298" s="31" t="str">
        <x:v>500000</x:v>
      </x:c>
      <x:c r="E298" s="31"/>
    </x:row>
    <x:row r="299" ht="15" hidden="0" customHeight="1">
      <x:c r="A299" s="31" t="str">
        <x:v>Anjoman accounting - refined.xlsx</x:v>
      </x:c>
      <x:c r="B299" s="31" t="str">
        <x:v>تراکنش‌ها</x:v>
      </x:c>
      <x:c r="C299" s="31" t="str">
        <x:v>G8</x:v>
      </x:c>
      <x:c r="D299" s="31" t="str">
        <x:v>ابراهیم خسروانی</x:v>
      </x:c>
      <x:c r="E299" s="31"/>
    </x:row>
    <x:row r="300" ht="15" hidden="0" customHeight="1">
      <x:c r="A300" s="31" t="str">
        <x:v>Anjoman accounting - refined.xlsx</x:v>
      </x:c>
      <x:c r="B300" s="31" t="str">
        <x:v>تراکنش‌ها</x:v>
      </x:c>
      <x:c r="C300" s="31" t="str">
        <x:v>H8</x:v>
      </x:c>
      <x:c r="D300" s="31" t="str">
        <x:v>TA، فرم و شیت مدرسه تابستانه</x:v>
      </x:c>
      <x:c r="E300" s="31"/>
    </x:row>
    <x:row r="301" ht="15" hidden="0" customHeight="1">
      <x:c r="A301" s="31" t="str">
        <x:v>Anjoman accounting - refined.xlsx</x:v>
      </x:c>
      <x:c r="B301" s="31" t="str">
        <x:v>تراکنش‌ها</x:v>
      </x:c>
      <x:c r="C301" s="31" t="str">
        <x:v>I8</x:v>
      </x:c>
      <x:c r="D301" s="31" t="str">
        <x:v>هزینه / عملیاتی</x:v>
      </x:c>
      <x:c r="E301" s="31"/>
    </x:row>
    <x:row r="302" ht="15" hidden="0" customHeight="1">
      <x:c r="A302" s="31" t="str">
        <x:v>Anjoman accounting - refined.xlsx</x:v>
      </x:c>
      <x:c r="B302" s="31" t="str">
        <x:v>تراکنش‌ها</x:v>
      </x:c>
      <x:c r="C302" s="31" t="str">
        <x:v>J8</x:v>
      </x:c>
      <x:c r="D302" s="31" t="str">
        <x:v>تاییدشده</x:v>
      </x:c>
      <x:c r="E302" s="31"/>
    </x:row>
    <x:row r="303" ht="15" hidden="0" customHeight="1">
      <x:c r="A303" s="31" t="str">
        <x:v>Anjoman accounting - refined.xlsx</x:v>
      </x:c>
      <x:c r="B303" s="31" t="str">
        <x:v>تراکنش‌ها</x:v>
      </x:c>
      <x:c r="C303" s="31" t="str">
        <x:v>K8</x:v>
      </x:c>
      <x:c r="D303" s="31" t="str">
        <x:v>دفتر قبلی</x:v>
      </x:c>
      <x:c r="E303" s="31"/>
    </x:row>
    <x:row r="304" ht="15" hidden="0" customHeight="1">
      <x:c r="A304" s="31" t="str">
        <x:v>Anjoman accounting - refined.xlsx</x:v>
      </x:c>
      <x:c r="B304" s="31" t="str">
        <x:v>تراکنش‌ها</x:v>
      </x:c>
      <x:c r="C304" s="31" t="str">
        <x:v>L8</x:v>
      </x:c>
      <x:c r="D304" s="31" t="str">
        <x:v>LEDGER-MAJMOO-005</x:v>
      </x:c>
      <x:c r="E304" s="31"/>
    </x:row>
    <x:row r="305" ht="15" hidden="0" customHeight="1">
      <x:c r="A305" s="31" t="str">
        <x:v>Anjoman accounting - refined.xlsx</x:v>
      </x:c>
      <x:c r="B305" s="31" t="str">
        <x:v>تراکنش‌ها</x:v>
      </x:c>
      <x:c r="C305" s="31" t="str">
        <x:v>M8</x:v>
      </x:c>
      <x:c r="D305" s="31" t="str">
        <x:v>مبلغ از دفتر قبلی خوانده شد؛ نیازمند تطبیق نهایی با شواهد پرداخت.</x:v>
      </x:c>
      <x:c r="E305" s="31"/>
    </x:row>
    <x:row r="306" ht="15" hidden="0" customHeight="1">
      <x:c r="A306" s="31" t="str">
        <x:v>Anjoman accounting - refined.xlsx</x:v>
      </x:c>
      <x:c r="B306" s="31" t="str">
        <x:v>تراکنش‌ها</x:v>
      </x:c>
      <x:c r="C306" s="31" t="str">
        <x:v>A9</x:v>
      </x:c>
      <x:c r="D306" s="31" t="str">
        <x:v>TX-00006</x:v>
      </x:c>
      <x:c r="E306" s="31"/>
    </x:row>
    <x:row r="307" ht="15" hidden="0" customHeight="1">
      <x:c r="A307" s="31" t="str">
        <x:v>Anjoman accounting - refined.xlsx</x:v>
      </x:c>
      <x:c r="B307" s="31" t="str">
        <x:v>تراکنش‌ها</x:v>
      </x:c>
      <x:c r="C307" s="31" t="str">
        <x:v>B9</x:v>
      </x:c>
      <x:c r="D307" s="31" t="str">
        <x:v>هزینه</x:v>
      </x:c>
      <x:c r="E307" s="31"/>
    </x:row>
    <x:row r="308" ht="15" hidden="0" customHeight="1">
      <x:c r="A308" s="31" t="str">
        <x:v>Anjoman accounting - refined.xlsx</x:v>
      </x:c>
      <x:c r="B308" s="31" t="str">
        <x:v>تراکنش‌ها</x:v>
      </x:c>
      <x:c r="C308" s="31" t="str">
        <x:v>C9</x:v>
      </x:c>
      <x:c r="D308" s="31" t="str">
        <x:v>مرداد</x:v>
      </x:c>
      <x:c r="E308" s="31"/>
    </x:row>
    <x:row r="309" ht="15" hidden="0" customHeight="1">
      <x:c r="A309" s="31" t="str">
        <x:v>Anjoman accounting - refined.xlsx</x:v>
      </x:c>
      <x:c r="B309" s="31" t="str">
        <x:v>تراکنش‌ها</x:v>
      </x:c>
      <x:c r="C309" s="31" t="str">
        <x:v>D9</x:v>
      </x:c>
      <x:c r="D309" s="31" t="str">
        <x:v>600000</x:v>
      </x:c>
      <x:c r="E309" s="31"/>
    </x:row>
    <x:row r="310" ht="15" hidden="0" customHeight="1">
      <x:c r="A310" s="31" t="str">
        <x:v>Anjoman accounting - refined.xlsx</x:v>
      </x:c>
      <x:c r="B310" s="31" t="str">
        <x:v>تراکنش‌ها</x:v>
      </x:c>
      <x:c r="C310" s="31" t="str">
        <x:v>E9</x:v>
      </x:c>
      <x:c r="D310" s="31" t="str">
        <x:v>تومان</x:v>
      </x:c>
      <x:c r="E310" s="31"/>
    </x:row>
    <x:row r="311" ht="15" hidden="0" customHeight="1">
      <x:c r="A311" s="31" t="str">
        <x:v>Anjoman accounting - refined.xlsx</x:v>
      </x:c>
      <x:c r="B311" s="31" t="str">
        <x:v>تراکنش‌ها</x:v>
      </x:c>
      <x:c r="C311" s="31" t="str">
        <x:v>F9</x:v>
      </x:c>
      <x:c r="D311" s="31" t="str">
        <x:v>600000</x:v>
      </x:c>
      <x:c r="E311" s="31"/>
    </x:row>
    <x:row r="312" ht="15" hidden="0" customHeight="1">
      <x:c r="A312" s="31" t="str">
        <x:v>Anjoman accounting - refined.xlsx</x:v>
      </x:c>
      <x:c r="B312" s="31" t="str">
        <x:v>تراکنش‌ها</x:v>
      </x:c>
      <x:c r="C312" s="31" t="str">
        <x:v>G9</x:v>
      </x:c>
      <x:c r="D312" s="31" t="str">
        <x:v>سپهر طلایی</x:v>
      </x:c>
      <x:c r="E312" s="31"/>
    </x:row>
    <x:row r="313" ht="15" hidden="0" customHeight="1">
      <x:c r="A313" s="31" t="str">
        <x:v>Anjoman accounting - refined.xlsx</x:v>
      </x:c>
      <x:c r="B313" s="31" t="str">
        <x:v>تراکنش‌ها</x:v>
      </x:c>
      <x:c r="C313" s="31" t="str">
        <x:v>H9</x:v>
      </x:c>
      <x:c r="D313" s="31" t="str">
        <x:v>TA پایتون، پشتیبانی ثبت نام</x:v>
      </x:c>
      <x:c r="E313" s="31"/>
    </x:row>
    <x:row r="314" ht="15" hidden="0" customHeight="1">
      <x:c r="A314" s="31" t="str">
        <x:v>Anjoman accounting - refined.xlsx</x:v>
      </x:c>
      <x:c r="B314" s="31" t="str">
        <x:v>تراکنش‌ها</x:v>
      </x:c>
      <x:c r="C314" s="31" t="str">
        <x:v>I9</x:v>
      </x:c>
      <x:c r="D314" s="31" t="str">
        <x:v>هزینه / عملیاتی</x:v>
      </x:c>
      <x:c r="E314" s="31"/>
    </x:row>
    <x:row r="315" ht="15" hidden="0" customHeight="1">
      <x:c r="A315" s="31" t="str">
        <x:v>Anjoman accounting - refined.xlsx</x:v>
      </x:c>
      <x:c r="B315" s="31" t="str">
        <x:v>تراکنش‌ها</x:v>
      </x:c>
      <x:c r="C315" s="31" t="str">
        <x:v>J9</x:v>
      </x:c>
      <x:c r="D315" s="31" t="str">
        <x:v>تاییدشده</x:v>
      </x:c>
      <x:c r="E315" s="31"/>
    </x:row>
    <x:row r="316" ht="15" hidden="0" customHeight="1">
      <x:c r="A316" s="31" t="str">
        <x:v>Anjoman accounting - refined.xlsx</x:v>
      </x:c>
      <x:c r="B316" s="31" t="str">
        <x:v>تراکنش‌ها</x:v>
      </x:c>
      <x:c r="C316" s="31" t="str">
        <x:v>K9</x:v>
      </x:c>
      <x:c r="D316" s="31" t="str">
        <x:v>دفتر قبلی</x:v>
      </x:c>
      <x:c r="E316" s="31"/>
    </x:row>
    <x:row r="317" ht="15" hidden="0" customHeight="1">
      <x:c r="A317" s="31" t="str">
        <x:v>Anjoman accounting - refined.xlsx</x:v>
      </x:c>
      <x:c r="B317" s="31" t="str">
        <x:v>تراکنش‌ها</x:v>
      </x:c>
      <x:c r="C317" s="31" t="str">
        <x:v>L9</x:v>
      </x:c>
      <x:c r="D317" s="31" t="str">
        <x:v>LEDGER-MAJMOO-006</x:v>
      </x:c>
      <x:c r="E317" s="31"/>
    </x:row>
    <x:row r="318" ht="15" hidden="0" customHeight="1">
      <x:c r="A318" s="31" t="str">
        <x:v>Anjoman accounting - refined.xlsx</x:v>
      </x:c>
      <x:c r="B318" s="31" t="str">
        <x:v>تراکنش‌ها</x:v>
      </x:c>
      <x:c r="C318" s="31" t="str">
        <x:v>M9</x:v>
      </x:c>
      <x:c r="D318" s="31" t="str">
        <x:v>مبلغ از دفتر قبلی خوانده شد؛ نیازمند تطبیق نهایی با شواهد پرداخت.</x:v>
      </x:c>
      <x:c r="E318" s="31"/>
    </x:row>
    <x:row r="319" ht="15" hidden="0" customHeight="1">
      <x:c r="A319" s="31" t="str">
        <x:v>Anjoman accounting - refined.xlsx</x:v>
      </x:c>
      <x:c r="B319" s="31" t="str">
        <x:v>تراکنش‌ها</x:v>
      </x:c>
      <x:c r="C319" s="31" t="str">
        <x:v>A10</x:v>
      </x:c>
      <x:c r="D319" s="31" t="str">
        <x:v>TX-00007</x:v>
      </x:c>
      <x:c r="E319" s="31"/>
    </x:row>
    <x:row r="320" ht="15" hidden="0" customHeight="1">
      <x:c r="A320" s="31" t="str">
        <x:v>Anjoman accounting - refined.xlsx</x:v>
      </x:c>
      <x:c r="B320" s="31" t="str">
        <x:v>تراکنش‌ها</x:v>
      </x:c>
      <x:c r="C320" s="31" t="str">
        <x:v>B10</x:v>
      </x:c>
      <x:c r="D320" s="31" t="str">
        <x:v>هزینه</x:v>
      </x:c>
      <x:c r="E320" s="31"/>
    </x:row>
    <x:row r="321" ht="15" hidden="0" customHeight="1">
      <x:c r="A321" s="31" t="str">
        <x:v>Anjoman accounting - refined.xlsx</x:v>
      </x:c>
      <x:c r="B321" s="31" t="str">
        <x:v>تراکنش‌ها</x:v>
      </x:c>
      <x:c r="C321" s="31" t="str">
        <x:v>C10</x:v>
      </x:c>
      <x:c r="D321" s="31" t="str">
        <x:v>مرداد</x:v>
      </x:c>
      <x:c r="E321" s="31"/>
    </x:row>
    <x:row r="322" ht="15" hidden="0" customHeight="1">
      <x:c r="A322" s="31" t="str">
        <x:v>Anjoman accounting - refined.xlsx</x:v>
      </x:c>
      <x:c r="B322" s="31" t="str">
        <x:v>تراکنش‌ها</x:v>
      </x:c>
      <x:c r="C322" s="31" t="str">
        <x:v>D10</x:v>
      </x:c>
      <x:c r="D322" s="31" t="str">
        <x:v>600000</x:v>
      </x:c>
      <x:c r="E322" s="31"/>
    </x:row>
    <x:row r="323" ht="15" hidden="0" customHeight="1">
      <x:c r="A323" s="31" t="str">
        <x:v>Anjoman accounting - refined.xlsx</x:v>
      </x:c>
      <x:c r="B323" s="31" t="str">
        <x:v>تراکنش‌ها</x:v>
      </x:c>
      <x:c r="C323" s="31" t="str">
        <x:v>E10</x:v>
      </x:c>
      <x:c r="D323" s="31" t="str">
        <x:v>تومان</x:v>
      </x:c>
      <x:c r="E323" s="31"/>
    </x:row>
    <x:row r="324" ht="15" hidden="0" customHeight="1">
      <x:c r="A324" s="31" t="str">
        <x:v>Anjoman accounting - refined.xlsx</x:v>
      </x:c>
      <x:c r="B324" s="31" t="str">
        <x:v>تراکنش‌ها</x:v>
      </x:c>
      <x:c r="C324" s="31" t="str">
        <x:v>F10</x:v>
      </x:c>
      <x:c r="D324" s="31" t="str">
        <x:v>600000</x:v>
      </x:c>
      <x:c r="E324" s="31"/>
    </x:row>
    <x:row r="325" ht="15" hidden="0" customHeight="1">
      <x:c r="A325" s="31" t="str">
        <x:v>Anjoman accounting - refined.xlsx</x:v>
      </x:c>
      <x:c r="B325" s="31" t="str">
        <x:v>تراکنش‌ها</x:v>
      </x:c>
      <x:c r="C325" s="31" t="str">
        <x:v>G10</x:v>
      </x:c>
      <x:c r="D325" s="31" t="str">
        <x:v>محمدامین عزیزی</x:v>
      </x:c>
      <x:c r="E325" s="31"/>
    </x:row>
    <x:row r="326" ht="15" hidden="0" customHeight="1">
      <x:c r="A326" s="31" t="str">
        <x:v>Anjoman accounting - refined.xlsx</x:v>
      </x:c>
      <x:c r="B326" s="31" t="str">
        <x:v>تراکنش‌ها</x:v>
      </x:c>
      <x:c r="C326" s="31" t="str">
        <x:v>H10</x:v>
      </x:c>
      <x:c r="D326" s="31" t="str">
        <x:v>TA پایتون، پشتیبانی ثبت نام، حسابداری مدرسه</x:v>
      </x:c>
      <x:c r="E326" s="31"/>
    </x:row>
    <x:row r="327" ht="15" hidden="0" customHeight="1">
      <x:c r="A327" s="31" t="str">
        <x:v>Anjoman accounting - refined.xlsx</x:v>
      </x:c>
      <x:c r="B327" s="31" t="str">
        <x:v>تراکنش‌ها</x:v>
      </x:c>
      <x:c r="C327" s="31" t="str">
        <x:v>I10</x:v>
      </x:c>
      <x:c r="D327" s="31" t="str">
        <x:v>هزینه / عملیاتی</x:v>
      </x:c>
      <x:c r="E327" s="31"/>
    </x:row>
    <x:row r="328" ht="15" hidden="0" customHeight="1">
      <x:c r="A328" s="31" t="str">
        <x:v>Anjoman accounting - refined.xlsx</x:v>
      </x:c>
      <x:c r="B328" s="31" t="str">
        <x:v>تراکنش‌ها</x:v>
      </x:c>
      <x:c r="C328" s="31" t="str">
        <x:v>J10</x:v>
      </x:c>
      <x:c r="D328" s="31" t="str">
        <x:v>تاییدشده</x:v>
      </x:c>
      <x:c r="E328" s="31"/>
    </x:row>
    <x:row r="329" ht="15" hidden="0" customHeight="1">
      <x:c r="A329" s="31" t="str">
        <x:v>Anjoman accounting - refined.xlsx</x:v>
      </x:c>
      <x:c r="B329" s="31" t="str">
        <x:v>تراکنش‌ها</x:v>
      </x:c>
      <x:c r="C329" s="31" t="str">
        <x:v>K10</x:v>
      </x:c>
      <x:c r="D329" s="31" t="str">
        <x:v>دفتر قبلی</x:v>
      </x:c>
      <x:c r="E329" s="31"/>
    </x:row>
    <x:row r="330" ht="15" hidden="0" customHeight="1">
      <x:c r="A330" s="31" t="str">
        <x:v>Anjoman accounting - refined.xlsx</x:v>
      </x:c>
      <x:c r="B330" s="31" t="str">
        <x:v>تراکنش‌ها</x:v>
      </x:c>
      <x:c r="C330" s="31" t="str">
        <x:v>L10</x:v>
      </x:c>
      <x:c r="D330" s="31" t="str">
        <x:v>LEDGER-MAJMOO-007</x:v>
      </x:c>
      <x:c r="E330" s="31"/>
    </x:row>
    <x:row r="331" ht="15" hidden="0" customHeight="1">
      <x:c r="A331" s="31" t="str">
        <x:v>Anjoman accounting - refined.xlsx</x:v>
      </x:c>
      <x:c r="B331" s="31" t="str">
        <x:v>تراکنش‌ها</x:v>
      </x:c>
      <x:c r="C331" s="31" t="str">
        <x:v>M10</x:v>
      </x:c>
      <x:c r="D331" s="31" t="str">
        <x:v>مبلغ از دفتر قبلی خوانده شد؛ نیازمند تطبیق نهایی با شواهد پرداخت.</x:v>
      </x:c>
      <x:c r="E331" s="31"/>
    </x:row>
    <x:row r="332" ht="15" hidden="0" customHeight="1">
      <x:c r="A332" s="31" t="str">
        <x:v>Anjoman accounting - refined.xlsx</x:v>
      </x:c>
      <x:c r="B332" s="31" t="str">
        <x:v>تراکنش‌ها</x:v>
      </x:c>
      <x:c r="C332" s="31" t="str">
        <x:v>A11</x:v>
      </x:c>
      <x:c r="D332" s="31" t="str">
        <x:v>TX-00008</x:v>
      </x:c>
      <x:c r="E332" s="31"/>
    </x:row>
    <x:row r="333" ht="15" hidden="0" customHeight="1">
      <x:c r="A333" s="31" t="str">
        <x:v>Anjoman accounting - refined.xlsx</x:v>
      </x:c>
      <x:c r="B333" s="31" t="str">
        <x:v>تراکنش‌ها</x:v>
      </x:c>
      <x:c r="C333" s="31" t="str">
        <x:v>B11</x:v>
      </x:c>
      <x:c r="D333" s="31" t="str">
        <x:v>هزینه</x:v>
      </x:c>
      <x:c r="E333" s="31"/>
    </x:row>
    <x:row r="334" ht="15" hidden="0" customHeight="1">
      <x:c r="A334" s="31" t="str">
        <x:v>Anjoman accounting - refined.xlsx</x:v>
      </x:c>
      <x:c r="B334" s="31" t="str">
        <x:v>تراکنش‌ها</x:v>
      </x:c>
      <x:c r="C334" s="31" t="str">
        <x:v>C11</x:v>
      </x:c>
      <x:c r="D334" s="31" t="str">
        <x:v>مرداد</x:v>
      </x:c>
      <x:c r="E334" s="31"/>
    </x:row>
    <x:row r="335" ht="15" hidden="0" customHeight="1">
      <x:c r="A335" s="31" t="str">
        <x:v>Anjoman accounting - refined.xlsx</x:v>
      </x:c>
      <x:c r="B335" s="31" t="str">
        <x:v>تراکنش‌ها</x:v>
      </x:c>
      <x:c r="C335" s="31" t="str">
        <x:v>D11</x:v>
      </x:c>
      <x:c r="D335" s="31" t="str">
        <x:v>300000</x:v>
      </x:c>
      <x:c r="E335" s="31"/>
    </x:row>
    <x:row r="336" ht="15" hidden="0" customHeight="1">
      <x:c r="A336" s="31" t="str">
        <x:v>Anjoman accounting - refined.xlsx</x:v>
      </x:c>
      <x:c r="B336" s="31" t="str">
        <x:v>تراکنش‌ها</x:v>
      </x:c>
      <x:c r="C336" s="31" t="str">
        <x:v>E11</x:v>
      </x:c>
      <x:c r="D336" s="31" t="str">
        <x:v>تومان</x:v>
      </x:c>
      <x:c r="E336" s="31"/>
    </x:row>
    <x:row r="337" ht="15" hidden="0" customHeight="1">
      <x:c r="A337" s="31" t="str">
        <x:v>Anjoman accounting - refined.xlsx</x:v>
      </x:c>
      <x:c r="B337" s="31" t="str">
        <x:v>تراکنش‌ها</x:v>
      </x:c>
      <x:c r="C337" s="31" t="str">
        <x:v>F11</x:v>
      </x:c>
      <x:c r="D337" s="31" t="str">
        <x:v>300000</x:v>
      </x:c>
      <x:c r="E337" s="31"/>
    </x:row>
    <x:row r="338" ht="15" hidden="0" customHeight="1">
      <x:c r="A338" s="31" t="str">
        <x:v>Anjoman accounting - refined.xlsx</x:v>
      </x:c>
      <x:c r="B338" s="31" t="str">
        <x:v>تراکنش‌ها</x:v>
      </x:c>
      <x:c r="C338" s="31" t="str">
        <x:v>G11</x:v>
      </x:c>
      <x:c r="D338" s="31" t="str">
        <x:v>متین جوکار</x:v>
      </x:c>
      <x:c r="E338" s="31"/>
    </x:row>
    <x:row r="339" ht="15" hidden="0" customHeight="1">
      <x:c r="A339" s="31" t="str">
        <x:v>Anjoman accounting - refined.xlsx</x:v>
      </x:c>
      <x:c r="B339" s="31" t="str">
        <x:v>تراکنش‌ها</x:v>
      </x:c>
      <x:c r="C339" s="31" t="str">
        <x:v>H11</x:v>
      </x:c>
      <x:c r="D339" s="31" t="str">
        <x:v>ضبط جبرانی جلسه3 لتک</x:v>
      </x:c>
      <x:c r="E339" s="31"/>
    </x:row>
    <x:row r="340" ht="15" hidden="0" customHeight="1">
      <x:c r="A340" s="31" t="str">
        <x:v>Anjoman accounting - refined.xlsx</x:v>
      </x:c>
      <x:c r="B340" s="31" t="str">
        <x:v>تراکنش‌ها</x:v>
      </x:c>
      <x:c r="C340" s="31" t="str">
        <x:v>I11</x:v>
      </x:c>
      <x:c r="D340" s="31" t="str">
        <x:v>هزینه / عملیاتی</x:v>
      </x:c>
      <x:c r="E340" s="31"/>
    </x:row>
    <x:row r="341" ht="15" hidden="0" customHeight="1">
      <x:c r="A341" s="31" t="str">
        <x:v>Anjoman accounting - refined.xlsx</x:v>
      </x:c>
      <x:c r="B341" s="31" t="str">
        <x:v>تراکنش‌ها</x:v>
      </x:c>
      <x:c r="C341" s="31" t="str">
        <x:v>J11</x:v>
      </x:c>
      <x:c r="D341" s="31" t="str">
        <x:v>تاییدشده</x:v>
      </x:c>
      <x:c r="E341" s="31"/>
    </x:row>
    <x:row r="342" ht="15" hidden="0" customHeight="1">
      <x:c r="A342" s="31" t="str">
        <x:v>Anjoman accounting - refined.xlsx</x:v>
      </x:c>
      <x:c r="B342" s="31" t="str">
        <x:v>تراکنش‌ها</x:v>
      </x:c>
      <x:c r="C342" s="31" t="str">
        <x:v>K11</x:v>
      </x:c>
      <x:c r="D342" s="31" t="str">
        <x:v>دفتر قبلی</x:v>
      </x:c>
      <x:c r="E342" s="31"/>
    </x:row>
    <x:row r="343" ht="15" hidden="0" customHeight="1">
      <x:c r="A343" s="31" t="str">
        <x:v>Anjoman accounting - refined.xlsx</x:v>
      </x:c>
      <x:c r="B343" s="31" t="str">
        <x:v>تراکنش‌ها</x:v>
      </x:c>
      <x:c r="C343" s="31" t="str">
        <x:v>L11</x:v>
      </x:c>
      <x:c r="D343" s="31" t="str">
        <x:v>LEDGER-MAJMOO-008</x:v>
      </x:c>
      <x:c r="E343" s="31"/>
    </x:row>
    <x:row r="344" ht="15" hidden="0" customHeight="1">
      <x:c r="A344" s="31" t="str">
        <x:v>Anjoman accounting - refined.xlsx</x:v>
      </x:c>
      <x:c r="B344" s="31" t="str">
        <x:v>تراکنش‌ها</x:v>
      </x:c>
      <x:c r="C344" s="31" t="str">
        <x:v>M11</x:v>
      </x:c>
      <x:c r="D344" s="31" t="str">
        <x:v>مبلغ از دفتر قبلی خوانده شد؛ نیازمند تطبیق نهایی با شواهد پرداخت.</x:v>
      </x:c>
      <x:c r="E344" s="31"/>
    </x:row>
    <x:row r="345" ht="15" hidden="0" customHeight="1">
      <x:c r="A345" s="31" t="str">
        <x:v>Anjoman accounting - refined.xlsx</x:v>
      </x:c>
      <x:c r="B345" s="31" t="str">
        <x:v>تراکنش‌ها</x:v>
      </x:c>
      <x:c r="C345" s="31" t="str">
        <x:v>A12</x:v>
      </x:c>
      <x:c r="D345" s="31" t="str">
        <x:v>TX-00009</x:v>
      </x:c>
      <x:c r="E345" s="31"/>
    </x:row>
    <x:row r="346" ht="15" hidden="0" customHeight="1">
      <x:c r="A346" s="31" t="str">
        <x:v>Anjoman accounting - refined.xlsx</x:v>
      </x:c>
      <x:c r="B346" s="31" t="str">
        <x:v>تراکنش‌ها</x:v>
      </x:c>
      <x:c r="C346" s="31" t="str">
        <x:v>B12</x:v>
      </x:c>
      <x:c r="D346" s="31" t="str">
        <x:v>هزینه</x:v>
      </x:c>
      <x:c r="E346" s="31"/>
    </x:row>
    <x:row r="347" ht="15" hidden="0" customHeight="1">
      <x:c r="A347" s="31" t="str">
        <x:v>Anjoman accounting - refined.xlsx</x:v>
      </x:c>
      <x:c r="B347" s="31" t="str">
        <x:v>تراکنش‌ها</x:v>
      </x:c>
      <x:c r="C347" s="31" t="str">
        <x:v>C12</x:v>
      </x:c>
      <x:c r="D347" s="31" t="str">
        <x:v>مرداد</x:v>
      </x:c>
      <x:c r="E347" s="31"/>
    </x:row>
    <x:row r="348" ht="15" hidden="0" customHeight="1">
      <x:c r="A348" s="31" t="str">
        <x:v>Anjoman accounting - refined.xlsx</x:v>
      </x:c>
      <x:c r="B348" s="31" t="str">
        <x:v>تراکنش‌ها</x:v>
      </x:c>
      <x:c r="C348" s="31" t="str">
        <x:v>D12</x:v>
      </x:c>
      <x:c r="D348" s="31" t="str">
        <x:v>400000</x:v>
      </x:c>
      <x:c r="E348" s="31"/>
    </x:row>
    <x:row r="349" ht="15" hidden="0" customHeight="1">
      <x:c r="A349" s="31" t="str">
        <x:v>Anjoman accounting - refined.xlsx</x:v>
      </x:c>
      <x:c r="B349" s="31" t="str">
        <x:v>تراکنش‌ها</x:v>
      </x:c>
      <x:c r="C349" s="31" t="str">
        <x:v>E12</x:v>
      </x:c>
      <x:c r="D349" s="31" t="str">
        <x:v>تومان</x:v>
      </x:c>
      <x:c r="E349" s="31"/>
    </x:row>
    <x:row r="350" ht="15" hidden="0" customHeight="1">
      <x:c r="A350" s="31" t="str">
        <x:v>Anjoman accounting - refined.xlsx</x:v>
      </x:c>
      <x:c r="B350" s="31" t="str">
        <x:v>تراکنش‌ها</x:v>
      </x:c>
      <x:c r="C350" s="31" t="str">
        <x:v>F12</x:v>
      </x:c>
      <x:c r="D350" s="31" t="str">
        <x:v>400000</x:v>
      </x:c>
      <x:c r="E350" s="31"/>
    </x:row>
    <x:row r="351" ht="15" hidden="0" customHeight="1">
      <x:c r="A351" s="31" t="str">
        <x:v>Anjoman accounting - refined.xlsx</x:v>
      </x:c>
      <x:c r="B351" s="31" t="str">
        <x:v>تراکنش‌ها</x:v>
      </x:c>
      <x:c r="C351" s="31" t="str">
        <x:v>G12</x:v>
      </x:c>
      <x:c r="D351" s="31" t="str">
        <x:v>محمدحسین مشک افشان</x:v>
      </x:c>
      <x:c r="E351" s="31"/>
    </x:row>
    <x:row r="352" ht="15" hidden="0" customHeight="1">
      <x:c r="A352" s="31" t="str">
        <x:v>Anjoman accounting - refined.xlsx</x:v>
      </x:c>
      <x:c r="B352" s="31" t="str">
        <x:v>تراکنش‌ها</x:v>
      </x:c>
      <x:c r="C352" s="31" t="str">
        <x:v>H12</x:v>
      </x:c>
      <x:c r="D352" s="31" t="str">
        <x:v>تبلیغ مدرسه تابستانه در مهمات شریف</x:v>
      </x:c>
      <x:c r="E352" s="31"/>
    </x:row>
    <x:row r="353" ht="15" hidden="0" customHeight="1">
      <x:c r="A353" s="31" t="str">
        <x:v>Anjoman accounting - refined.xlsx</x:v>
      </x:c>
      <x:c r="B353" s="31" t="str">
        <x:v>تراکنش‌ها</x:v>
      </x:c>
      <x:c r="C353" s="31" t="str">
        <x:v>I12</x:v>
      </x:c>
      <x:c r="D353" s="31" t="str">
        <x:v>هزینه / عملیاتی</x:v>
      </x:c>
      <x:c r="E353" s="31"/>
    </x:row>
    <x:row r="354" ht="15" hidden="0" customHeight="1">
      <x:c r="A354" s="31" t="str">
        <x:v>Anjoman accounting - refined.xlsx</x:v>
      </x:c>
      <x:c r="B354" s="31" t="str">
        <x:v>تراکنش‌ها</x:v>
      </x:c>
      <x:c r="C354" s="31" t="str">
        <x:v>J12</x:v>
      </x:c>
      <x:c r="D354" s="31" t="str">
        <x:v>تاییدشده</x:v>
      </x:c>
      <x:c r="E354" s="31"/>
    </x:row>
    <x:row r="355" ht="15" hidden="0" customHeight="1">
      <x:c r="A355" s="31" t="str">
        <x:v>Anjoman accounting - refined.xlsx</x:v>
      </x:c>
      <x:c r="B355" s="31" t="str">
        <x:v>تراکنش‌ها</x:v>
      </x:c>
      <x:c r="C355" s="31" t="str">
        <x:v>K12</x:v>
      </x:c>
      <x:c r="D355" s="31" t="str">
        <x:v>دفتر قبلی</x:v>
      </x:c>
      <x:c r="E355" s="31"/>
    </x:row>
    <x:row r="356" ht="15" hidden="0" customHeight="1">
      <x:c r="A356" s="31" t="str">
        <x:v>Anjoman accounting - refined.xlsx</x:v>
      </x:c>
      <x:c r="B356" s="31" t="str">
        <x:v>تراکنش‌ها</x:v>
      </x:c>
      <x:c r="C356" s="31" t="str">
        <x:v>L12</x:v>
      </x:c>
      <x:c r="D356" s="31" t="str">
        <x:v>LEDGER-MAJMOO-009</x:v>
      </x:c>
      <x:c r="E356" s="31"/>
    </x:row>
    <x:row r="357" ht="15" hidden="0" customHeight="1">
      <x:c r="A357" s="31" t="str">
        <x:v>Anjoman accounting - refined.xlsx</x:v>
      </x:c>
      <x:c r="B357" s="31" t="str">
        <x:v>تراکنش‌ها</x:v>
      </x:c>
      <x:c r="C357" s="31" t="str">
        <x:v>M12</x:v>
      </x:c>
      <x:c r="D357" s="31" t="str">
        <x:v>مبلغ از دفتر قبلی خوانده شد؛ نیازمند تطبیق نهایی با شواهد پرداخت.</x:v>
      </x:c>
      <x:c r="E357" s="31"/>
    </x:row>
    <x:row r="358" ht="15" hidden="0" customHeight="1">
      <x:c r="A358" s="31" t="str">
        <x:v>Anjoman accounting - refined.xlsx</x:v>
      </x:c>
      <x:c r="B358" s="31" t="str">
        <x:v>تراکنش‌ها</x:v>
      </x:c>
      <x:c r="C358" s="31" t="str">
        <x:v>A13</x:v>
      </x:c>
      <x:c r="D358" s="31" t="str">
        <x:v>TX-00010</x:v>
      </x:c>
      <x:c r="E358" s="31"/>
    </x:row>
    <x:row r="359" ht="15" hidden="0" customHeight="1">
      <x:c r="A359" s="31" t="str">
        <x:v>Anjoman accounting - refined.xlsx</x:v>
      </x:c>
      <x:c r="B359" s="31" t="str">
        <x:v>تراکنش‌ها</x:v>
      </x:c>
      <x:c r="C359" s="31" t="str">
        <x:v>B13</x:v>
      </x:c>
      <x:c r="D359" s="31" t="str">
        <x:v>هزینه</x:v>
      </x:c>
      <x:c r="E359" s="31"/>
    </x:row>
    <x:row r="360" ht="15" hidden="0" customHeight="1">
      <x:c r="A360" s="31" t="str">
        <x:v>Anjoman accounting - refined.xlsx</x:v>
      </x:c>
      <x:c r="B360" s="31" t="str">
        <x:v>تراکنش‌ها</x:v>
      </x:c>
      <x:c r="C360" s="31" t="str">
        <x:v>C13</x:v>
      </x:c>
      <x:c r="D360" s="31" t="str">
        <x:v>مرداد</x:v>
      </x:c>
      <x:c r="E360" s="31"/>
    </x:row>
    <x:row r="361" ht="15" hidden="0" customHeight="1">
      <x:c r="A361" s="31" t="str">
        <x:v>Anjoman accounting - refined.xlsx</x:v>
      </x:c>
      <x:c r="B361" s="31" t="str">
        <x:v>تراکنش‌ها</x:v>
      </x:c>
      <x:c r="C361" s="31" t="str">
        <x:v>D13</x:v>
      </x:c>
      <x:c r="D361" s="31" t="str">
        <x:v>300000</x:v>
      </x:c>
      <x:c r="E361" s="31"/>
    </x:row>
    <x:row r="362" ht="15" hidden="0" customHeight="1">
      <x:c r="A362" s="31" t="str">
        <x:v>Anjoman accounting - refined.xlsx</x:v>
      </x:c>
      <x:c r="B362" s="31" t="str">
        <x:v>تراکنش‌ها</x:v>
      </x:c>
      <x:c r="C362" s="31" t="str">
        <x:v>E13</x:v>
      </x:c>
      <x:c r="D362" s="31" t="str">
        <x:v>تومان</x:v>
      </x:c>
      <x:c r="E362" s="31"/>
    </x:row>
    <x:row r="363" ht="15" hidden="0" customHeight="1">
      <x:c r="A363" s="31" t="str">
        <x:v>Anjoman accounting - refined.xlsx</x:v>
      </x:c>
      <x:c r="B363" s="31" t="str">
        <x:v>تراکنش‌ها</x:v>
      </x:c>
      <x:c r="C363" s="31" t="str">
        <x:v>F13</x:v>
      </x:c>
      <x:c r="D363" s="31" t="str">
        <x:v>300000</x:v>
      </x:c>
      <x:c r="E363" s="31"/>
    </x:row>
    <x:row r="364" ht="15" hidden="0" customHeight="1">
      <x:c r="A364" s="31" t="str">
        <x:v>Anjoman accounting - refined.xlsx</x:v>
      </x:c>
      <x:c r="B364" s="31" t="str">
        <x:v>تراکنش‌ها</x:v>
      </x:c>
      <x:c r="C364" s="31" t="str">
        <x:v>G13</x:v>
      </x:c>
      <x:c r="D364" s="31" t="str">
        <x:v>امیرمحمد جوشقانی</x:v>
      </x:c>
      <x:c r="E364" s="31"/>
    </x:row>
    <x:row r="365" ht="15" hidden="0" customHeight="1">
      <x:c r="A365" s="31" t="str">
        <x:v>Anjoman accounting - refined.xlsx</x:v>
      </x:c>
      <x:c r="B365" s="31" t="str">
        <x:v>تراکنش‌ها</x:v>
      </x:c>
      <x:c r="C365" s="31" t="str">
        <x:v>H13</x:v>
      </x:c>
      <x:c r="D365" s="31" t="str">
        <x:v>ضبط جبرانی جلسه4 پایتون</x:v>
      </x:c>
      <x:c r="E365" s="31"/>
    </x:row>
    <x:row r="366" ht="15" hidden="0" customHeight="1">
      <x:c r="A366" s="31" t="str">
        <x:v>Anjoman accounting - refined.xlsx</x:v>
      </x:c>
      <x:c r="B366" s="31" t="str">
        <x:v>تراکنش‌ها</x:v>
      </x:c>
      <x:c r="C366" s="31" t="str">
        <x:v>I13</x:v>
      </x:c>
      <x:c r="D366" s="31" t="str">
        <x:v>هزینه / عملیاتی</x:v>
      </x:c>
      <x:c r="E366" s="31"/>
    </x:row>
    <x:row r="367" ht="15" hidden="0" customHeight="1">
      <x:c r="A367" s="31" t="str">
        <x:v>Anjoman accounting - refined.xlsx</x:v>
      </x:c>
      <x:c r="B367" s="31" t="str">
        <x:v>تراکنش‌ها</x:v>
      </x:c>
      <x:c r="C367" s="31" t="str">
        <x:v>J13</x:v>
      </x:c>
      <x:c r="D367" s="31" t="str">
        <x:v>تاییدشده</x:v>
      </x:c>
      <x:c r="E367" s="31"/>
    </x:row>
    <x:row r="368" ht="15" hidden="0" customHeight="1">
      <x:c r="A368" s="31" t="str">
        <x:v>Anjoman accounting - refined.xlsx</x:v>
      </x:c>
      <x:c r="B368" s="31" t="str">
        <x:v>تراکنش‌ها</x:v>
      </x:c>
      <x:c r="C368" s="31" t="str">
        <x:v>K13</x:v>
      </x:c>
      <x:c r="D368" s="31" t="str">
        <x:v>دفتر قبلی</x:v>
      </x:c>
      <x:c r="E368" s="31"/>
    </x:row>
    <x:row r="369" ht="15" hidden="0" customHeight="1">
      <x:c r="A369" s="31" t="str">
        <x:v>Anjoman accounting - refined.xlsx</x:v>
      </x:c>
      <x:c r="B369" s="31" t="str">
        <x:v>تراکنش‌ها</x:v>
      </x:c>
      <x:c r="C369" s="31" t="str">
        <x:v>L13</x:v>
      </x:c>
      <x:c r="D369" s="31" t="str">
        <x:v>LEDGER-MAJMOO-010</x:v>
      </x:c>
      <x:c r="E369" s="31"/>
    </x:row>
    <x:row r="370" ht="15" hidden="0" customHeight="1">
      <x:c r="A370" s="31" t="str">
        <x:v>Anjoman accounting - refined.xlsx</x:v>
      </x:c>
      <x:c r="B370" s="31" t="str">
        <x:v>تراکنش‌ها</x:v>
      </x:c>
      <x:c r="C370" s="31" t="str">
        <x:v>M13</x:v>
      </x:c>
      <x:c r="D370" s="31" t="str">
        <x:v>مبلغ از دفتر قبلی خوانده شد؛ نیازمند تطبیق نهایی با شواهد پرداخت.</x:v>
      </x:c>
      <x:c r="E370" s="31"/>
    </x:row>
    <x:row r="371" ht="15" hidden="0" customHeight="1">
      <x:c r="A371" s="31" t="str">
        <x:v>Anjoman accounting - refined.xlsx</x:v>
      </x:c>
      <x:c r="B371" s="31" t="str">
        <x:v>تراکنش‌ها</x:v>
      </x:c>
      <x:c r="C371" s="31" t="str">
        <x:v>A14</x:v>
      </x:c>
      <x:c r="D371" s="31" t="str">
        <x:v>TX-00011</x:v>
      </x:c>
      <x:c r="E371" s="31"/>
    </x:row>
    <x:row r="372" ht="15" hidden="0" customHeight="1">
      <x:c r="A372" s="31" t="str">
        <x:v>Anjoman accounting - refined.xlsx</x:v>
      </x:c>
      <x:c r="B372" s="31" t="str">
        <x:v>تراکنش‌ها</x:v>
      </x:c>
      <x:c r="C372" s="31" t="str">
        <x:v>B14</x:v>
      </x:c>
      <x:c r="D372" s="31" t="str">
        <x:v>هزینه</x:v>
      </x:c>
      <x:c r="E372" s="31"/>
    </x:row>
    <x:row r="373" ht="15" hidden="0" customHeight="1">
      <x:c r="A373" s="31" t="str">
        <x:v>Anjoman accounting - refined.xlsx</x:v>
      </x:c>
      <x:c r="B373" s="31" t="str">
        <x:v>تراکنش‌ها</x:v>
      </x:c>
      <x:c r="C373" s="31" t="str">
        <x:v>C14</x:v>
      </x:c>
      <x:c r="D373" s="31" t="str">
        <x:v>مرداد</x:v>
      </x:c>
      <x:c r="E373" s="31"/>
    </x:row>
    <x:row r="374" ht="15" hidden="0" customHeight="1">
      <x:c r="A374" s="31" t="str">
        <x:v>Anjoman accounting - refined.xlsx</x:v>
      </x:c>
      <x:c r="B374" s="31" t="str">
        <x:v>تراکنش‌ها</x:v>
      </x:c>
      <x:c r="C374" s="31" t="str">
        <x:v>D14</x:v>
      </x:c>
      <x:c r="D374" s="31" t="str">
        <x:v>750000</x:v>
      </x:c>
      <x:c r="E374" s="31"/>
    </x:row>
    <x:row r="375" ht="15" hidden="0" customHeight="1">
      <x:c r="A375" s="31" t="str">
        <x:v>Anjoman accounting - refined.xlsx</x:v>
      </x:c>
      <x:c r="B375" s="31" t="str">
        <x:v>تراکنش‌ها</x:v>
      </x:c>
      <x:c r="C375" s="31" t="str">
        <x:v>E14</x:v>
      </x:c>
      <x:c r="D375" s="31" t="str">
        <x:v>تومان</x:v>
      </x:c>
      <x:c r="E375" s="31"/>
    </x:row>
    <x:row r="376" ht="15" hidden="0" customHeight="1">
      <x:c r="A376" s="31" t="str">
        <x:v>Anjoman accounting - refined.xlsx</x:v>
      </x:c>
      <x:c r="B376" s="31" t="str">
        <x:v>تراکنش‌ها</x:v>
      </x:c>
      <x:c r="C376" s="31" t="str">
        <x:v>F14</x:v>
      </x:c>
      <x:c r="D376" s="31" t="str">
        <x:v>750000</x:v>
      </x:c>
      <x:c r="E376" s="31"/>
    </x:row>
    <x:row r="377" ht="15" hidden="0" customHeight="1">
      <x:c r="A377" s="31" t="str">
        <x:v>Anjoman accounting - refined.xlsx</x:v>
      </x:c>
      <x:c r="B377" s="31" t="str">
        <x:v>تراکنش‌ها</x:v>
      </x:c>
      <x:c r="C377" s="31" t="str">
        <x:v>G14</x:v>
      </x:c>
      <x:c r="D377" s="31" t="str">
        <x:v>حسن شیری</x:v>
      </x:c>
      <x:c r="E377" s="31"/>
    </x:row>
    <x:row r="378" ht="15" hidden="0" customHeight="1">
      <x:c r="A378" s="31" t="str">
        <x:v>Anjoman accounting - refined.xlsx</x:v>
      </x:c>
      <x:c r="B378" s="31" t="str">
        <x:v>تراکنش‌ها</x:v>
      </x:c>
      <x:c r="C378" s="31" t="str">
        <x:v>H14</x:v>
      </x:c>
      <x:c r="D378" s="31" t="str">
        <x:v>گرفتن کلید انجمن برای اعضا</x:v>
      </x:c>
      <x:c r="E378" s="31"/>
    </x:row>
    <x:row r="379" ht="15" hidden="0" customHeight="1">
      <x:c r="A379" s="31" t="str">
        <x:v>Anjoman accounting - refined.xlsx</x:v>
      </x:c>
      <x:c r="B379" s="31" t="str">
        <x:v>تراکنش‌ها</x:v>
      </x:c>
      <x:c r="C379" s="31" t="str">
        <x:v>I14</x:v>
      </x:c>
      <x:c r="D379" s="31" t="str">
        <x:v>هزینه / عملیاتی</x:v>
      </x:c>
      <x:c r="E379" s="31"/>
    </x:row>
    <x:row r="380" ht="15" hidden="0" customHeight="1">
      <x:c r="A380" s="31" t="str">
        <x:v>Anjoman accounting - refined.xlsx</x:v>
      </x:c>
      <x:c r="B380" s="31" t="str">
        <x:v>تراکنش‌ها</x:v>
      </x:c>
      <x:c r="C380" s="31" t="str">
        <x:v>J14</x:v>
      </x:c>
      <x:c r="D380" s="31" t="str">
        <x:v>تاییدشده</x:v>
      </x:c>
      <x:c r="E380" s="31"/>
    </x:row>
    <x:row r="381" ht="15" hidden="0" customHeight="1">
      <x:c r="A381" s="31" t="str">
        <x:v>Anjoman accounting - refined.xlsx</x:v>
      </x:c>
      <x:c r="B381" s="31" t="str">
        <x:v>تراکنش‌ها</x:v>
      </x:c>
      <x:c r="C381" s="31" t="str">
        <x:v>K14</x:v>
      </x:c>
      <x:c r="D381" s="31" t="str">
        <x:v>دفتر قبلی</x:v>
      </x:c>
      <x:c r="E381" s="31"/>
    </x:row>
    <x:row r="382" ht="15" hidden="0" customHeight="1">
      <x:c r="A382" s="31" t="str">
        <x:v>Anjoman accounting - refined.xlsx</x:v>
      </x:c>
      <x:c r="B382" s="31" t="str">
        <x:v>تراکنش‌ها</x:v>
      </x:c>
      <x:c r="C382" s="31" t="str">
        <x:v>L14</x:v>
      </x:c>
      <x:c r="D382" s="31" t="str">
        <x:v>LEDGER-MAJMOO-011</x:v>
      </x:c>
      <x:c r="E382" s="31"/>
    </x:row>
    <x:row r="383" ht="15" hidden="0" customHeight="1">
      <x:c r="A383" s="31" t="str">
        <x:v>Anjoman accounting - refined.xlsx</x:v>
      </x:c>
      <x:c r="B383" s="31" t="str">
        <x:v>تراکنش‌ها</x:v>
      </x:c>
      <x:c r="C383" s="31" t="str">
        <x:v>M14</x:v>
      </x:c>
      <x:c r="D383" s="31" t="str">
        <x:v>مبلغ از دفتر قبلی خوانده شد؛ نیازمند تطبیق نهایی با شواهد پرداخت.</x:v>
      </x:c>
      <x:c r="E383" s="31"/>
    </x:row>
    <x:row r="384" ht="15" hidden="0" customHeight="1">
      <x:c r="A384" s="31" t="str">
        <x:v>Anjoman accounting - refined.xlsx</x:v>
      </x:c>
      <x:c r="B384" s="31" t="str">
        <x:v>تراکنش‌ها</x:v>
      </x:c>
      <x:c r="C384" s="31" t="str">
        <x:v>A15</x:v>
      </x:c>
      <x:c r="D384" s="31" t="str">
        <x:v>TX-00012</x:v>
      </x:c>
      <x:c r="E384" s="31"/>
    </x:row>
    <x:row r="385" ht="15" hidden="0" customHeight="1">
      <x:c r="A385" s="31" t="str">
        <x:v>Anjoman accounting - refined.xlsx</x:v>
      </x:c>
      <x:c r="B385" s="31" t="str">
        <x:v>تراکنش‌ها</x:v>
      </x:c>
      <x:c r="C385" s="31" t="str">
        <x:v>B15</x:v>
      </x:c>
      <x:c r="D385" s="31" t="str">
        <x:v>هزینه</x:v>
      </x:c>
      <x:c r="E385" s="31"/>
    </x:row>
    <x:row r="386" ht="15" hidden="0" customHeight="1">
      <x:c r="A386" s="31" t="str">
        <x:v>Anjoman accounting - refined.xlsx</x:v>
      </x:c>
      <x:c r="B386" s="31" t="str">
        <x:v>تراکنش‌ها</x:v>
      </x:c>
      <x:c r="C386" s="31" t="str">
        <x:v>C15</x:v>
      </x:c>
      <x:c r="D386" s="31" t="str">
        <x:v>مرداد</x:v>
      </x:c>
      <x:c r="E386" s="31"/>
    </x:row>
    <x:row r="387" ht="15" hidden="0" customHeight="1">
      <x:c r="A387" s="31" t="str">
        <x:v>Anjoman accounting - refined.xlsx</x:v>
      </x:c>
      <x:c r="B387" s="31" t="str">
        <x:v>تراکنش‌ها</x:v>
      </x:c>
      <x:c r="C387" s="31" t="str">
        <x:v>D15</x:v>
      </x:c>
      <x:c r="D387" s="31" t="str">
        <x:v>400000</x:v>
      </x:c>
      <x:c r="E387" s="31"/>
    </x:row>
    <x:row r="388" ht="15" hidden="0" customHeight="1">
      <x:c r="A388" s="31" t="str">
        <x:v>Anjoman accounting - refined.xlsx</x:v>
      </x:c>
      <x:c r="B388" s="31" t="str">
        <x:v>تراکنش‌ها</x:v>
      </x:c>
      <x:c r="C388" s="31" t="str">
        <x:v>E15</x:v>
      </x:c>
      <x:c r="D388" s="31" t="str">
        <x:v>تومان</x:v>
      </x:c>
      <x:c r="E388" s="31"/>
    </x:row>
    <x:row r="389" ht="15" hidden="0" customHeight="1">
      <x:c r="A389" s="31" t="str">
        <x:v>Anjoman accounting - refined.xlsx</x:v>
      </x:c>
      <x:c r="B389" s="31" t="str">
        <x:v>تراکنش‌ها</x:v>
      </x:c>
      <x:c r="C389" s="31" t="str">
        <x:v>F15</x:v>
      </x:c>
      <x:c r="D389" s="31" t="str">
        <x:v>400000</x:v>
      </x:c>
      <x:c r="E389" s="31"/>
    </x:row>
    <x:row r="390" ht="15" hidden="0" customHeight="1">
      <x:c r="A390" s="31" t="str">
        <x:v>Anjoman accounting - refined.xlsx</x:v>
      </x:c>
      <x:c r="B390" s="31" t="str">
        <x:v>تراکنش‌ها</x:v>
      </x:c>
      <x:c r="C390" s="31" t="str">
        <x:v>G15</x:v>
      </x:c>
      <x:c r="D390" s="31" t="str">
        <x:v>حسن شیری</x:v>
      </x:c>
      <x:c r="E390" s="31"/>
    </x:row>
    <x:row r="391" ht="15" hidden="0" customHeight="1">
      <x:c r="A391" s="31" t="str">
        <x:v>Anjoman accounting - refined.xlsx</x:v>
      </x:c>
      <x:c r="B391" s="31" t="str">
        <x:v>تراکنش‌ها</x:v>
      </x:c>
      <x:c r="C391" s="31" t="str">
        <x:v>H15</x:v>
      </x:c>
      <x:c r="D391" s="31" t="str">
        <x:v>نبلیغات مدرسه تابستانه در مهمات شریف</x:v>
      </x:c>
      <x:c r="E391" s="31"/>
    </x:row>
    <x:row r="392" ht="15" hidden="0" customHeight="1">
      <x:c r="A392" s="31" t="str">
        <x:v>Anjoman accounting - refined.xlsx</x:v>
      </x:c>
      <x:c r="B392" s="31" t="str">
        <x:v>تراکنش‌ها</x:v>
      </x:c>
      <x:c r="C392" s="31" t="str">
        <x:v>I15</x:v>
      </x:c>
      <x:c r="D392" s="31" t="str">
        <x:v>هزینه / عملیاتی</x:v>
      </x:c>
      <x:c r="E392" s="31"/>
    </x:row>
    <x:row r="393" ht="15" hidden="0" customHeight="1">
      <x:c r="A393" s="31" t="str">
        <x:v>Anjoman accounting - refined.xlsx</x:v>
      </x:c>
      <x:c r="B393" s="31" t="str">
        <x:v>تراکنش‌ها</x:v>
      </x:c>
      <x:c r="C393" s="31" t="str">
        <x:v>J15</x:v>
      </x:c>
      <x:c r="D393" s="31" t="str">
        <x:v>تاییدشده</x:v>
      </x:c>
      <x:c r="E393" s="31"/>
    </x:row>
    <x:row r="394" ht="15" hidden="0" customHeight="1">
      <x:c r="A394" s="31" t="str">
        <x:v>Anjoman accounting - refined.xlsx</x:v>
      </x:c>
      <x:c r="B394" s="31" t="str">
        <x:v>تراکنش‌ها</x:v>
      </x:c>
      <x:c r="C394" s="31" t="str">
        <x:v>K15</x:v>
      </x:c>
      <x:c r="D394" s="31" t="str">
        <x:v>دفتر قبلی</x:v>
      </x:c>
      <x:c r="E394" s="31"/>
    </x:row>
    <x:row r="395" ht="15" hidden="0" customHeight="1">
      <x:c r="A395" s="31" t="str">
        <x:v>Anjoman accounting - refined.xlsx</x:v>
      </x:c>
      <x:c r="B395" s="31" t="str">
        <x:v>تراکنش‌ها</x:v>
      </x:c>
      <x:c r="C395" s="31" t="str">
        <x:v>L15</x:v>
      </x:c>
      <x:c r="D395" s="31" t="str">
        <x:v>LEDGER-MAJMOO-012</x:v>
      </x:c>
      <x:c r="E395" s="31"/>
    </x:row>
    <x:row r="396" ht="15" hidden="0" customHeight="1">
      <x:c r="A396" s="31" t="str">
        <x:v>Anjoman accounting - refined.xlsx</x:v>
      </x:c>
      <x:c r="B396" s="31" t="str">
        <x:v>تراکنش‌ها</x:v>
      </x:c>
      <x:c r="C396" s="31" t="str">
        <x:v>M15</x:v>
      </x:c>
      <x:c r="D396" s="31" t="str">
        <x:v>مبلغ از دفتر قبلی خوانده شد؛ نیازمند تطبیق نهایی با شواهد پرداخت.</x:v>
      </x:c>
      <x:c r="E396" s="31"/>
    </x:row>
    <x:row r="397" ht="15" hidden="0" customHeight="1">
      <x:c r="A397" s="31" t="str">
        <x:v>Anjoman accounting - refined.xlsx</x:v>
      </x:c>
      <x:c r="B397" s="31" t="str">
        <x:v>تراکنش‌ها</x:v>
      </x:c>
      <x:c r="C397" s="31" t="str">
        <x:v>A16</x:v>
      </x:c>
      <x:c r="D397" s="31" t="str">
        <x:v>TX-00013</x:v>
      </x:c>
      <x:c r="E397" s="31"/>
    </x:row>
    <x:row r="398" ht="15" hidden="0" customHeight="1">
      <x:c r="A398" s="31" t="str">
        <x:v>Anjoman accounting - refined.xlsx</x:v>
      </x:c>
      <x:c r="B398" s="31" t="str">
        <x:v>تراکنش‌ها</x:v>
      </x:c>
      <x:c r="C398" s="31" t="str">
        <x:v>B16</x:v>
      </x:c>
      <x:c r="D398" s="31" t="str">
        <x:v>درآمد</x:v>
      </x:c>
      <x:c r="E398" s="31"/>
    </x:row>
    <x:row r="399" ht="15" hidden="0" customHeight="1">
      <x:c r="A399" s="31" t="str">
        <x:v>Anjoman accounting - refined.xlsx</x:v>
      </x:c>
      <x:c r="B399" s="31" t="str">
        <x:v>تراکنش‌ها</x:v>
      </x:c>
      <x:c r="C399" s="31" t="str">
        <x:v>C16</x:v>
      </x:c>
      <x:c r="D399" s="31" t="str">
        <x:v>شهریور</x:v>
      </x:c>
      <x:c r="E399" s="31"/>
    </x:row>
    <x:row r="400" ht="15" hidden="0" customHeight="1">
      <x:c r="A400" s="31" t="str">
        <x:v>Anjoman accounting - refined.xlsx</x:v>
      </x:c>
      <x:c r="B400" s="31" t="str">
        <x:v>تراکنش‌ها</x:v>
      </x:c>
      <x:c r="C400" s="31" t="str">
        <x:v>D16</x:v>
      </x:c>
      <x:c r="D400" s="31" t="str">
        <x:v>4920000</x:v>
      </x:c>
      <x:c r="E400" s="31"/>
    </x:row>
    <x:row r="401" ht="15" hidden="0" customHeight="1">
      <x:c r="A401" s="31" t="str">
        <x:v>Anjoman accounting - refined.xlsx</x:v>
      </x:c>
      <x:c r="B401" s="31" t="str">
        <x:v>تراکنش‌ها</x:v>
      </x:c>
      <x:c r="C401" s="31" t="str">
        <x:v>E16</x:v>
      </x:c>
      <x:c r="D401" s="31" t="str">
        <x:v>تومان</x:v>
      </x:c>
      <x:c r="E401" s="31"/>
    </x:row>
    <x:row r="402" ht="15" hidden="0" customHeight="1">
      <x:c r="A402" s="31" t="str">
        <x:v>Anjoman accounting - refined.xlsx</x:v>
      </x:c>
      <x:c r="B402" s="31" t="str">
        <x:v>تراکنش‌ها</x:v>
      </x:c>
      <x:c r="C402" s="31" t="str">
        <x:v>F16</x:v>
      </x:c>
      <x:c r="D402" s="31" t="str">
        <x:v>4920000</x:v>
      </x:c>
      <x:c r="E402" s="31"/>
    </x:row>
    <x:row r="403" ht="15" hidden="0" customHeight="1">
      <x:c r="A403" s="31" t="str">
        <x:v>Anjoman accounting - refined.xlsx</x:v>
      </x:c>
      <x:c r="B403" s="31" t="str">
        <x:v>تراکنش‌ها</x:v>
      </x:c>
      <x:c r="C403" s="31" t="str">
        <x:v>G16</x:v>
      </x:c>
      <x:c r="D403" s="31" t="str">
        <x:v>محمدامین عزیزی</x:v>
      </x:c>
      <x:c r="E403" s="31"/>
    </x:row>
    <x:row r="404" ht="15" hidden="0" customHeight="1">
      <x:c r="A404" s="31" t="str">
        <x:v>Anjoman accounting - refined.xlsx</x:v>
      </x:c>
      <x:c r="B404" s="31" t="str">
        <x:v>تراکنش‌ها</x:v>
      </x:c>
      <x:c r="C404" s="31" t="str">
        <x:v>H16</x:v>
      </x:c>
      <x:c r="D404" s="31" t="str">
        <x:v>ورودی معرفی رشته</x:v>
      </x:c>
      <x:c r="E404" s="31"/>
    </x:row>
    <x:row r="405" ht="15" hidden="0" customHeight="1">
      <x:c r="A405" s="31" t="str">
        <x:v>Anjoman accounting - refined.xlsx</x:v>
      </x:c>
      <x:c r="B405" s="31" t="str">
        <x:v>تراکنش‌ها</x:v>
      </x:c>
      <x:c r="C405" s="31" t="str">
        <x:v>I16</x:v>
      </x:c>
      <x:c r="D405" s="31" t="str">
        <x:v>درآمد / کمک / رویداد</x:v>
      </x:c>
      <x:c r="E405" s="31"/>
    </x:row>
    <x:row r="406" ht="15" hidden="0" customHeight="1">
      <x:c r="A406" s="31" t="str">
        <x:v>Anjoman accounting - refined.xlsx</x:v>
      </x:c>
      <x:c r="B406" s="31" t="str">
        <x:v>تراکنش‌ها</x:v>
      </x:c>
      <x:c r="C406" s="31" t="str">
        <x:v>J16</x:v>
      </x:c>
      <x:c r="D406" s="31" t="str">
        <x:v>تاییدشده</x:v>
      </x:c>
      <x:c r="E406" s="31"/>
    </x:row>
    <x:row r="407" ht="15" hidden="0" customHeight="1">
      <x:c r="A407" s="31" t="str">
        <x:v>Anjoman accounting - refined.xlsx</x:v>
      </x:c>
      <x:c r="B407" s="31" t="str">
        <x:v>تراکنش‌ها</x:v>
      </x:c>
      <x:c r="C407" s="31" t="str">
        <x:v>K16</x:v>
      </x:c>
      <x:c r="D407" s="31" t="str">
        <x:v>دفتر قبلی</x:v>
      </x:c>
      <x:c r="E407" s="31"/>
    </x:row>
    <x:row r="408" ht="15" hidden="0" customHeight="1">
      <x:c r="A408" s="31" t="str">
        <x:v>Anjoman accounting - refined.xlsx</x:v>
      </x:c>
      <x:c r="B408" s="31" t="str">
        <x:v>تراکنش‌ها</x:v>
      </x:c>
      <x:c r="C408" s="31" t="str">
        <x:v>L16</x:v>
      </x:c>
      <x:c r="D408" s="31" t="str">
        <x:v>LEDGER-MAJMOO-015</x:v>
      </x:c>
      <x:c r="E408" s="31"/>
    </x:row>
    <x:row r="409" ht="15" hidden="0" customHeight="1">
      <x:c r="A409" s="31" t="str">
        <x:v>Anjoman accounting - refined.xlsx</x:v>
      </x:c>
      <x:c r="B409" s="31" t="str">
        <x:v>تراکنش‌ها</x:v>
      </x:c>
      <x:c r="C409" s="31" t="str">
        <x:v>M16</x:v>
      </x:c>
      <x:c r="D409" s="31" t="str">
        <x:v>مبلغ از دفتر قبلی خوانده شد؛ نیازمند تطبیق نهایی با شواهد بانکی/رسید.</x:v>
      </x:c>
      <x:c r="E409" s="31"/>
    </x:row>
    <x:row r="410" ht="15" hidden="0" customHeight="1">
      <x:c r="A410" s="31" t="str">
        <x:v>Anjoman accounting - refined.xlsx</x:v>
      </x:c>
      <x:c r="B410" s="31" t="str">
        <x:v>تراکنش‌ها</x:v>
      </x:c>
      <x:c r="C410" s="31" t="str">
        <x:v>A17</x:v>
      </x:c>
      <x:c r="D410" s="31" t="str">
        <x:v>TX-00014</x:v>
      </x:c>
      <x:c r="E410" s="31"/>
    </x:row>
    <x:row r="411" ht="15" hidden="0" customHeight="1">
      <x:c r="A411" s="31" t="str">
        <x:v>Anjoman accounting - refined.xlsx</x:v>
      </x:c>
      <x:c r="B411" s="31" t="str">
        <x:v>تراکنش‌ها</x:v>
      </x:c>
      <x:c r="C411" s="31" t="str">
        <x:v>B17</x:v>
      </x:c>
      <x:c r="D411" s="31" t="str">
        <x:v>هزینه</x:v>
      </x:c>
      <x:c r="E411" s="31"/>
    </x:row>
    <x:row r="412" ht="15" hidden="0" customHeight="1">
      <x:c r="A412" s="31" t="str">
        <x:v>Anjoman accounting - refined.xlsx</x:v>
      </x:c>
      <x:c r="B412" s="31" t="str">
        <x:v>تراکنش‌ها</x:v>
      </x:c>
      <x:c r="C412" s="31" t="str">
        <x:v>C17</x:v>
      </x:c>
      <x:c r="D412" s="31" t="str">
        <x:v>شهریور</x:v>
      </x:c>
      <x:c r="E412" s="31"/>
    </x:row>
    <x:row r="413" ht="15" hidden="0" customHeight="1">
      <x:c r="A413" s="31" t="str">
        <x:v>Anjoman accounting - refined.xlsx</x:v>
      </x:c>
      <x:c r="B413" s="31" t="str">
        <x:v>تراکنش‌ها</x:v>
      </x:c>
      <x:c r="C413" s="31" t="str">
        <x:v>D17</x:v>
      </x:c>
      <x:c r="D413" s="31" t="str">
        <x:v>100000</x:v>
      </x:c>
      <x:c r="E413" s="31"/>
    </x:row>
    <x:row r="414" ht="15" hidden="0" customHeight="1">
      <x:c r="A414" s="31" t="str">
        <x:v>Anjoman accounting - refined.xlsx</x:v>
      </x:c>
      <x:c r="B414" s="31" t="str">
        <x:v>تراکنش‌ها</x:v>
      </x:c>
      <x:c r="C414" s="31" t="str">
        <x:v>E17</x:v>
      </x:c>
      <x:c r="D414" s="31" t="str">
        <x:v>تومان</x:v>
      </x:c>
      <x:c r="E414" s="31"/>
    </x:row>
    <x:row r="415" ht="15" hidden="0" customHeight="1">
      <x:c r="A415" s="31" t="str">
        <x:v>Anjoman accounting - refined.xlsx</x:v>
      </x:c>
      <x:c r="B415" s="31" t="str">
        <x:v>تراکنش‌ها</x:v>
      </x:c>
      <x:c r="C415" s="31" t="str">
        <x:v>F17</x:v>
      </x:c>
      <x:c r="D415" s="31" t="str">
        <x:v>100000</x:v>
      </x:c>
      <x:c r="E415" s="31"/>
    </x:row>
    <x:row r="416" ht="15" hidden="0" customHeight="1">
      <x:c r="A416" s="31" t="str">
        <x:v>Anjoman accounting - refined.xlsx</x:v>
      </x:c>
      <x:c r="B416" s="31" t="str">
        <x:v>تراکنش‌ها</x:v>
      </x:c>
      <x:c r="C416" s="31" t="str">
        <x:v>G17</x:v>
      </x:c>
      <x:c r="D416" s="31" t="str">
        <x:v>محمدامین عزیزی</x:v>
      </x:c>
      <x:c r="E416" s="31"/>
    </x:row>
    <x:row r="417" ht="15" hidden="0" customHeight="1">
      <x:c r="A417" s="31" t="str">
        <x:v>Anjoman accounting - refined.xlsx</x:v>
      </x:c>
      <x:c r="B417" s="31" t="str">
        <x:v>تراکنش‌ها</x:v>
      </x:c>
      <x:c r="C417" s="31" t="str">
        <x:v>H17</x:v>
      </x:c>
      <x:c r="D417" s="31" t="str">
        <x:v>چاپ پوستر و بارکد برای رویداد معرفی رشته</x:v>
      </x:c>
      <x:c r="E417" s="31"/>
    </x:row>
    <x:row r="418" ht="15" hidden="0" customHeight="1">
      <x:c r="A418" s="31" t="str">
        <x:v>Anjoman accounting - refined.xlsx</x:v>
      </x:c>
      <x:c r="B418" s="31" t="str">
        <x:v>تراکنش‌ها</x:v>
      </x:c>
      <x:c r="C418" s="31" t="str">
        <x:v>I17</x:v>
      </x:c>
      <x:c r="D418" s="31" t="str">
        <x:v>هزینه / عملیاتی</x:v>
      </x:c>
      <x:c r="E418" s="31"/>
    </x:row>
    <x:row r="419" ht="15" hidden="0" customHeight="1">
      <x:c r="A419" s="31" t="str">
        <x:v>Anjoman accounting - refined.xlsx</x:v>
      </x:c>
      <x:c r="B419" s="31" t="str">
        <x:v>تراکنش‌ها</x:v>
      </x:c>
      <x:c r="C419" s="31" t="str">
        <x:v>J17</x:v>
      </x:c>
      <x:c r="D419" s="31" t="str">
        <x:v>تاییدشده</x:v>
      </x:c>
      <x:c r="E419" s="31"/>
    </x:row>
    <x:row r="420" ht="15" hidden="0" customHeight="1">
      <x:c r="A420" s="31" t="str">
        <x:v>Anjoman accounting - refined.xlsx</x:v>
      </x:c>
      <x:c r="B420" s="31" t="str">
        <x:v>تراکنش‌ها</x:v>
      </x:c>
      <x:c r="C420" s="31" t="str">
        <x:v>K17</x:v>
      </x:c>
      <x:c r="D420" s="31" t="str">
        <x:v>دفتر قبلی</x:v>
      </x:c>
      <x:c r="E420" s="31"/>
    </x:row>
    <x:row r="421" ht="15" hidden="0" customHeight="1">
      <x:c r="A421" s="31" t="str">
        <x:v>Anjoman accounting - refined.xlsx</x:v>
      </x:c>
      <x:c r="B421" s="31" t="str">
        <x:v>تراکنش‌ها</x:v>
      </x:c>
      <x:c r="C421" s="31" t="str">
        <x:v>L17</x:v>
      </x:c>
      <x:c r="D421" s="31" t="str">
        <x:v>LEDGER-MAJMOO-015</x:v>
      </x:c>
      <x:c r="E421" s="31"/>
    </x:row>
    <x:row r="422" ht="15" hidden="0" customHeight="1">
      <x:c r="A422" s="31" t="str">
        <x:v>Anjoman accounting - refined.xlsx</x:v>
      </x:c>
      <x:c r="B422" s="31" t="str">
        <x:v>تراکنش‌ها</x:v>
      </x:c>
      <x:c r="C422" s="31" t="str">
        <x:v>M17</x:v>
      </x:c>
      <x:c r="D422" s="31" t="str">
        <x:v>مبلغ از دفتر قبلی خوانده شد؛ نیازمند تطبیق نهایی با شواهد پرداخت.</x:v>
      </x:c>
      <x:c r="E422" s="31"/>
    </x:row>
    <x:row r="423" ht="15" hidden="0" customHeight="1">
      <x:c r="A423" s="31" t="str">
        <x:v>Anjoman accounting - refined.xlsx</x:v>
      </x:c>
      <x:c r="B423" s="31" t="str">
        <x:v>تراکنش‌ها</x:v>
      </x:c>
      <x:c r="C423" s="31" t="str">
        <x:v>A18</x:v>
      </x:c>
      <x:c r="D423" s="31" t="str">
        <x:v>TX-00015</x:v>
      </x:c>
      <x:c r="E423" s="31"/>
    </x:row>
    <x:row r="424" ht="15" hidden="0" customHeight="1">
      <x:c r="A424" s="31" t="str">
        <x:v>Anjoman accounting - refined.xlsx</x:v>
      </x:c>
      <x:c r="B424" s="31" t="str">
        <x:v>تراکنش‌ها</x:v>
      </x:c>
      <x:c r="C424" s="31" t="str">
        <x:v>B18</x:v>
      </x:c>
      <x:c r="D424" s="31" t="str">
        <x:v>هزینه</x:v>
      </x:c>
      <x:c r="E424" s="31"/>
    </x:row>
    <x:row r="425" ht="15" hidden="0" customHeight="1">
      <x:c r="A425" s="31" t="str">
        <x:v>Anjoman accounting - refined.xlsx</x:v>
      </x:c>
      <x:c r="B425" s="31" t="str">
        <x:v>تراکنش‌ها</x:v>
      </x:c>
      <x:c r="C425" s="31" t="str">
        <x:v>C18</x:v>
      </x:c>
      <x:c r="D425" s="31" t="str">
        <x:v>شهریور</x:v>
      </x:c>
      <x:c r="E425" s="31"/>
    </x:row>
    <x:row r="426" ht="15" hidden="0" customHeight="1">
      <x:c r="A426" s="31" t="str">
        <x:v>Anjoman accounting - refined.xlsx</x:v>
      </x:c>
      <x:c r="B426" s="31" t="str">
        <x:v>تراکنش‌ها</x:v>
      </x:c>
      <x:c r="C426" s="31" t="str">
        <x:v>D18</x:v>
      </x:c>
      <x:c r="D426" s="31" t="str">
        <x:v>2866000</x:v>
      </x:c>
      <x:c r="E426" s="31"/>
    </x:row>
    <x:row r="427" ht="15" hidden="0" customHeight="1">
      <x:c r="A427" s="31" t="str">
        <x:v>Anjoman accounting - refined.xlsx</x:v>
      </x:c>
      <x:c r="B427" s="31" t="str">
        <x:v>تراکنش‌ها</x:v>
      </x:c>
      <x:c r="C427" s="31" t="str">
        <x:v>E18</x:v>
      </x:c>
      <x:c r="D427" s="31" t="str">
        <x:v>تومان</x:v>
      </x:c>
      <x:c r="E427" s="31"/>
    </x:row>
    <x:row r="428" ht="15" hidden="0" customHeight="1">
      <x:c r="A428" s="31" t="str">
        <x:v>Anjoman accounting - refined.xlsx</x:v>
      </x:c>
      <x:c r="B428" s="31" t="str">
        <x:v>تراکنش‌ها</x:v>
      </x:c>
      <x:c r="C428" s="31" t="str">
        <x:v>F18</x:v>
      </x:c>
      <x:c r="D428" s="31" t="str">
        <x:v>2866000</x:v>
      </x:c>
      <x:c r="E428" s="31"/>
    </x:row>
    <x:row r="429" ht="15" hidden="0" customHeight="1">
      <x:c r="A429" s="31" t="str">
        <x:v>Anjoman accounting - refined.xlsx</x:v>
      </x:c>
      <x:c r="B429" s="31" t="str">
        <x:v>تراکنش‌ها</x:v>
      </x:c>
      <x:c r="C429" s="31" t="str">
        <x:v>G18</x:v>
      </x:c>
      <x:c r="D429" s="31" t="str">
        <x:v>محمدامین عزیزی</x:v>
      </x:c>
      <x:c r="E429" s="31"/>
    </x:row>
    <x:row r="430" ht="15" hidden="0" customHeight="1">
      <x:c r="A430" s="31" t="str">
        <x:v>Anjoman accounting - refined.xlsx</x:v>
      </x:c>
      <x:c r="B430" s="31" t="str">
        <x:v>تراکنش‌ها</x:v>
      </x:c>
      <x:c r="C430" s="31" t="str">
        <x:v>H18</x:v>
      </x:c>
      <x:c r="D430" s="31" t="str">
        <x:v>تدارکات رویداد معرفی رشته</x:v>
      </x:c>
      <x:c r="E430" s="31"/>
    </x:row>
    <x:row r="431" ht="15" hidden="0" customHeight="1">
      <x:c r="A431" s="31" t="str">
        <x:v>Anjoman accounting - refined.xlsx</x:v>
      </x:c>
      <x:c r="B431" s="31" t="str">
        <x:v>تراکنش‌ها</x:v>
      </x:c>
      <x:c r="C431" s="31" t="str">
        <x:v>I18</x:v>
      </x:c>
      <x:c r="D431" s="31" t="str">
        <x:v>هزینه / عملیاتی</x:v>
      </x:c>
      <x:c r="E431" s="31"/>
    </x:row>
    <x:row r="432" ht="15" hidden="0" customHeight="1">
      <x:c r="A432" s="31" t="str">
        <x:v>Anjoman accounting - refined.xlsx</x:v>
      </x:c>
      <x:c r="B432" s="31" t="str">
        <x:v>تراکنش‌ها</x:v>
      </x:c>
      <x:c r="C432" s="31" t="str">
        <x:v>J18</x:v>
      </x:c>
      <x:c r="D432" s="31" t="str">
        <x:v>تاییدشده</x:v>
      </x:c>
      <x:c r="E432" s="31"/>
    </x:row>
    <x:row r="433" ht="15" hidden="0" customHeight="1">
      <x:c r="A433" s="31" t="str">
        <x:v>Anjoman accounting - refined.xlsx</x:v>
      </x:c>
      <x:c r="B433" s="31" t="str">
        <x:v>تراکنش‌ها</x:v>
      </x:c>
      <x:c r="C433" s="31" t="str">
        <x:v>K18</x:v>
      </x:c>
      <x:c r="D433" s="31" t="str">
        <x:v>دفتر قبلی</x:v>
      </x:c>
      <x:c r="E433" s="31"/>
    </x:row>
    <x:row r="434" ht="15" hidden="0" customHeight="1">
      <x:c r="A434" s="31" t="str">
        <x:v>Anjoman accounting - refined.xlsx</x:v>
      </x:c>
      <x:c r="B434" s="31" t="str">
        <x:v>تراکنش‌ها</x:v>
      </x:c>
      <x:c r="C434" s="31" t="str">
        <x:v>L18</x:v>
      </x:c>
      <x:c r="D434" s="31" t="str">
        <x:v>LEDGER-MAJMOO-016</x:v>
      </x:c>
      <x:c r="E434" s="31"/>
    </x:row>
    <x:row r="435" ht="15" hidden="0" customHeight="1">
      <x:c r="A435" s="31" t="str">
        <x:v>Anjoman accounting - refined.xlsx</x:v>
      </x:c>
      <x:c r="B435" s="31" t="str">
        <x:v>تراکنش‌ها</x:v>
      </x:c>
      <x:c r="C435" s="31" t="str">
        <x:v>M18</x:v>
      </x:c>
      <x:c r="D435" s="31" t="str">
        <x:v>مبلغ از دفتر قبلی خوانده شد؛ نیازمند تطبیق نهایی با شواهد پرداخت.</x:v>
      </x:c>
      <x:c r="E435" s="31"/>
    </x:row>
    <x:row r="436" ht="15" hidden="0" customHeight="1">
      <x:c r="A436" s="31" t="str">
        <x:v>Anjoman accounting - refined.xlsx</x:v>
      </x:c>
      <x:c r="B436" s="31" t="str">
        <x:v>تراکنش‌ها</x:v>
      </x:c>
      <x:c r="C436" s="31" t="str">
        <x:v>A19</x:v>
      </x:c>
      <x:c r="D436" s="31" t="str">
        <x:v>TX-00016</x:v>
      </x:c>
      <x:c r="E436" s="31"/>
    </x:row>
    <x:row r="437" ht="15" hidden="0" customHeight="1">
      <x:c r="A437" s="31" t="str">
        <x:v>Anjoman accounting - refined.xlsx</x:v>
      </x:c>
      <x:c r="B437" s="31" t="str">
        <x:v>تراکنش‌ها</x:v>
      </x:c>
      <x:c r="C437" s="31" t="str">
        <x:v>B19</x:v>
      </x:c>
      <x:c r="D437" s="31" t="str">
        <x:v>هزینه</x:v>
      </x:c>
      <x:c r="E437" s="31"/>
    </x:row>
    <x:row r="438" ht="15" hidden="0" customHeight="1">
      <x:c r="A438" s="31" t="str">
        <x:v>Anjoman accounting - refined.xlsx</x:v>
      </x:c>
      <x:c r="B438" s="31" t="str">
        <x:v>تراکنش‌ها</x:v>
      </x:c>
      <x:c r="C438" s="31" t="str">
        <x:v>C19</x:v>
      </x:c>
      <x:c r="D438" s="31" t="str">
        <x:v>شهریور</x:v>
      </x:c>
      <x:c r="E438" s="31"/>
    </x:row>
    <x:row r="439" ht="15" hidden="0" customHeight="1">
      <x:c r="A439" s="31" t="str">
        <x:v>Anjoman accounting - refined.xlsx</x:v>
      </x:c>
      <x:c r="B439" s="31" t="str">
        <x:v>تراکنش‌ها</x:v>
      </x:c>
      <x:c r="C439" s="31" t="str">
        <x:v>D19</x:v>
      </x:c>
      <x:c r="D439" s="31" t="str">
        <x:v>189000</x:v>
      </x:c>
      <x:c r="E439" s="31"/>
    </x:row>
    <x:row r="440" ht="15" hidden="0" customHeight="1">
      <x:c r="A440" s="31" t="str">
        <x:v>Anjoman accounting - refined.xlsx</x:v>
      </x:c>
      <x:c r="B440" s="31" t="str">
        <x:v>تراکنش‌ها</x:v>
      </x:c>
      <x:c r="C440" s="31" t="str">
        <x:v>E19</x:v>
      </x:c>
      <x:c r="D440" s="31" t="str">
        <x:v>تومان</x:v>
      </x:c>
      <x:c r="E440" s="31"/>
    </x:row>
    <x:row r="441" ht="15" hidden="0" customHeight="1">
      <x:c r="A441" s="31" t="str">
        <x:v>Anjoman accounting - refined.xlsx</x:v>
      </x:c>
      <x:c r="B441" s="31" t="str">
        <x:v>تراکنش‌ها</x:v>
      </x:c>
      <x:c r="C441" s="31" t="str">
        <x:v>F19</x:v>
      </x:c>
      <x:c r="D441" s="31" t="str">
        <x:v>189000</x:v>
      </x:c>
      <x:c r="E441" s="31"/>
    </x:row>
    <x:row r="442" ht="15" hidden="0" customHeight="1">
      <x:c r="A442" s="31" t="str">
        <x:v>Anjoman accounting - refined.xlsx</x:v>
      </x:c>
      <x:c r="B442" s="31" t="str">
        <x:v>تراکنش‌ها</x:v>
      </x:c>
      <x:c r="C442" s="31" t="str">
        <x:v>G19</x:v>
      </x:c>
      <x:c r="D442" s="31" t="str">
        <x:v>ابراهیم خسروانی</x:v>
      </x:c>
      <x:c r="E442" s="31"/>
    </x:row>
    <x:row r="443" ht="15" hidden="0" customHeight="1">
      <x:c r="A443" s="31" t="str">
        <x:v>Anjoman accounting - refined.xlsx</x:v>
      </x:c>
      <x:c r="B443" s="31" t="str">
        <x:v>تراکنش‌ها</x:v>
      </x:c>
      <x:c r="C443" s="31" t="str">
        <x:v>H19</x:v>
      </x:c>
      <x:c r="D443" s="31" t="str">
        <x:v>حق الزحمه خرید تدارکات رویداد معرفی رشته</x:v>
      </x:c>
      <x:c r="E443" s="31"/>
    </x:row>
    <x:row r="444" ht="15" hidden="0" customHeight="1">
      <x:c r="A444" s="31" t="str">
        <x:v>Anjoman accounting - refined.xlsx</x:v>
      </x:c>
      <x:c r="B444" s="31" t="str">
        <x:v>تراکنش‌ها</x:v>
      </x:c>
      <x:c r="C444" s="31" t="str">
        <x:v>I19</x:v>
      </x:c>
      <x:c r="D444" s="31" t="str">
        <x:v>هزینه / عملیاتی</x:v>
      </x:c>
      <x:c r="E444" s="31"/>
    </x:row>
    <x:row r="445" ht="15" hidden="0" customHeight="1">
      <x:c r="A445" s="31" t="str">
        <x:v>Anjoman accounting - refined.xlsx</x:v>
      </x:c>
      <x:c r="B445" s="31" t="str">
        <x:v>تراکنش‌ها</x:v>
      </x:c>
      <x:c r="C445" s="31" t="str">
        <x:v>J19</x:v>
      </x:c>
      <x:c r="D445" s="31" t="str">
        <x:v>تاییدشده</x:v>
      </x:c>
      <x:c r="E445" s="31"/>
    </x:row>
    <x:row r="446" ht="15" hidden="0" customHeight="1">
      <x:c r="A446" s="31" t="str">
        <x:v>Anjoman accounting - refined.xlsx</x:v>
      </x:c>
      <x:c r="B446" s="31" t="str">
        <x:v>تراکنش‌ها</x:v>
      </x:c>
      <x:c r="C446" s="31" t="str">
        <x:v>K19</x:v>
      </x:c>
      <x:c r="D446" s="31" t="str">
        <x:v>دفتر قبلی</x:v>
      </x:c>
      <x:c r="E446" s="31"/>
    </x:row>
    <x:row r="447" ht="15" hidden="0" customHeight="1">
      <x:c r="A447" s="31" t="str">
        <x:v>Anjoman accounting - refined.xlsx</x:v>
      </x:c>
      <x:c r="B447" s="31" t="str">
        <x:v>تراکنش‌ها</x:v>
      </x:c>
      <x:c r="C447" s="31" t="str">
        <x:v>L19</x:v>
      </x:c>
      <x:c r="D447" s="31" t="str">
        <x:v>LEDGER-MAJMOO-017</x:v>
      </x:c>
      <x:c r="E447" s="31"/>
    </x:row>
    <x:row r="448" ht="15" hidden="0" customHeight="1">
      <x:c r="A448" s="31" t="str">
        <x:v>Anjoman accounting - refined.xlsx</x:v>
      </x:c>
      <x:c r="B448" s="31" t="str">
        <x:v>تراکنش‌ها</x:v>
      </x:c>
      <x:c r="C448" s="31" t="str">
        <x:v>M19</x:v>
      </x:c>
      <x:c r="D448" s="31" t="str">
        <x:v>مبلغ از دفتر قبلی خوانده شد؛ نیازمند تطبیق نهایی با شواهد پرداخت.</x:v>
      </x:c>
      <x:c r="E448" s="31"/>
    </x:row>
    <x:row r="449" ht="15" hidden="0" customHeight="1">
      <x:c r="A449" s="31" t="str">
        <x:v>Anjoman accounting - refined.xlsx</x:v>
      </x:c>
      <x:c r="B449" s="31" t="str">
        <x:v>تراکنش‌ها</x:v>
      </x:c>
      <x:c r="C449" s="31" t="str">
        <x:v>A20</x:v>
      </x:c>
      <x:c r="D449" s="31" t="str">
        <x:v>TX-00017</x:v>
      </x:c>
      <x:c r="E449" s="31"/>
    </x:row>
    <x:row r="450" ht="15" hidden="0" customHeight="1">
      <x:c r="A450" s="31" t="str">
        <x:v>Anjoman accounting - refined.xlsx</x:v>
      </x:c>
      <x:c r="B450" s="31" t="str">
        <x:v>تراکنش‌ها</x:v>
      </x:c>
      <x:c r="C450" s="31" t="str">
        <x:v>B20</x:v>
      </x:c>
      <x:c r="D450" s="31" t="str">
        <x:v>درآمد</x:v>
      </x:c>
      <x:c r="E450" s="31"/>
    </x:row>
    <x:row r="451" ht="15" hidden="0" customHeight="1">
      <x:c r="A451" s="31" t="str">
        <x:v>Anjoman accounting - refined.xlsx</x:v>
      </x:c>
      <x:c r="B451" s="31" t="str">
        <x:v>تراکنش‌ها</x:v>
      </x:c>
      <x:c r="C451" s="31" t="str">
        <x:v>C20</x:v>
      </x:c>
      <x:c r="D451" s="31" t="str">
        <x:v>مهر</x:v>
      </x:c>
      <x:c r="E451" s="31"/>
    </x:row>
    <x:row r="452" ht="15" hidden="0" customHeight="1">
      <x:c r="A452" s="31" t="str">
        <x:v>Anjoman accounting - refined.xlsx</x:v>
      </x:c>
      <x:c r="B452" s="31" t="str">
        <x:v>تراکنش‌ها</x:v>
      </x:c>
      <x:c r="C452" s="31" t="str">
        <x:v>D20</x:v>
      </x:c>
      <x:c r="D452" s="31" t="str">
        <x:v>500000</x:v>
      </x:c>
      <x:c r="E452" s="31"/>
    </x:row>
    <x:row r="453" ht="15" hidden="0" customHeight="1">
      <x:c r="A453" s="31" t="str">
        <x:v>Anjoman accounting - refined.xlsx</x:v>
      </x:c>
      <x:c r="B453" s="31" t="str">
        <x:v>تراکنش‌ها</x:v>
      </x:c>
      <x:c r="C453" s="31" t="str">
        <x:v>E20</x:v>
      </x:c>
      <x:c r="D453" s="31" t="str">
        <x:v>تومان</x:v>
      </x:c>
      <x:c r="E453" s="31"/>
    </x:row>
    <x:row r="454" ht="15" hidden="0" customHeight="1">
      <x:c r="A454" s="31" t="str">
        <x:v>Anjoman accounting - refined.xlsx</x:v>
      </x:c>
      <x:c r="B454" s="31" t="str">
        <x:v>تراکنش‌ها</x:v>
      </x:c>
      <x:c r="C454" s="31" t="str">
        <x:v>F20</x:v>
      </x:c>
      <x:c r="D454" s="31" t="str">
        <x:v>500000</x:v>
      </x:c>
      <x:c r="E454" s="31"/>
    </x:row>
    <x:row r="455" ht="15" hidden="0" customHeight="1">
      <x:c r="A455" s="31" t="str">
        <x:v>Anjoman accounting - refined.xlsx</x:v>
      </x:c>
      <x:c r="B455" s="31" t="str">
        <x:v>تراکنش‌ها</x:v>
      </x:c>
      <x:c r="C455" s="31" t="str">
        <x:v>H20</x:v>
      </x:c>
      <x:c r="D455" s="31" t="str">
        <x:v>واریزی دکتر مقیمی برای شیرینی نشست عمومی اساتید</x:v>
      </x:c>
      <x:c r="E455" s="31"/>
    </x:row>
    <x:row r="456" ht="15" hidden="0" customHeight="1">
      <x:c r="A456" s="31" t="str">
        <x:v>Anjoman accounting - refined.xlsx</x:v>
      </x:c>
      <x:c r="B456" s="31" t="str">
        <x:v>تراکنش‌ها</x:v>
      </x:c>
      <x:c r="C456" s="31" t="str">
        <x:v>I20</x:v>
      </x:c>
      <x:c r="D456" s="31" t="str">
        <x:v>درآمد / کمک / رویداد</x:v>
      </x:c>
      <x:c r="E456" s="31"/>
    </x:row>
    <x:row r="457" ht="15" hidden="0" customHeight="1">
      <x:c r="A457" s="31" t="str">
        <x:v>Anjoman accounting - refined.xlsx</x:v>
      </x:c>
      <x:c r="B457" s="31" t="str">
        <x:v>تراکنش‌ها</x:v>
      </x:c>
      <x:c r="C457" s="31" t="str">
        <x:v>J20</x:v>
      </x:c>
      <x:c r="D457" s="31" t="str">
        <x:v>تاییدشده</x:v>
      </x:c>
      <x:c r="E457" s="31"/>
    </x:row>
    <x:row r="458" ht="15" hidden="0" customHeight="1">
      <x:c r="A458" s="31" t="str">
        <x:v>Anjoman accounting - refined.xlsx</x:v>
      </x:c>
      <x:c r="B458" s="31" t="str">
        <x:v>تراکنش‌ها</x:v>
      </x:c>
      <x:c r="C458" s="31" t="str">
        <x:v>K20</x:v>
      </x:c>
      <x:c r="D458" s="31" t="str">
        <x:v>دفتر قبلی</x:v>
      </x:c>
      <x:c r="E458" s="31"/>
    </x:row>
    <x:row r="459" ht="15" hidden="0" customHeight="1">
      <x:c r="A459" s="31" t="str">
        <x:v>Anjoman accounting - refined.xlsx</x:v>
      </x:c>
      <x:c r="B459" s="31" t="str">
        <x:v>تراکنش‌ها</x:v>
      </x:c>
      <x:c r="C459" s="31" t="str">
        <x:v>L20</x:v>
      </x:c>
      <x:c r="D459" s="31" t="str">
        <x:v>LEDGER-MAJMOO-019</x:v>
      </x:c>
      <x:c r="E459" s="31"/>
    </x:row>
    <x:row r="460" ht="15" hidden="0" customHeight="1">
      <x:c r="A460" s="31" t="str">
        <x:v>Anjoman accounting - refined.xlsx</x:v>
      </x:c>
      <x:c r="B460" s="31" t="str">
        <x:v>تراکنش‌ها</x:v>
      </x:c>
      <x:c r="C460" s="31" t="str">
        <x:v>M20</x:v>
      </x:c>
      <x:c r="D460" s="31" t="str">
        <x:v>مبلغ از دفتر قبلی خوانده شد؛ نیازمند تطبیق نهایی با شواهد بانکی/رسید.</x:v>
      </x:c>
      <x:c r="E460" s="31"/>
    </x:row>
    <x:row r="461" ht="15" hidden="0" customHeight="1">
      <x:c r="A461" s="31" t="str">
        <x:v>Anjoman accounting - refined.xlsx</x:v>
      </x:c>
      <x:c r="B461" s="31" t="str">
        <x:v>تراکنش‌ها</x:v>
      </x:c>
      <x:c r="C461" s="31" t="str">
        <x:v>A21</x:v>
      </x:c>
      <x:c r="D461" s="31" t="str">
        <x:v>TX-00018</x:v>
      </x:c>
      <x:c r="E461" s="31"/>
    </x:row>
    <x:row r="462" ht="15" hidden="0" customHeight="1">
      <x:c r="A462" s="31" t="str">
        <x:v>Anjoman accounting - refined.xlsx</x:v>
      </x:c>
      <x:c r="B462" s="31" t="str">
        <x:v>تراکنش‌ها</x:v>
      </x:c>
      <x:c r="C462" s="31" t="str">
        <x:v>B21</x:v>
      </x:c>
      <x:c r="D462" s="31" t="str">
        <x:v>هزینه</x:v>
      </x:c>
      <x:c r="E462" s="31"/>
    </x:row>
    <x:row r="463" ht="15" hidden="0" customHeight="1">
      <x:c r="A463" s="31" t="str">
        <x:v>Anjoman accounting - refined.xlsx</x:v>
      </x:c>
      <x:c r="B463" s="31" t="str">
        <x:v>تراکنش‌ها</x:v>
      </x:c>
      <x:c r="C463" s="31" t="str">
        <x:v>C21</x:v>
      </x:c>
      <x:c r="D463" s="31" t="str">
        <x:v>مهر</x:v>
      </x:c>
      <x:c r="E463" s="31"/>
    </x:row>
    <x:row r="464" ht="15" hidden="0" customHeight="1">
      <x:c r="A464" s="31" t="str">
        <x:v>Anjoman accounting - refined.xlsx</x:v>
      </x:c>
      <x:c r="B464" s="31" t="str">
        <x:v>تراکنش‌ها</x:v>
      </x:c>
      <x:c r="C464" s="31" t="str">
        <x:v>D21</x:v>
      </x:c>
      <x:c r="D464" s="31" t="str">
        <x:v>90000</x:v>
      </x:c>
      <x:c r="E464" s="31"/>
    </x:row>
    <x:row r="465" ht="15" hidden="0" customHeight="1">
      <x:c r="A465" s="31" t="str">
        <x:v>Anjoman accounting - refined.xlsx</x:v>
      </x:c>
      <x:c r="B465" s="31" t="str">
        <x:v>تراکنش‌ها</x:v>
      </x:c>
      <x:c r="C465" s="31" t="str">
        <x:v>E21</x:v>
      </x:c>
      <x:c r="D465" s="31" t="str">
        <x:v>تومان</x:v>
      </x:c>
      <x:c r="E465" s="31"/>
    </x:row>
    <x:row r="466" ht="15" hidden="0" customHeight="1">
      <x:c r="A466" s="31" t="str">
        <x:v>Anjoman accounting - refined.xlsx</x:v>
      </x:c>
      <x:c r="B466" s="31" t="str">
        <x:v>تراکنش‌ها</x:v>
      </x:c>
      <x:c r="C466" s="31" t="str">
        <x:v>F21</x:v>
      </x:c>
      <x:c r="D466" s="31" t="str">
        <x:v>90000</x:v>
      </x:c>
      <x:c r="E466" s="31"/>
    </x:row>
    <x:row r="467" ht="15" hidden="0" customHeight="1">
      <x:c r="A467" s="31" t="str">
        <x:v>Anjoman accounting - refined.xlsx</x:v>
      </x:c>
      <x:c r="B467" s="31" t="str">
        <x:v>تراکنش‌ها</x:v>
      </x:c>
      <x:c r="C467" s="31" t="str">
        <x:v>H21</x:v>
      </x:c>
      <x:c r="D467" s="31" t="str">
        <x:v>پوستر نشست عمومی با اساتید و حلقه های کوانتا(هفته 19مهر)</x:v>
      </x:c>
      <x:c r="E467" s="31"/>
    </x:row>
    <x:row r="468" ht="15" hidden="0" customHeight="1">
      <x:c r="A468" s="31" t="str">
        <x:v>Anjoman accounting - refined.xlsx</x:v>
      </x:c>
      <x:c r="B468" s="31" t="str">
        <x:v>تراکنش‌ها</x:v>
      </x:c>
      <x:c r="C468" s="31" t="str">
        <x:v>I21</x:v>
      </x:c>
      <x:c r="D468" s="31" t="str">
        <x:v>هزینه / عملیاتی</x:v>
      </x:c>
      <x:c r="E468" s="31"/>
    </x:row>
    <x:row r="469" ht="15" hidden="0" customHeight="1">
      <x:c r="A469" s="31" t="str">
        <x:v>Anjoman accounting - refined.xlsx</x:v>
      </x:c>
      <x:c r="B469" s="31" t="str">
        <x:v>تراکنش‌ها</x:v>
      </x:c>
      <x:c r="C469" s="31" t="str">
        <x:v>J21</x:v>
      </x:c>
      <x:c r="D469" s="31" t="str">
        <x:v>تاییدشده</x:v>
      </x:c>
      <x:c r="E469" s="31"/>
    </x:row>
    <x:row r="470" ht="15" hidden="0" customHeight="1">
      <x:c r="A470" s="31" t="str">
        <x:v>Anjoman accounting - refined.xlsx</x:v>
      </x:c>
      <x:c r="B470" s="31" t="str">
        <x:v>تراکنش‌ها</x:v>
      </x:c>
      <x:c r="C470" s="31" t="str">
        <x:v>K21</x:v>
      </x:c>
      <x:c r="D470" s="31" t="str">
        <x:v>دفتر قبلی</x:v>
      </x:c>
      <x:c r="E470" s="31"/>
    </x:row>
    <x:row r="471" ht="15" hidden="0" customHeight="1">
      <x:c r="A471" s="31" t="str">
        <x:v>Anjoman accounting - refined.xlsx</x:v>
      </x:c>
      <x:c r="B471" s="31" t="str">
        <x:v>تراکنش‌ها</x:v>
      </x:c>
      <x:c r="C471" s="31" t="str">
        <x:v>L21</x:v>
      </x:c>
      <x:c r="D471" s="31" t="str">
        <x:v>LEDGER-MAJMOO-019</x:v>
      </x:c>
      <x:c r="E471" s="31"/>
    </x:row>
    <x:row r="472" ht="15" hidden="0" customHeight="1">
      <x:c r="A472" s="31" t="str">
        <x:v>Anjoman accounting - refined.xlsx</x:v>
      </x:c>
      <x:c r="B472" s="31" t="str">
        <x:v>تراکنش‌ها</x:v>
      </x:c>
      <x:c r="C472" s="31" t="str">
        <x:v>M21</x:v>
      </x:c>
      <x:c r="D472" s="31" t="str">
        <x:v>مبلغ از دفتر قبلی خوانده شد؛ نیازمند تطبیق نهایی با شواهد پرداخت.</x:v>
      </x:c>
      <x:c r="E472" s="31"/>
    </x:row>
    <x:row r="473" ht="15" hidden="0" customHeight="1">
      <x:c r="A473" s="31" t="str">
        <x:v>Anjoman accounting - refined.xlsx</x:v>
      </x:c>
      <x:c r="B473" s="31" t="str">
        <x:v>تراکنش‌ها</x:v>
      </x:c>
      <x:c r="C473" s="31" t="str">
        <x:v>A22</x:v>
      </x:c>
      <x:c r="D473" s="31" t="str">
        <x:v>TX-00019</x:v>
      </x:c>
      <x:c r="E473" s="31"/>
    </x:row>
    <x:row r="474" ht="15" hidden="0" customHeight="1">
      <x:c r="A474" s="31" t="str">
        <x:v>Anjoman accounting - refined.xlsx</x:v>
      </x:c>
      <x:c r="B474" s="31" t="str">
        <x:v>تراکنش‌ها</x:v>
      </x:c>
      <x:c r="C474" s="31" t="str">
        <x:v>B22</x:v>
      </x:c>
      <x:c r="D474" s="31" t="str">
        <x:v>هزینه</x:v>
      </x:c>
      <x:c r="E474" s="31"/>
    </x:row>
    <x:row r="475" ht="15" hidden="0" customHeight="1">
      <x:c r="A475" s="31" t="str">
        <x:v>Anjoman accounting - refined.xlsx</x:v>
      </x:c>
      <x:c r="B475" s="31" t="str">
        <x:v>تراکنش‌ها</x:v>
      </x:c>
      <x:c r="C475" s="31" t="str">
        <x:v>C22</x:v>
      </x:c>
      <x:c r="D475" s="31" t="str">
        <x:v>مهر</x:v>
      </x:c>
      <x:c r="E475" s="31"/>
    </x:row>
    <x:row r="476" ht="15" hidden="0" customHeight="1">
      <x:c r="A476" s="31" t="str">
        <x:v>Anjoman accounting - refined.xlsx</x:v>
      </x:c>
      <x:c r="B476" s="31" t="str">
        <x:v>تراکنش‌ها</x:v>
      </x:c>
      <x:c r="C476" s="31" t="str">
        <x:v>D22</x:v>
      </x:c>
      <x:c r="D476" s="31" t="str">
        <x:v>1052375</x:v>
      </x:c>
      <x:c r="E476" s="31"/>
    </x:row>
    <x:row r="477" ht="15" hidden="0" customHeight="1">
      <x:c r="A477" s="31" t="str">
        <x:v>Anjoman accounting - refined.xlsx</x:v>
      </x:c>
      <x:c r="B477" s="31" t="str">
        <x:v>تراکنش‌ها</x:v>
      </x:c>
      <x:c r="C477" s="31" t="str">
        <x:v>E22</x:v>
      </x:c>
      <x:c r="D477" s="31" t="str">
        <x:v>تومان</x:v>
      </x:c>
      <x:c r="E477" s="31"/>
    </x:row>
    <x:row r="478" ht="15" hidden="0" customHeight="1">
      <x:c r="A478" s="31" t="str">
        <x:v>Anjoman accounting - refined.xlsx</x:v>
      </x:c>
      <x:c r="B478" s="31" t="str">
        <x:v>تراکنش‌ها</x:v>
      </x:c>
      <x:c r="C478" s="31" t="str">
        <x:v>F22</x:v>
      </x:c>
      <x:c r="D478" s="31" t="str">
        <x:v>1052375</x:v>
      </x:c>
      <x:c r="E478" s="31"/>
    </x:row>
    <x:row r="479" ht="15" hidden="0" customHeight="1">
      <x:c r="A479" s="31" t="str">
        <x:v>Anjoman accounting - refined.xlsx</x:v>
      </x:c>
      <x:c r="B479" s="31" t="str">
        <x:v>تراکنش‌ها</x:v>
      </x:c>
      <x:c r="C479" s="31" t="str">
        <x:v>H22</x:v>
      </x:c>
      <x:c r="D479" s="31" t="str">
        <x:v>شیرینی نشست عمومی با اساتید</x:v>
      </x:c>
      <x:c r="E479" s="31"/>
    </x:row>
    <x:row r="480" ht="15" hidden="0" customHeight="1">
      <x:c r="A480" s="31" t="str">
        <x:v>Anjoman accounting - refined.xlsx</x:v>
      </x:c>
      <x:c r="B480" s="31" t="str">
        <x:v>تراکنش‌ها</x:v>
      </x:c>
      <x:c r="C480" s="31" t="str">
        <x:v>I22</x:v>
      </x:c>
      <x:c r="D480" s="31" t="str">
        <x:v>هزینه / عملیاتی</x:v>
      </x:c>
      <x:c r="E480" s="31"/>
    </x:row>
    <x:row r="481" ht="15" hidden="0" customHeight="1">
      <x:c r="A481" s="31" t="str">
        <x:v>Anjoman accounting - refined.xlsx</x:v>
      </x:c>
      <x:c r="B481" s="31" t="str">
        <x:v>تراکنش‌ها</x:v>
      </x:c>
      <x:c r="C481" s="31" t="str">
        <x:v>J22</x:v>
      </x:c>
      <x:c r="D481" s="31" t="str">
        <x:v>تاییدشده</x:v>
      </x:c>
      <x:c r="E481" s="31"/>
    </x:row>
    <x:row r="482" ht="15" hidden="0" customHeight="1">
      <x:c r="A482" s="31" t="str">
        <x:v>Anjoman accounting - refined.xlsx</x:v>
      </x:c>
      <x:c r="B482" s="31" t="str">
        <x:v>تراکنش‌ها</x:v>
      </x:c>
      <x:c r="C482" s="31" t="str">
        <x:v>K22</x:v>
      </x:c>
      <x:c r="D482" s="31" t="str">
        <x:v>دفتر قبلی</x:v>
      </x:c>
      <x:c r="E482" s="31"/>
    </x:row>
    <x:row r="483" ht="15" hidden="0" customHeight="1">
      <x:c r="A483" s="31" t="str">
        <x:v>Anjoman accounting - refined.xlsx</x:v>
      </x:c>
      <x:c r="B483" s="31" t="str">
        <x:v>تراکنش‌ها</x:v>
      </x:c>
      <x:c r="C483" s="31" t="str">
        <x:v>L22</x:v>
      </x:c>
      <x:c r="D483" s="31" t="str">
        <x:v>LEDGER-MAJMOO-020</x:v>
      </x:c>
      <x:c r="E483" s="31"/>
    </x:row>
    <x:row r="484" ht="15" hidden="0" customHeight="1">
      <x:c r="A484" s="31" t="str">
        <x:v>Anjoman accounting - refined.xlsx</x:v>
      </x:c>
      <x:c r="B484" s="31" t="str">
        <x:v>تراکنش‌ها</x:v>
      </x:c>
      <x:c r="C484" s="31" t="str">
        <x:v>M22</x:v>
      </x:c>
      <x:c r="D484" s="31" t="str">
        <x:v>مبلغ از دفتر قبلی خوانده شد؛ نیازمند تطبیق نهایی با شواهد پرداخت.</x:v>
      </x:c>
      <x:c r="E484" s="31"/>
    </x:row>
    <x:row r="485" ht="15" hidden="0" customHeight="1">
      <x:c r="A485" s="31" t="str">
        <x:v>Anjoman accounting - refined.xlsx</x:v>
      </x:c>
      <x:c r="B485" s="31" t="str">
        <x:v>تراکنش‌ها</x:v>
      </x:c>
      <x:c r="C485" s="31" t="str">
        <x:v>A23</x:v>
      </x:c>
      <x:c r="D485" s="31" t="str">
        <x:v>TX-00020</x:v>
      </x:c>
      <x:c r="E485" s="31"/>
    </x:row>
    <x:row r="486" ht="15" hidden="0" customHeight="1">
      <x:c r="A486" s="31" t="str">
        <x:v>Anjoman accounting - refined.xlsx</x:v>
      </x:c>
      <x:c r="B486" s="31" t="str">
        <x:v>تراکنش‌ها</x:v>
      </x:c>
      <x:c r="C486" s="31" t="str">
        <x:v>B23</x:v>
      </x:c>
      <x:c r="D486" s="31" t="str">
        <x:v>هزینه</x:v>
      </x:c>
      <x:c r="E486" s="31"/>
    </x:row>
    <x:row r="487" ht="15" hidden="0" customHeight="1">
      <x:c r="A487" s="31" t="str">
        <x:v>Anjoman accounting - refined.xlsx</x:v>
      </x:c>
      <x:c r="B487" s="31" t="str">
        <x:v>تراکنش‌ها</x:v>
      </x:c>
      <x:c r="C487" s="31" t="str">
        <x:v>C23</x:v>
      </x:c>
      <x:c r="D487" s="31" t="str">
        <x:v>مهر</x:v>
      </x:c>
      <x:c r="E487" s="31"/>
    </x:row>
    <x:row r="488" ht="15" hidden="0" customHeight="1">
      <x:c r="A488" s="31" t="str">
        <x:v>Anjoman accounting - refined.xlsx</x:v>
      </x:c>
      <x:c r="B488" s="31" t="str">
        <x:v>تراکنش‌ها</x:v>
      </x:c>
      <x:c r="C488" s="31" t="str">
        <x:v>D23</x:v>
      </x:c>
      <x:c r="D488" s="31" t="str">
        <x:v>790000</x:v>
      </x:c>
      <x:c r="E488" s="31"/>
    </x:row>
    <x:row r="489" ht="15" hidden="0" customHeight="1">
      <x:c r="A489" s="31" t="str">
        <x:v>Anjoman accounting - refined.xlsx</x:v>
      </x:c>
      <x:c r="B489" s="31" t="str">
        <x:v>تراکنش‌ها</x:v>
      </x:c>
      <x:c r="C489" s="31" t="str">
        <x:v>E23</x:v>
      </x:c>
      <x:c r="D489" s="31" t="str">
        <x:v>تومان</x:v>
      </x:c>
      <x:c r="E489" s="31"/>
    </x:row>
    <x:row r="490" ht="15" hidden="0" customHeight="1">
      <x:c r="A490" s="31" t="str">
        <x:v>Anjoman accounting - refined.xlsx</x:v>
      </x:c>
      <x:c r="B490" s="31" t="str">
        <x:v>تراکنش‌ها</x:v>
      </x:c>
      <x:c r="C490" s="31" t="str">
        <x:v>F23</x:v>
      </x:c>
      <x:c r="D490" s="31" t="str">
        <x:v>790000</x:v>
      </x:c>
      <x:c r="E490" s="31"/>
    </x:row>
    <x:row r="491" ht="15" hidden="0" customHeight="1">
      <x:c r="A491" s="31" t="str">
        <x:v>Anjoman accounting - refined.xlsx</x:v>
      </x:c>
      <x:c r="B491" s="31" t="str">
        <x:v>تراکنش‌ها</x:v>
      </x:c>
      <x:c r="C491" s="31" t="str">
        <x:v>H23</x:v>
      </x:c>
      <x:c r="D491" s="31" t="str">
        <x:v>2*50 لیوان + 3*40 بیسکوییت+100چای برای انجمن چای</x:v>
      </x:c>
      <x:c r="E491" s="31"/>
    </x:row>
    <x:row r="492" ht="15" hidden="0" customHeight="1">
      <x:c r="A492" s="31" t="str">
        <x:v>Anjoman accounting - refined.xlsx</x:v>
      </x:c>
      <x:c r="B492" s="31" t="str">
        <x:v>تراکنش‌ها</x:v>
      </x:c>
      <x:c r="C492" s="31" t="str">
        <x:v>I23</x:v>
      </x:c>
      <x:c r="D492" s="31" t="str">
        <x:v>هزینه / عملیاتی</x:v>
      </x:c>
      <x:c r="E492" s="31"/>
    </x:row>
    <x:row r="493" ht="15" hidden="0" customHeight="1">
      <x:c r="A493" s="31" t="str">
        <x:v>Anjoman accounting - refined.xlsx</x:v>
      </x:c>
      <x:c r="B493" s="31" t="str">
        <x:v>تراکنش‌ها</x:v>
      </x:c>
      <x:c r="C493" s="31" t="str">
        <x:v>J23</x:v>
      </x:c>
      <x:c r="D493" s="31" t="str">
        <x:v>تاییدشده</x:v>
      </x:c>
      <x:c r="E493" s="31"/>
    </x:row>
    <x:row r="494" ht="15" hidden="0" customHeight="1">
      <x:c r="A494" s="31" t="str">
        <x:v>Anjoman accounting - refined.xlsx</x:v>
      </x:c>
      <x:c r="B494" s="31" t="str">
        <x:v>تراکنش‌ها</x:v>
      </x:c>
      <x:c r="C494" s="31" t="str">
        <x:v>K23</x:v>
      </x:c>
      <x:c r="D494" s="31" t="str">
        <x:v>دفتر قبلی</x:v>
      </x:c>
      <x:c r="E494" s="31"/>
    </x:row>
    <x:row r="495" ht="15" hidden="0" customHeight="1">
      <x:c r="A495" s="31" t="str">
        <x:v>Anjoman accounting - refined.xlsx</x:v>
      </x:c>
      <x:c r="B495" s="31" t="str">
        <x:v>تراکنش‌ها</x:v>
      </x:c>
      <x:c r="C495" s="31" t="str">
        <x:v>L23</x:v>
      </x:c>
      <x:c r="D495" s="31" t="str">
        <x:v>LEDGER-MAJMOO-021</x:v>
      </x:c>
      <x:c r="E495" s="31"/>
    </x:row>
    <x:row r="496" ht="15" hidden="0" customHeight="1">
      <x:c r="A496" s="31" t="str">
        <x:v>Anjoman accounting - refined.xlsx</x:v>
      </x:c>
      <x:c r="B496" s="31" t="str">
        <x:v>تراکنش‌ها</x:v>
      </x:c>
      <x:c r="C496" s="31" t="str">
        <x:v>M23</x:v>
      </x:c>
      <x:c r="D496" s="31" t="str">
        <x:v>مبلغ از دفتر قبلی خوانده شد؛ نیازمند تطبیق نهایی با شواهد پرداخت.</x:v>
      </x:c>
      <x:c r="E496" s="31"/>
    </x:row>
    <x:row r="497" ht="15" hidden="0" customHeight="1">
      <x:c r="A497" s="31" t="str">
        <x:v>Anjoman accounting - refined.xlsx</x:v>
      </x:c>
      <x:c r="B497" s="31" t="str">
        <x:v>تراکنش‌ها</x:v>
      </x:c>
      <x:c r="C497" s="31" t="str">
        <x:v>A24</x:v>
      </x:c>
      <x:c r="D497" s="31" t="str">
        <x:v>TX-00021</x:v>
      </x:c>
      <x:c r="E497" s="31"/>
    </x:row>
    <x:row r="498" ht="15" hidden="0" customHeight="1">
      <x:c r="A498" s="31" t="str">
        <x:v>Anjoman accounting - refined.xlsx</x:v>
      </x:c>
      <x:c r="B498" s="31" t="str">
        <x:v>تراکنش‌ها</x:v>
      </x:c>
      <x:c r="C498" s="31" t="str">
        <x:v>B24</x:v>
      </x:c>
      <x:c r="D498" s="31" t="str">
        <x:v>هزینه</x:v>
      </x:c>
      <x:c r="E498" s="31"/>
    </x:row>
    <x:row r="499" ht="15" hidden="0" customHeight="1">
      <x:c r="A499" s="31" t="str">
        <x:v>Anjoman accounting - refined.xlsx</x:v>
      </x:c>
      <x:c r="B499" s="31" t="str">
        <x:v>تراکنش‌ها</x:v>
      </x:c>
      <x:c r="C499" s="31" t="str">
        <x:v>C24</x:v>
      </x:c>
      <x:c r="D499" s="31" t="str">
        <x:v>مهر</x:v>
      </x:c>
      <x:c r="E499" s="31"/>
    </x:row>
    <x:row r="500" ht="15" hidden="0" customHeight="1">
      <x:c r="A500" s="31" t="str">
        <x:v>Anjoman accounting - refined.xlsx</x:v>
      </x:c>
      <x:c r="B500" s="31" t="str">
        <x:v>تراکنش‌ها</x:v>
      </x:c>
      <x:c r="C500" s="31" t="str">
        <x:v>D24</x:v>
      </x:c>
      <x:c r="D500" s="31" t="str">
        <x:v>912850</x:v>
      </x:c>
      <x:c r="E500" s="31"/>
    </x:row>
    <x:row r="501" ht="15" hidden="0" customHeight="1">
      <x:c r="A501" s="31" t="str">
        <x:v>Anjoman accounting - refined.xlsx</x:v>
      </x:c>
      <x:c r="B501" s="31" t="str">
        <x:v>تراکنش‌ها</x:v>
      </x:c>
      <x:c r="C501" s="31" t="str">
        <x:v>E24</x:v>
      </x:c>
      <x:c r="D501" s="31" t="str">
        <x:v>تومان</x:v>
      </x:c>
      <x:c r="E501" s="31"/>
    </x:row>
    <x:row r="502" ht="15" hidden="0" customHeight="1">
      <x:c r="A502" s="31" t="str">
        <x:v>Anjoman accounting - refined.xlsx</x:v>
      </x:c>
      <x:c r="B502" s="31" t="str">
        <x:v>تراکنش‌ها</x:v>
      </x:c>
      <x:c r="C502" s="31" t="str">
        <x:v>F24</x:v>
      </x:c>
      <x:c r="D502" s="31" t="str">
        <x:v>912850</x:v>
      </x:c>
      <x:c r="E502" s="31"/>
    </x:row>
    <x:row r="503" ht="15" hidden="0" customHeight="1">
      <x:c r="A503" s="31" t="str">
        <x:v>Anjoman accounting - refined.xlsx</x:v>
      </x:c>
      <x:c r="B503" s="31" t="str">
        <x:v>تراکنش‌ها</x:v>
      </x:c>
      <x:c r="C503" s="31" t="str">
        <x:v>H24</x:v>
      </x:c>
      <x:c r="D503" s="31" t="str">
        <x:v>شیریننی نشست انجمن چای</x:v>
      </x:c>
      <x:c r="E503" s="31"/>
    </x:row>
    <x:row r="504" ht="15" hidden="0" customHeight="1">
      <x:c r="A504" s="31" t="str">
        <x:v>Anjoman accounting - refined.xlsx</x:v>
      </x:c>
      <x:c r="B504" s="31" t="str">
        <x:v>تراکنش‌ها</x:v>
      </x:c>
      <x:c r="C504" s="31" t="str">
        <x:v>I24</x:v>
      </x:c>
      <x:c r="D504" s="31" t="str">
        <x:v>هزینه / عملیاتی</x:v>
      </x:c>
      <x:c r="E504" s="31"/>
    </x:row>
    <x:row r="505" ht="15" hidden="0" customHeight="1">
      <x:c r="A505" s="31" t="str">
        <x:v>Anjoman accounting - refined.xlsx</x:v>
      </x:c>
      <x:c r="B505" s="31" t="str">
        <x:v>تراکنش‌ها</x:v>
      </x:c>
      <x:c r="C505" s="31" t="str">
        <x:v>J24</x:v>
      </x:c>
      <x:c r="D505" s="31" t="str">
        <x:v>تاییدشده</x:v>
      </x:c>
      <x:c r="E505" s="31"/>
    </x:row>
    <x:row r="506" ht="15" hidden="0" customHeight="1">
      <x:c r="A506" s="31" t="str">
        <x:v>Anjoman accounting - refined.xlsx</x:v>
      </x:c>
      <x:c r="B506" s="31" t="str">
        <x:v>تراکنش‌ها</x:v>
      </x:c>
      <x:c r="C506" s="31" t="str">
        <x:v>K24</x:v>
      </x:c>
      <x:c r="D506" s="31" t="str">
        <x:v>دفتر قبلی</x:v>
      </x:c>
      <x:c r="E506" s="31"/>
    </x:row>
    <x:row r="507" ht="15" hidden="0" customHeight="1">
      <x:c r="A507" s="31" t="str">
        <x:v>Anjoman accounting - refined.xlsx</x:v>
      </x:c>
      <x:c r="B507" s="31" t="str">
        <x:v>تراکنش‌ها</x:v>
      </x:c>
      <x:c r="C507" s="31" t="str">
        <x:v>L24</x:v>
      </x:c>
      <x:c r="D507" s="31" t="str">
        <x:v>LEDGER-MAJMOO-022</x:v>
      </x:c>
      <x:c r="E507" s="31"/>
    </x:row>
    <x:row r="508" ht="15" hidden="0" customHeight="1">
      <x:c r="A508" s="31" t="str">
        <x:v>Anjoman accounting - refined.xlsx</x:v>
      </x:c>
      <x:c r="B508" s="31" t="str">
        <x:v>تراکنش‌ها</x:v>
      </x:c>
      <x:c r="C508" s="31" t="str">
        <x:v>M24</x:v>
      </x:c>
      <x:c r="D508" s="31" t="str">
        <x:v>مبلغ از دفتر قبلی خوانده شد؛ نیازمند تطبیق نهایی با شواهد پرداخت.</x:v>
      </x:c>
      <x:c r="E508" s="31"/>
    </x:row>
    <x:row r="509" ht="15" hidden="0" customHeight="1">
      <x:c r="A509" s="31" t="str">
        <x:v>Anjoman accounting - refined.xlsx</x:v>
      </x:c>
      <x:c r="B509" s="31" t="str">
        <x:v>تراکنش‌ها</x:v>
      </x:c>
      <x:c r="C509" s="31" t="str">
        <x:v>A25</x:v>
      </x:c>
      <x:c r="D509" s="31" t="str">
        <x:v>TX-00022</x:v>
      </x:c>
      <x:c r="E509" s="31"/>
    </x:row>
    <x:row r="510" ht="15" hidden="0" customHeight="1">
      <x:c r="A510" s="31" t="str">
        <x:v>Anjoman accounting - refined.xlsx</x:v>
      </x:c>
      <x:c r="B510" s="31" t="str">
        <x:v>تراکنش‌ها</x:v>
      </x:c>
      <x:c r="C510" s="31" t="str">
        <x:v>B25</x:v>
      </x:c>
      <x:c r="D510" s="31" t="str">
        <x:v>هزینه</x:v>
      </x:c>
      <x:c r="E510" s="31"/>
    </x:row>
    <x:row r="511" ht="15" hidden="0" customHeight="1">
      <x:c r="A511" s="31" t="str">
        <x:v>Anjoman accounting - refined.xlsx</x:v>
      </x:c>
      <x:c r="B511" s="31" t="str">
        <x:v>تراکنش‌ها</x:v>
      </x:c>
      <x:c r="C511" s="31" t="str">
        <x:v>C25</x:v>
      </x:c>
      <x:c r="D511" s="31" t="str">
        <x:v>مهر</x:v>
      </x:c>
      <x:c r="E511" s="31"/>
    </x:row>
    <x:row r="512" ht="15" hidden="0" customHeight="1">
      <x:c r="A512" s="31" t="str">
        <x:v>Anjoman accounting - refined.xlsx</x:v>
      </x:c>
      <x:c r="B512" s="31" t="str">
        <x:v>تراکنش‌ها</x:v>
      </x:c>
      <x:c r="C512" s="31" t="str">
        <x:v>D25</x:v>
      </x:c>
      <x:c r="D512" s="31" t="str">
        <x:v>1052375</x:v>
      </x:c>
      <x:c r="E512" s="31"/>
    </x:row>
    <x:row r="513" ht="15" hidden="0" customHeight="1">
      <x:c r="A513" s="31" t="str">
        <x:v>Anjoman accounting - refined.xlsx</x:v>
      </x:c>
      <x:c r="B513" s="31" t="str">
        <x:v>تراکنش‌ها</x:v>
      </x:c>
      <x:c r="C513" s="31" t="str">
        <x:v>E25</x:v>
      </x:c>
      <x:c r="D513" s="31" t="str">
        <x:v>تومان</x:v>
      </x:c>
      <x:c r="E513" s="31"/>
    </x:row>
    <x:row r="514" ht="15" hidden="0" customHeight="1">
      <x:c r="A514" s="31" t="str">
        <x:v>Anjoman accounting - refined.xlsx</x:v>
      </x:c>
      <x:c r="B514" s="31" t="str">
        <x:v>تراکنش‌ها</x:v>
      </x:c>
      <x:c r="C514" s="31" t="str">
        <x:v>F25</x:v>
      </x:c>
      <x:c r="D514" s="31" t="str">
        <x:v>1052375</x:v>
      </x:c>
      <x:c r="E514" s="31"/>
    </x:row>
    <x:row r="515" ht="15" hidden="0" customHeight="1">
      <x:c r="A515" s="31" t="str">
        <x:v>Anjoman accounting - refined.xlsx</x:v>
      </x:c>
      <x:c r="B515" s="31" t="str">
        <x:v>تراکنش‌ها</x:v>
      </x:c>
      <x:c r="C515" s="31" t="str">
        <x:v>H25</x:v>
      </x:c>
      <x:c r="D515" s="31" t="str">
        <x:v>شیرینی دیدار با اساتید</x:v>
      </x:c>
      <x:c r="E515" s="31"/>
    </x:row>
    <x:row r="516" ht="15" hidden="0" customHeight="1">
      <x:c r="A516" s="31" t="str">
        <x:v>Anjoman accounting - refined.xlsx</x:v>
      </x:c>
      <x:c r="B516" s="31" t="str">
        <x:v>تراکنش‌ها</x:v>
      </x:c>
      <x:c r="C516" s="31" t="str">
        <x:v>I25</x:v>
      </x:c>
      <x:c r="D516" s="31" t="str">
        <x:v>هزینه / عملیاتی</x:v>
      </x:c>
      <x:c r="E516" s="31"/>
    </x:row>
    <x:row r="517" ht="15" hidden="0" customHeight="1">
      <x:c r="A517" s="31" t="str">
        <x:v>Anjoman accounting - refined.xlsx</x:v>
      </x:c>
      <x:c r="B517" s="31" t="str">
        <x:v>تراکنش‌ها</x:v>
      </x:c>
      <x:c r="C517" s="31" t="str">
        <x:v>J25</x:v>
      </x:c>
      <x:c r="D517" s="31" t="str">
        <x:v>تاییدشده</x:v>
      </x:c>
      <x:c r="E517" s="31"/>
    </x:row>
    <x:row r="518" ht="15" hidden="0" customHeight="1">
      <x:c r="A518" s="31" t="str">
        <x:v>Anjoman accounting - refined.xlsx</x:v>
      </x:c>
      <x:c r="B518" s="31" t="str">
        <x:v>تراکنش‌ها</x:v>
      </x:c>
      <x:c r="C518" s="31" t="str">
        <x:v>K25</x:v>
      </x:c>
      <x:c r="D518" s="31" t="str">
        <x:v>دفتر قبلی</x:v>
      </x:c>
      <x:c r="E518" s="31"/>
    </x:row>
    <x:row r="519" ht="15" hidden="0" customHeight="1">
      <x:c r="A519" s="31" t="str">
        <x:v>Anjoman accounting - refined.xlsx</x:v>
      </x:c>
      <x:c r="B519" s="31" t="str">
        <x:v>تراکنش‌ها</x:v>
      </x:c>
      <x:c r="C519" s="31" t="str">
        <x:v>L25</x:v>
      </x:c>
      <x:c r="D519" s="31" t="str">
        <x:v>LEDGER-MAJMOO-023</x:v>
      </x:c>
      <x:c r="E519" s="31"/>
    </x:row>
    <x:row r="520" ht="15" hidden="0" customHeight="1">
      <x:c r="A520" s="31" t="str">
        <x:v>Anjoman accounting - refined.xlsx</x:v>
      </x:c>
      <x:c r="B520" s="31" t="str">
        <x:v>تراکنش‌ها</x:v>
      </x:c>
      <x:c r="C520" s="31" t="str">
        <x:v>M25</x:v>
      </x:c>
      <x:c r="D520" s="31" t="str">
        <x:v>مبلغ از دفتر قبلی خوانده شد؛ نیازمند تطبیق نهایی با شواهد پرداخت.</x:v>
      </x:c>
      <x:c r="E520" s="31"/>
    </x:row>
    <x:row r="521" ht="15" hidden="0" customHeight="1">
      <x:c r="A521" s="31" t="str">
        <x:v>Anjoman accounting - refined.xlsx</x:v>
      </x:c>
      <x:c r="B521" s="31" t="str">
        <x:v>تراکنش‌ها</x:v>
      </x:c>
      <x:c r="C521" s="31" t="str">
        <x:v>A26</x:v>
      </x:c>
      <x:c r="D521" s="31" t="str">
        <x:v>TX-00023</x:v>
      </x:c>
      <x:c r="E521" s="31"/>
    </x:row>
    <x:row r="522" ht="15" hidden="0" customHeight="1">
      <x:c r="A522" s="31" t="str">
        <x:v>Anjoman accounting - refined.xlsx</x:v>
      </x:c>
      <x:c r="B522" s="31" t="str">
        <x:v>تراکنش‌ها</x:v>
      </x:c>
      <x:c r="C522" s="31" t="str">
        <x:v>B26</x:v>
      </x:c>
      <x:c r="D522" s="31" t="str">
        <x:v>درآمد</x:v>
      </x:c>
      <x:c r="E522" s="31"/>
    </x:row>
    <x:row r="523" ht="15" hidden="0" customHeight="1">
      <x:c r="A523" s="31" t="str">
        <x:v>Anjoman accounting - refined.xlsx</x:v>
      </x:c>
      <x:c r="B523" s="31" t="str">
        <x:v>تراکنش‌ها</x:v>
      </x:c>
      <x:c r="C523" s="31" t="str">
        <x:v>C26</x:v>
      </x:c>
      <x:c r="D523" s="31" t="str">
        <x:v>آبان</x:v>
      </x:c>
      <x:c r="E523" s="31"/>
    </x:row>
    <x:row r="524" ht="15" hidden="0" customHeight="1">
      <x:c r="A524" s="31" t="str">
        <x:v>Anjoman accounting - refined.xlsx</x:v>
      </x:c>
      <x:c r="B524" s="31" t="str">
        <x:v>تراکنش‌ها</x:v>
      </x:c>
      <x:c r="C524" s="31" t="str">
        <x:v>D26</x:v>
      </x:c>
      <x:c r="D524" s="31" t="str">
        <x:v>11000000</x:v>
      </x:c>
      <x:c r="E524" s="31"/>
    </x:row>
    <x:row r="525" ht="15" hidden="0" customHeight="1">
      <x:c r="A525" s="31" t="str">
        <x:v>Anjoman accounting - refined.xlsx</x:v>
      </x:c>
      <x:c r="B525" s="31" t="str">
        <x:v>تراکنش‌ها</x:v>
      </x:c>
      <x:c r="C525" s="31" t="str">
        <x:v>E26</x:v>
      </x:c>
      <x:c r="D525" s="31" t="str">
        <x:v>تومان</x:v>
      </x:c>
      <x:c r="E525" s="31"/>
    </x:row>
    <x:row r="526" ht="15" hidden="0" customHeight="1">
      <x:c r="A526" s="31" t="str">
        <x:v>Anjoman accounting - refined.xlsx</x:v>
      </x:c>
      <x:c r="B526" s="31" t="str">
        <x:v>تراکنش‌ها</x:v>
      </x:c>
      <x:c r="C526" s="31" t="str">
        <x:v>F26</x:v>
      </x:c>
      <x:c r="D526" s="31" t="str">
        <x:v>11000000</x:v>
      </x:c>
      <x:c r="E526" s="31"/>
    </x:row>
    <x:row r="527" ht="15" hidden="0" customHeight="1">
      <x:c r="A527" s="31" t="str">
        <x:v>Anjoman accounting - refined.xlsx</x:v>
      </x:c>
      <x:c r="B527" s="31" t="str">
        <x:v>تراکنش‌ها</x:v>
      </x:c>
      <x:c r="C527" s="31" t="str">
        <x:v>G26</x:v>
      </x:c>
      <x:c r="D527" s="31" t="str">
        <x:v>نیما کوهی</x:v>
      </x:c>
      <x:c r="E527" s="31"/>
    </x:row>
    <x:row r="528" ht="15" hidden="0" customHeight="1">
      <x:c r="A528" s="31" t="str">
        <x:v>Anjoman accounting - refined.xlsx</x:v>
      </x:c>
      <x:c r="B528" s="31" t="str">
        <x:v>تراکنش‌ها</x:v>
      </x:c>
      <x:c r="C528" s="31" t="str">
        <x:v>H26</x:v>
      </x:c>
      <x:c r="D528" s="31" t="str">
        <x:v>دریافتی از انجمن سابق</x:v>
      </x:c>
      <x:c r="E528" s="31"/>
    </x:row>
    <x:row r="529" ht="15" hidden="0" customHeight="1">
      <x:c r="A529" s="31" t="str">
        <x:v>Anjoman accounting - refined.xlsx</x:v>
      </x:c>
      <x:c r="B529" s="31" t="str">
        <x:v>تراکنش‌ها</x:v>
      </x:c>
      <x:c r="C529" s="31" t="str">
        <x:v>I26</x:v>
      </x:c>
      <x:c r="D529" s="31" t="str">
        <x:v>درآمد / کمک / رویداد</x:v>
      </x:c>
      <x:c r="E529" s="31"/>
    </x:row>
    <x:row r="530" ht="15" hidden="0" customHeight="1">
      <x:c r="A530" s="31" t="str">
        <x:v>Anjoman accounting - refined.xlsx</x:v>
      </x:c>
      <x:c r="B530" s="31" t="str">
        <x:v>تراکنش‌ها</x:v>
      </x:c>
      <x:c r="C530" s="31" t="str">
        <x:v>J26</x:v>
      </x:c>
      <x:c r="D530" s="31" t="str">
        <x:v>تاییدشده</x:v>
      </x:c>
      <x:c r="E530" s="31"/>
    </x:row>
    <x:row r="531" ht="15" hidden="0" customHeight="1">
      <x:c r="A531" s="31" t="str">
        <x:v>Anjoman accounting - refined.xlsx</x:v>
      </x:c>
      <x:c r="B531" s="31" t="str">
        <x:v>تراکنش‌ها</x:v>
      </x:c>
      <x:c r="C531" s="31" t="str">
        <x:v>K26</x:v>
      </x:c>
      <x:c r="D531" s="31" t="str">
        <x:v>دفتر قبلی</x:v>
      </x:c>
      <x:c r="E531" s="31"/>
    </x:row>
    <x:row r="532" ht="15" hidden="0" customHeight="1">
      <x:c r="A532" s="31" t="str">
        <x:v>Anjoman accounting - refined.xlsx</x:v>
      </x:c>
      <x:c r="B532" s="31" t="str">
        <x:v>تراکنش‌ها</x:v>
      </x:c>
      <x:c r="C532" s="31" t="str">
        <x:v>L26</x:v>
      </x:c>
      <x:c r="D532" s="31" t="str">
        <x:v>LEDGER-MAJMOO-025</x:v>
      </x:c>
      <x:c r="E532" s="31"/>
    </x:row>
    <x:row r="533" ht="15" hidden="0" customHeight="1">
      <x:c r="A533" s="31" t="str">
        <x:v>Anjoman accounting - refined.xlsx</x:v>
      </x:c>
      <x:c r="B533" s="31" t="str">
        <x:v>تراکنش‌ها</x:v>
      </x:c>
      <x:c r="C533" s="31" t="str">
        <x:v>M26</x:v>
      </x:c>
      <x:c r="D533" s="31" t="str">
        <x:v>مبلغ از دفتر قبلی خوانده شد؛ نیازمند تطبیق نهایی با شواهد بانکی/رسید.</x:v>
      </x:c>
      <x:c r="E533" s="31"/>
    </x:row>
    <x:row r="534" ht="15" hidden="0" customHeight="1">
      <x:c r="A534" s="31" t="str">
        <x:v>Anjoman accounting - refined.xlsx</x:v>
      </x:c>
      <x:c r="B534" s="31" t="str">
        <x:v>تراکنش‌ها</x:v>
      </x:c>
      <x:c r="C534" s="31" t="str">
        <x:v>A27</x:v>
      </x:c>
      <x:c r="D534" s="31" t="str">
        <x:v>TX-00024</x:v>
      </x:c>
      <x:c r="E534" s="31"/>
    </x:row>
    <x:row r="535" ht="15" hidden="0" customHeight="1">
      <x:c r="A535" s="31" t="str">
        <x:v>Anjoman accounting - refined.xlsx</x:v>
      </x:c>
      <x:c r="B535" s="31" t="str">
        <x:v>تراکنش‌ها</x:v>
      </x:c>
      <x:c r="C535" s="31" t="str">
        <x:v>B27</x:v>
      </x:c>
      <x:c r="D535" s="31" t="str">
        <x:v>هزینه</x:v>
      </x:c>
      <x:c r="E535" s="31"/>
    </x:row>
    <x:row r="536" ht="15" hidden="0" customHeight="1">
      <x:c r="A536" s="31" t="str">
        <x:v>Anjoman accounting - refined.xlsx</x:v>
      </x:c>
      <x:c r="B536" s="31" t="str">
        <x:v>تراکنش‌ها</x:v>
      </x:c>
      <x:c r="C536" s="31" t="str">
        <x:v>C27</x:v>
      </x:c>
      <x:c r="D536" s="31" t="str">
        <x:v>آبان</x:v>
      </x:c>
      <x:c r="E536" s="31"/>
    </x:row>
    <x:row r="537" ht="15" hidden="0" customHeight="1">
      <x:c r="A537" s="31" t="str">
        <x:v>Anjoman accounting - refined.xlsx</x:v>
      </x:c>
      <x:c r="B537" s="31" t="str">
        <x:v>تراکنش‌ها</x:v>
      </x:c>
      <x:c r="C537" s="31" t="str">
        <x:v>D27</x:v>
      </x:c>
      <x:c r="D537" s="31" t="str">
        <x:v>725000</x:v>
      </x:c>
      <x:c r="E537" s="31"/>
    </x:row>
    <x:row r="538" ht="15" hidden="0" customHeight="1">
      <x:c r="A538" s="31" t="str">
        <x:v>Anjoman accounting - refined.xlsx</x:v>
      </x:c>
      <x:c r="B538" s="31" t="str">
        <x:v>تراکنش‌ها</x:v>
      </x:c>
      <x:c r="C538" s="31" t="str">
        <x:v>E27</x:v>
      </x:c>
      <x:c r="D538" s="31" t="str">
        <x:v>تومان</x:v>
      </x:c>
      <x:c r="E538" s="31"/>
    </x:row>
    <x:row r="539" ht="15" hidden="0" customHeight="1">
      <x:c r="A539" s="31" t="str">
        <x:v>Anjoman accounting - refined.xlsx</x:v>
      </x:c>
      <x:c r="B539" s="31" t="str">
        <x:v>تراکنش‌ها</x:v>
      </x:c>
      <x:c r="C539" s="31" t="str">
        <x:v>F27</x:v>
      </x:c>
      <x:c r="D539" s="31" t="str">
        <x:v>725000</x:v>
      </x:c>
      <x:c r="E539" s="31"/>
    </x:row>
    <x:row r="540" ht="15" hidden="0" customHeight="1">
      <x:c r="A540" s="31" t="str">
        <x:v>Anjoman accounting - refined.xlsx</x:v>
      </x:c>
      <x:c r="B540" s="31" t="str">
        <x:v>تراکنش‌ها</x:v>
      </x:c>
      <x:c r="C540" s="31" t="str">
        <x:v>G27</x:v>
      </x:c>
      <x:c r="D540" s="31" t="str">
        <x:v>نیما کوهی</x:v>
      </x:c>
      <x:c r="E540" s="31"/>
    </x:row>
    <x:row r="541" ht="15" hidden="0" customHeight="1">
      <x:c r="A541" s="31" t="str">
        <x:v>Anjoman accounting - refined.xlsx</x:v>
      </x:c>
      <x:c r="B541" s="31" t="str">
        <x:v>تراکنش‌ها</x:v>
      </x:c>
      <x:c r="C541" s="31" t="str">
        <x:v>H27</x:v>
      </x:c>
      <x:c r="D541" s="31" t="str">
        <x:v>باتری دوربین فیلمبرداری</x:v>
      </x:c>
      <x:c r="E541" s="31"/>
    </x:row>
    <x:row r="542" ht="15" hidden="0" customHeight="1">
      <x:c r="A542" s="31" t="str">
        <x:v>Anjoman accounting - refined.xlsx</x:v>
      </x:c>
      <x:c r="B542" s="31" t="str">
        <x:v>تراکنش‌ها</x:v>
      </x:c>
      <x:c r="C542" s="31" t="str">
        <x:v>I27</x:v>
      </x:c>
      <x:c r="D542" s="31" t="str">
        <x:v>هزینه / عملیاتی</x:v>
      </x:c>
      <x:c r="E542" s="31"/>
    </x:row>
    <x:row r="543" ht="15" hidden="0" customHeight="1">
      <x:c r="A543" s="31" t="str">
        <x:v>Anjoman accounting - refined.xlsx</x:v>
      </x:c>
      <x:c r="B543" s="31" t="str">
        <x:v>تراکنش‌ها</x:v>
      </x:c>
      <x:c r="C543" s="31" t="str">
        <x:v>J27</x:v>
      </x:c>
      <x:c r="D543" s="31" t="str">
        <x:v>تاییدشده</x:v>
      </x:c>
      <x:c r="E543" s="31"/>
    </x:row>
    <x:row r="544" ht="15" hidden="0" customHeight="1">
      <x:c r="A544" s="31" t="str">
        <x:v>Anjoman accounting - refined.xlsx</x:v>
      </x:c>
      <x:c r="B544" s="31" t="str">
        <x:v>تراکنش‌ها</x:v>
      </x:c>
      <x:c r="C544" s="31" t="str">
        <x:v>K27</x:v>
      </x:c>
      <x:c r="D544" s="31" t="str">
        <x:v>دفتر قبلی</x:v>
      </x:c>
      <x:c r="E544" s="31"/>
    </x:row>
    <x:row r="545" ht="15" hidden="0" customHeight="1">
      <x:c r="A545" s="31" t="str">
        <x:v>Anjoman accounting - refined.xlsx</x:v>
      </x:c>
      <x:c r="B545" s="31" t="str">
        <x:v>تراکنش‌ها</x:v>
      </x:c>
      <x:c r="C545" s="31" t="str">
        <x:v>L27</x:v>
      </x:c>
      <x:c r="D545" s="31" t="str">
        <x:v>LEDGER-MAJMOO-025</x:v>
      </x:c>
      <x:c r="E545" s="31"/>
    </x:row>
    <x:row r="546" ht="15" hidden="0" customHeight="1">
      <x:c r="A546" s="31" t="str">
        <x:v>Anjoman accounting - refined.xlsx</x:v>
      </x:c>
      <x:c r="B546" s="31" t="str">
        <x:v>تراکنش‌ها</x:v>
      </x:c>
      <x:c r="C546" s="31" t="str">
        <x:v>M27</x:v>
      </x:c>
      <x:c r="D546" s="31" t="str">
        <x:v>مبلغ از دفتر قبلی خوانده شد؛ نیازمند تطبیق نهایی با شواهد پرداخت.</x:v>
      </x:c>
      <x:c r="E546" s="31"/>
    </x:row>
    <x:row r="547" ht="15" hidden="0" customHeight="1">
      <x:c r="A547" s="31" t="str">
        <x:v>Anjoman accounting - refined.xlsx</x:v>
      </x:c>
      <x:c r="B547" s="31" t="str">
        <x:v>تراکنش‌ها</x:v>
      </x:c>
      <x:c r="C547" s="31" t="str">
        <x:v>A28</x:v>
      </x:c>
      <x:c r="D547" s="31" t="str">
        <x:v>TX-00025</x:v>
      </x:c>
      <x:c r="E547" s="31"/>
    </x:row>
    <x:row r="548" ht="15" hidden="0" customHeight="1">
      <x:c r="A548" s="31" t="str">
        <x:v>Anjoman accounting - refined.xlsx</x:v>
      </x:c>
      <x:c r="B548" s="31" t="str">
        <x:v>تراکنش‌ها</x:v>
      </x:c>
      <x:c r="C548" s="31" t="str">
        <x:v>B28</x:v>
      </x:c>
      <x:c r="D548" s="31" t="str">
        <x:v>هزینه</x:v>
      </x:c>
      <x:c r="E548" s="31"/>
    </x:row>
    <x:row r="549" ht="15" hidden="0" customHeight="1">
      <x:c r="A549" s="31" t="str">
        <x:v>Anjoman accounting - refined.xlsx</x:v>
      </x:c>
      <x:c r="B549" s="31" t="str">
        <x:v>تراکنش‌ها</x:v>
      </x:c>
      <x:c r="C549" s="31" t="str">
        <x:v>C28</x:v>
      </x:c>
      <x:c r="D549" s="31" t="str">
        <x:v>آبان</x:v>
      </x:c>
      <x:c r="E549" s="31"/>
    </x:row>
    <x:row r="550" ht="15" hidden="0" customHeight="1">
      <x:c r="A550" s="31" t="str">
        <x:v>Anjoman accounting - refined.xlsx</x:v>
      </x:c>
      <x:c r="B550" s="31" t="str">
        <x:v>تراکنش‌ها</x:v>
      </x:c>
      <x:c r="C550" s="31" t="str">
        <x:v>D28</x:v>
      </x:c>
      <x:c r="D550" s="31" t="str">
        <x:v>120000</x:v>
      </x:c>
      <x:c r="E550" s="31"/>
    </x:row>
    <x:row r="551" ht="15" hidden="0" customHeight="1">
      <x:c r="A551" s="31" t="str">
        <x:v>Anjoman accounting - refined.xlsx</x:v>
      </x:c>
      <x:c r="B551" s="31" t="str">
        <x:v>تراکنش‌ها</x:v>
      </x:c>
      <x:c r="C551" s="31" t="str">
        <x:v>E28</x:v>
      </x:c>
      <x:c r="D551" s="31" t="str">
        <x:v>تومان</x:v>
      </x:c>
      <x:c r="E551" s="31"/>
    </x:row>
    <x:row r="552" ht="15" hidden="0" customHeight="1">
      <x:c r="A552" s="31" t="str">
        <x:v>Anjoman accounting - refined.xlsx</x:v>
      </x:c>
      <x:c r="B552" s="31" t="str">
        <x:v>تراکنش‌ها</x:v>
      </x:c>
      <x:c r="C552" s="31" t="str">
        <x:v>F28</x:v>
      </x:c>
      <x:c r="D552" s="31" t="str">
        <x:v>120000</x:v>
      </x:c>
      <x:c r="E552" s="31"/>
    </x:row>
    <x:row r="553" ht="15" hidden="0" customHeight="1">
      <x:c r="A553" s="31" t="str">
        <x:v>Anjoman accounting - refined.xlsx</x:v>
      </x:c>
      <x:c r="B553" s="31" t="str">
        <x:v>تراکنش‌ها</x:v>
      </x:c>
      <x:c r="C553" s="31" t="str">
        <x:v>G28</x:v>
      </x:c>
      <x:c r="D553" s="31" t="str">
        <x:v>اردوان شهبازی</x:v>
      </x:c>
      <x:c r="E553" s="31"/>
    </x:row>
    <x:row r="554" ht="15" hidden="0" customHeight="1">
      <x:c r="A554" s="31" t="str">
        <x:v>Anjoman accounting - refined.xlsx</x:v>
      </x:c>
      <x:c r="B554" s="31" t="str">
        <x:v>تراکنش‌ها</x:v>
      </x:c>
      <x:c r="C554" s="31" t="str">
        <x:v>H28</x:v>
      </x:c>
      <x:c r="D554" s="31" t="str">
        <x:v>خرید چسب بادکنک برای جشن ورودی</x:v>
      </x:c>
      <x:c r="E554" s="31"/>
    </x:row>
    <x:row r="555" ht="15" hidden="0" customHeight="1">
      <x:c r="A555" s="31" t="str">
        <x:v>Anjoman accounting - refined.xlsx</x:v>
      </x:c>
      <x:c r="B555" s="31" t="str">
        <x:v>تراکنش‌ها</x:v>
      </x:c>
      <x:c r="C555" s="31" t="str">
        <x:v>I28</x:v>
      </x:c>
      <x:c r="D555" s="31" t="str">
        <x:v>هزینه / عملیاتی</x:v>
      </x:c>
      <x:c r="E555" s="31"/>
    </x:row>
    <x:row r="556" ht="15" hidden="0" customHeight="1">
      <x:c r="A556" s="31" t="str">
        <x:v>Anjoman accounting - refined.xlsx</x:v>
      </x:c>
      <x:c r="B556" s="31" t="str">
        <x:v>تراکنش‌ها</x:v>
      </x:c>
      <x:c r="C556" s="31" t="str">
        <x:v>J28</x:v>
      </x:c>
      <x:c r="D556" s="31" t="str">
        <x:v>تاییدشده</x:v>
      </x:c>
      <x:c r="E556" s="31"/>
    </x:row>
    <x:row r="557" ht="15" hidden="0" customHeight="1">
      <x:c r="A557" s="31" t="str">
        <x:v>Anjoman accounting - refined.xlsx</x:v>
      </x:c>
      <x:c r="B557" s="31" t="str">
        <x:v>تراکنش‌ها</x:v>
      </x:c>
      <x:c r="C557" s="31" t="str">
        <x:v>K28</x:v>
      </x:c>
      <x:c r="D557" s="31" t="str">
        <x:v>دفتر قبلی</x:v>
      </x:c>
      <x:c r="E557" s="31"/>
    </x:row>
    <x:row r="558" ht="15" hidden="0" customHeight="1">
      <x:c r="A558" s="31" t="str">
        <x:v>Anjoman accounting - refined.xlsx</x:v>
      </x:c>
      <x:c r="B558" s="31" t="str">
        <x:v>تراکنش‌ها</x:v>
      </x:c>
      <x:c r="C558" s="31" t="str">
        <x:v>L28</x:v>
      </x:c>
      <x:c r="D558" s="31" t="str">
        <x:v>LEDGER-MAJMOO-026</x:v>
      </x:c>
      <x:c r="E558" s="31"/>
    </x:row>
    <x:row r="559" ht="15" hidden="0" customHeight="1">
      <x:c r="A559" s="31" t="str">
        <x:v>Anjoman accounting - refined.xlsx</x:v>
      </x:c>
      <x:c r="B559" s="31" t="str">
        <x:v>تراکنش‌ها</x:v>
      </x:c>
      <x:c r="C559" s="31" t="str">
        <x:v>M28</x:v>
      </x:c>
      <x:c r="D559" s="31" t="str">
        <x:v>مبلغ از دفتر قبلی خوانده شد؛ نیازمند تطبیق نهایی با شواهد پرداخت.</x:v>
      </x:c>
      <x:c r="E559" s="31"/>
    </x:row>
    <x:row r="560" ht="15" hidden="0" customHeight="1">
      <x:c r="A560" s="31" t="str">
        <x:v>Anjoman accounting - refined.xlsx</x:v>
      </x:c>
      <x:c r="B560" s="31" t="str">
        <x:v>تراکنش‌ها</x:v>
      </x:c>
      <x:c r="C560" s="31" t="str">
        <x:v>A29</x:v>
      </x:c>
      <x:c r="D560" s="31" t="str">
        <x:v>TX-00026</x:v>
      </x:c>
      <x:c r="E560" s="31"/>
    </x:row>
    <x:row r="561" ht="15" hidden="0" customHeight="1">
      <x:c r="A561" s="31" t="str">
        <x:v>Anjoman accounting - refined.xlsx</x:v>
      </x:c>
      <x:c r="B561" s="31" t="str">
        <x:v>تراکنش‌ها</x:v>
      </x:c>
      <x:c r="C561" s="31" t="str">
        <x:v>B29</x:v>
      </x:c>
      <x:c r="D561" s="31" t="str">
        <x:v>هزینه</x:v>
      </x:c>
      <x:c r="E561" s="31"/>
    </x:row>
    <x:row r="562" ht="15" hidden="0" customHeight="1">
      <x:c r="A562" s="31" t="str">
        <x:v>Anjoman accounting - refined.xlsx</x:v>
      </x:c>
      <x:c r="B562" s="31" t="str">
        <x:v>تراکنش‌ها</x:v>
      </x:c>
      <x:c r="C562" s="31" t="str">
        <x:v>C29</x:v>
      </x:c>
      <x:c r="D562" s="31" t="str">
        <x:v>آبان</x:v>
      </x:c>
      <x:c r="E562" s="31"/>
    </x:row>
    <x:row r="563" ht="15" hidden="0" customHeight="1">
      <x:c r="A563" s="31" t="str">
        <x:v>Anjoman accounting - refined.xlsx</x:v>
      </x:c>
      <x:c r="B563" s="31" t="str">
        <x:v>تراکنش‌ها</x:v>
      </x:c>
      <x:c r="C563" s="31" t="str">
        <x:v>D29</x:v>
      </x:c>
      <x:c r="D563" s="31" t="str">
        <x:v>1310000</x:v>
      </x:c>
      <x:c r="E563" s="31"/>
    </x:row>
    <x:row r="564" ht="15" hidden="0" customHeight="1">
      <x:c r="A564" s="31" t="str">
        <x:v>Anjoman accounting - refined.xlsx</x:v>
      </x:c>
      <x:c r="B564" s="31" t="str">
        <x:v>تراکنش‌ها</x:v>
      </x:c>
      <x:c r="C564" s="31" t="str">
        <x:v>E29</x:v>
      </x:c>
      <x:c r="D564" s="31" t="str">
        <x:v>تومان</x:v>
      </x:c>
      <x:c r="E564" s="31"/>
    </x:row>
    <x:row r="565" ht="15" hidden="0" customHeight="1">
      <x:c r="A565" s="31" t="str">
        <x:v>Anjoman accounting - refined.xlsx</x:v>
      </x:c>
      <x:c r="B565" s="31" t="str">
        <x:v>تراکنش‌ها</x:v>
      </x:c>
      <x:c r="C565" s="31" t="str">
        <x:v>F29</x:v>
      </x:c>
      <x:c r="D565" s="31" t="str">
        <x:v>1310000</x:v>
      </x:c>
      <x:c r="E565" s="31"/>
    </x:row>
    <x:row r="566" ht="15" hidden="0" customHeight="1">
      <x:c r="A566" s="31" t="str">
        <x:v>Anjoman accounting - refined.xlsx</x:v>
      </x:c>
      <x:c r="B566" s="31" t="str">
        <x:v>تراکنش‌ها</x:v>
      </x:c>
      <x:c r="C566" s="31" t="str">
        <x:v>G29</x:v>
      </x:c>
      <x:c r="D566" s="31" t="str">
        <x:v>راحله مختاری</x:v>
      </x:c>
      <x:c r="E566" s="31"/>
    </x:row>
    <x:row r="567" ht="15" hidden="0" customHeight="1">
      <x:c r="A567" s="31" t="str">
        <x:v>Anjoman accounting - refined.xlsx</x:v>
      </x:c>
      <x:c r="B567" s="31" t="str">
        <x:v>تراکنش‌ها</x:v>
      </x:c>
      <x:c r="C567" s="31" t="str">
        <x:v>H29</x:v>
      </x:c>
      <x:c r="D567" s="31" t="str">
        <x:v>تزئینات جشن ورودی</x:v>
      </x:c>
      <x:c r="E567" s="31"/>
    </x:row>
    <x:row r="568" ht="15" hidden="0" customHeight="1">
      <x:c r="A568" s="31" t="str">
        <x:v>Anjoman accounting - refined.xlsx</x:v>
      </x:c>
      <x:c r="B568" s="31" t="str">
        <x:v>تراکنش‌ها</x:v>
      </x:c>
      <x:c r="C568" s="31" t="str">
        <x:v>I29</x:v>
      </x:c>
      <x:c r="D568" s="31" t="str">
        <x:v>هزینه / عملیاتی</x:v>
      </x:c>
      <x:c r="E568" s="31"/>
    </x:row>
    <x:row r="569" ht="15" hidden="0" customHeight="1">
      <x:c r="A569" s="31" t="str">
        <x:v>Anjoman accounting - refined.xlsx</x:v>
      </x:c>
      <x:c r="B569" s="31" t="str">
        <x:v>تراکنش‌ها</x:v>
      </x:c>
      <x:c r="C569" s="31" t="str">
        <x:v>J29</x:v>
      </x:c>
      <x:c r="D569" s="31" t="str">
        <x:v>تاییدشده</x:v>
      </x:c>
      <x:c r="E569" s="31"/>
    </x:row>
    <x:row r="570" ht="15" hidden="0" customHeight="1">
      <x:c r="A570" s="31" t="str">
        <x:v>Anjoman accounting - refined.xlsx</x:v>
      </x:c>
      <x:c r="B570" s="31" t="str">
        <x:v>تراکنش‌ها</x:v>
      </x:c>
      <x:c r="C570" s="31" t="str">
        <x:v>K29</x:v>
      </x:c>
      <x:c r="D570" s="31" t="str">
        <x:v>دفتر قبلی</x:v>
      </x:c>
      <x:c r="E570" s="31"/>
    </x:row>
    <x:row r="571" ht="15" hidden="0" customHeight="1">
      <x:c r="A571" s="31" t="str">
        <x:v>Anjoman accounting - refined.xlsx</x:v>
      </x:c>
      <x:c r="B571" s="31" t="str">
        <x:v>تراکنش‌ها</x:v>
      </x:c>
      <x:c r="C571" s="31" t="str">
        <x:v>L29</x:v>
      </x:c>
      <x:c r="D571" s="31" t="str">
        <x:v>LEDGER-MAJMOO-027</x:v>
      </x:c>
      <x:c r="E571" s="31"/>
    </x:row>
    <x:row r="572" ht="15" hidden="0" customHeight="1">
      <x:c r="A572" s="31" t="str">
        <x:v>Anjoman accounting - refined.xlsx</x:v>
      </x:c>
      <x:c r="B572" s="31" t="str">
        <x:v>تراکنش‌ها</x:v>
      </x:c>
      <x:c r="C572" s="31" t="str">
        <x:v>M29</x:v>
      </x:c>
      <x:c r="D572" s="31" t="str">
        <x:v>مبلغ از دفتر قبلی خوانده شد؛ نیازمند تطبیق نهایی با شواهد پرداخت.</x:v>
      </x:c>
      <x:c r="E572" s="31"/>
    </x:row>
    <x:row r="573" ht="15" hidden="0" customHeight="1">
      <x:c r="A573" s="31" t="str">
        <x:v>Anjoman accounting - refined.xlsx</x:v>
      </x:c>
      <x:c r="B573" s="31" t="str">
        <x:v>تراکنش‌ها</x:v>
      </x:c>
      <x:c r="C573" s="31" t="str">
        <x:v>A30</x:v>
      </x:c>
      <x:c r="D573" s="31" t="str">
        <x:v>TX-00027</x:v>
      </x:c>
      <x:c r="E573" s="31"/>
    </x:row>
    <x:row r="574" ht="15" hidden="0" customHeight="1">
      <x:c r="A574" s="31" t="str">
        <x:v>Anjoman accounting - refined.xlsx</x:v>
      </x:c>
      <x:c r="B574" s="31" t="str">
        <x:v>تراکنش‌ها</x:v>
      </x:c>
      <x:c r="C574" s="31" t="str">
        <x:v>B30</x:v>
      </x:c>
      <x:c r="D574" s="31" t="str">
        <x:v>هزینه</x:v>
      </x:c>
      <x:c r="E574" s="31"/>
    </x:row>
    <x:row r="575" ht="15" hidden="0" customHeight="1">
      <x:c r="A575" s="31" t="str">
        <x:v>Anjoman accounting - refined.xlsx</x:v>
      </x:c>
      <x:c r="B575" s="31" t="str">
        <x:v>تراکنش‌ها</x:v>
      </x:c>
      <x:c r="C575" s="31" t="str">
        <x:v>C30</x:v>
      </x:c>
      <x:c r="D575" s="31" t="str">
        <x:v>آبان</x:v>
      </x:c>
      <x:c r="E575" s="31"/>
    </x:row>
    <x:row r="576" ht="15" hidden="0" customHeight="1">
      <x:c r="A576" s="31" t="str">
        <x:v>Anjoman accounting - refined.xlsx</x:v>
      </x:c>
      <x:c r="B576" s="31" t="str">
        <x:v>تراکنش‌ها</x:v>
      </x:c>
      <x:c r="C576" s="31" t="str">
        <x:v>D30</x:v>
      </x:c>
      <x:c r="D576" s="31" t="str">
        <x:v>4344000</x:v>
      </x:c>
      <x:c r="E576" s="31"/>
    </x:row>
    <x:row r="577" ht="15" hidden="0" customHeight="1">
      <x:c r="A577" s="31" t="str">
        <x:v>Anjoman accounting - refined.xlsx</x:v>
      </x:c>
      <x:c r="B577" s="31" t="str">
        <x:v>تراکنش‌ها</x:v>
      </x:c>
      <x:c r="C577" s="31" t="str">
        <x:v>E30</x:v>
      </x:c>
      <x:c r="D577" s="31" t="str">
        <x:v>تومان</x:v>
      </x:c>
      <x:c r="E577" s="31"/>
    </x:row>
    <x:row r="578" ht="15" hidden="0" customHeight="1">
      <x:c r="A578" s="31" t="str">
        <x:v>Anjoman accounting - refined.xlsx</x:v>
      </x:c>
      <x:c r="B578" s="31" t="str">
        <x:v>تراکنش‌ها</x:v>
      </x:c>
      <x:c r="C578" s="31" t="str">
        <x:v>F30</x:v>
      </x:c>
      <x:c r="D578" s="31" t="str">
        <x:v>4344000</x:v>
      </x:c>
      <x:c r="E578" s="31"/>
    </x:row>
    <x:row r="579" ht="15" hidden="0" customHeight="1">
      <x:c r="A579" s="31" t="str">
        <x:v>Anjoman accounting - refined.xlsx</x:v>
      </x:c>
      <x:c r="B579" s="31" t="str">
        <x:v>تراکنش‌ها</x:v>
      </x:c>
      <x:c r="C579" s="31" t="str">
        <x:v>H30</x:v>
      </x:c>
      <x:c r="D579" s="31" t="str">
        <x:v>جایزه های جشن ورودی</x:v>
      </x:c>
      <x:c r="E579" s="31"/>
    </x:row>
    <x:row r="580" ht="15" hidden="0" customHeight="1">
      <x:c r="A580" s="31" t="str">
        <x:v>Anjoman accounting - refined.xlsx</x:v>
      </x:c>
      <x:c r="B580" s="31" t="str">
        <x:v>تراکنش‌ها</x:v>
      </x:c>
      <x:c r="C580" s="31" t="str">
        <x:v>I30</x:v>
      </x:c>
      <x:c r="D580" s="31" t="str">
        <x:v>هزینه / عملیاتی</x:v>
      </x:c>
      <x:c r="E580" s="31"/>
    </x:row>
    <x:row r="581" ht="15" hidden="0" customHeight="1">
      <x:c r="A581" s="31" t="str">
        <x:v>Anjoman accounting - refined.xlsx</x:v>
      </x:c>
      <x:c r="B581" s="31" t="str">
        <x:v>تراکنش‌ها</x:v>
      </x:c>
      <x:c r="C581" s="31" t="str">
        <x:v>J30</x:v>
      </x:c>
      <x:c r="D581" s="31" t="str">
        <x:v>تاییدشده</x:v>
      </x:c>
      <x:c r="E581" s="31"/>
    </x:row>
    <x:row r="582" ht="15" hidden="0" customHeight="1">
      <x:c r="A582" s="31" t="str">
        <x:v>Anjoman accounting - refined.xlsx</x:v>
      </x:c>
      <x:c r="B582" s="31" t="str">
        <x:v>تراکنش‌ها</x:v>
      </x:c>
      <x:c r="C582" s="31" t="str">
        <x:v>K30</x:v>
      </x:c>
      <x:c r="D582" s="31" t="str">
        <x:v>دفتر قبلی</x:v>
      </x:c>
      <x:c r="E582" s="31"/>
    </x:row>
    <x:row r="583" ht="15" hidden="0" customHeight="1">
      <x:c r="A583" s="31" t="str">
        <x:v>Anjoman accounting - refined.xlsx</x:v>
      </x:c>
      <x:c r="B583" s="31" t="str">
        <x:v>تراکنش‌ها</x:v>
      </x:c>
      <x:c r="C583" s="31" t="str">
        <x:v>L30</x:v>
      </x:c>
      <x:c r="D583" s="31" t="str">
        <x:v>LEDGER-MAJMOO-028</x:v>
      </x:c>
      <x:c r="E583" s="31"/>
    </x:row>
    <x:row r="584" ht="15" hidden="0" customHeight="1">
      <x:c r="A584" s="31" t="str">
        <x:v>Anjoman accounting - refined.xlsx</x:v>
      </x:c>
      <x:c r="B584" s="31" t="str">
        <x:v>تراکنش‌ها</x:v>
      </x:c>
      <x:c r="C584" s="31" t="str">
        <x:v>M30</x:v>
      </x:c>
      <x:c r="D584" s="31" t="str">
        <x:v>مبلغ از دفتر قبلی خوانده شد؛ نیازمند تطبیق نهایی با شواهد پرداخت.</x:v>
      </x:c>
      <x:c r="E584" s="31"/>
    </x:row>
    <x:row r="585" ht="15" hidden="0" customHeight="1">
      <x:c r="A585" s="31" t="str">
        <x:v>Anjoman accounting - refined.xlsx</x:v>
      </x:c>
      <x:c r="B585" s="31" t="str">
        <x:v>تراکنش‌ها</x:v>
      </x:c>
      <x:c r="C585" s="31" t="str">
        <x:v>A31</x:v>
      </x:c>
      <x:c r="D585" s="31" t="str">
        <x:v>TX-00028</x:v>
      </x:c>
      <x:c r="E585" s="31"/>
    </x:row>
    <x:row r="586" ht="15" hidden="0" customHeight="1">
      <x:c r="A586" s="31" t="str">
        <x:v>Anjoman accounting - refined.xlsx</x:v>
      </x:c>
      <x:c r="B586" s="31" t="str">
        <x:v>تراکنش‌ها</x:v>
      </x:c>
      <x:c r="C586" s="31" t="str">
        <x:v>B31</x:v>
      </x:c>
      <x:c r="D586" s="31" t="str">
        <x:v>هزینه</x:v>
      </x:c>
      <x:c r="E586" s="31"/>
    </x:row>
    <x:row r="587" ht="15" hidden="0" customHeight="1">
      <x:c r="A587" s="31" t="str">
        <x:v>Anjoman accounting - refined.xlsx</x:v>
      </x:c>
      <x:c r="B587" s="31" t="str">
        <x:v>تراکنش‌ها</x:v>
      </x:c>
      <x:c r="C587" s="31" t="str">
        <x:v>C31</x:v>
      </x:c>
      <x:c r="D587" s="31" t="str">
        <x:v>آبان</x:v>
      </x:c>
      <x:c r="E587" s="31"/>
    </x:row>
    <x:row r="588" ht="15" hidden="0" customHeight="1">
      <x:c r="A588" s="31" t="str">
        <x:v>Anjoman accounting - refined.xlsx</x:v>
      </x:c>
      <x:c r="B588" s="31" t="str">
        <x:v>تراکنش‌ها</x:v>
      </x:c>
      <x:c r="C588" s="31" t="str">
        <x:v>D31</x:v>
      </x:c>
      <x:c r="D588" s="31" t="str">
        <x:v>300000</x:v>
      </x:c>
      <x:c r="E588" s="31"/>
    </x:row>
    <x:row r="589" ht="15" hidden="0" customHeight="1">
      <x:c r="A589" s="31" t="str">
        <x:v>Anjoman accounting - refined.xlsx</x:v>
      </x:c>
      <x:c r="B589" s="31" t="str">
        <x:v>تراکنش‌ها</x:v>
      </x:c>
      <x:c r="C589" s="31" t="str">
        <x:v>E31</x:v>
      </x:c>
      <x:c r="D589" s="31" t="str">
        <x:v>تومان</x:v>
      </x:c>
      <x:c r="E589" s="31"/>
    </x:row>
    <x:row r="590" ht="15" hidden="0" customHeight="1">
      <x:c r="A590" s="31" t="str">
        <x:v>Anjoman accounting - refined.xlsx</x:v>
      </x:c>
      <x:c r="B590" s="31" t="str">
        <x:v>تراکنش‌ها</x:v>
      </x:c>
      <x:c r="C590" s="31" t="str">
        <x:v>F31</x:v>
      </x:c>
      <x:c r="D590" s="31" t="str">
        <x:v>300000</x:v>
      </x:c>
      <x:c r="E590" s="31"/>
    </x:row>
    <x:row r="591" ht="15" hidden="0" customHeight="1">
      <x:c r="A591" s="31" t="str">
        <x:v>Anjoman accounting - refined.xlsx</x:v>
      </x:c>
      <x:c r="B591" s="31" t="str">
        <x:v>تراکنش‌ها</x:v>
      </x:c>
      <x:c r="C591" s="31" t="str">
        <x:v>H31</x:v>
      </x:c>
      <x:c r="D591" s="31" t="str">
        <x:v>شاباش نقدی برای جشن ورودی</x:v>
      </x:c>
      <x:c r="E591" s="31"/>
    </x:row>
    <x:row r="592" ht="15" hidden="0" customHeight="1">
      <x:c r="A592" s="31" t="str">
        <x:v>Anjoman accounting - refined.xlsx</x:v>
      </x:c>
      <x:c r="B592" s="31" t="str">
        <x:v>تراکنش‌ها</x:v>
      </x:c>
      <x:c r="C592" s="31" t="str">
        <x:v>I31</x:v>
      </x:c>
      <x:c r="D592" s="31" t="str">
        <x:v>هزینه / عملیاتی</x:v>
      </x:c>
      <x:c r="E592" s="31"/>
    </x:row>
    <x:row r="593" ht="15" hidden="0" customHeight="1">
      <x:c r="A593" s="31" t="str">
        <x:v>Anjoman accounting - refined.xlsx</x:v>
      </x:c>
      <x:c r="B593" s="31" t="str">
        <x:v>تراکنش‌ها</x:v>
      </x:c>
      <x:c r="C593" s="31" t="str">
        <x:v>J31</x:v>
      </x:c>
      <x:c r="D593" s="31" t="str">
        <x:v>تاییدشده</x:v>
      </x:c>
      <x:c r="E593" s="31"/>
    </x:row>
    <x:row r="594" ht="15" hidden="0" customHeight="1">
      <x:c r="A594" s="31" t="str">
        <x:v>Anjoman accounting - refined.xlsx</x:v>
      </x:c>
      <x:c r="B594" s="31" t="str">
        <x:v>تراکنش‌ها</x:v>
      </x:c>
      <x:c r="C594" s="31" t="str">
        <x:v>K31</x:v>
      </x:c>
      <x:c r="D594" s="31" t="str">
        <x:v>دفتر قبلی</x:v>
      </x:c>
      <x:c r="E594" s="31"/>
    </x:row>
    <x:row r="595" ht="15" hidden="0" customHeight="1">
      <x:c r="A595" s="31" t="str">
        <x:v>Anjoman accounting - refined.xlsx</x:v>
      </x:c>
      <x:c r="B595" s="31" t="str">
        <x:v>تراکنش‌ها</x:v>
      </x:c>
      <x:c r="C595" s="31" t="str">
        <x:v>L31</x:v>
      </x:c>
      <x:c r="D595" s="31" t="str">
        <x:v>LEDGER-MAJMOO-029</x:v>
      </x:c>
      <x:c r="E595" s="31"/>
    </x:row>
    <x:row r="596" ht="15" hidden="0" customHeight="1">
      <x:c r="A596" s="31" t="str">
        <x:v>Anjoman accounting - refined.xlsx</x:v>
      </x:c>
      <x:c r="B596" s="31" t="str">
        <x:v>تراکنش‌ها</x:v>
      </x:c>
      <x:c r="C596" s="31" t="str">
        <x:v>M31</x:v>
      </x:c>
      <x:c r="D596" s="31" t="str">
        <x:v>مبلغ از دفتر قبلی خوانده شد؛ نیازمند تطبیق نهایی با شواهد پرداخت.</x:v>
      </x:c>
      <x:c r="E596" s="31"/>
    </x:row>
    <x:row r="597" ht="15" hidden="0" customHeight="1">
      <x:c r="A597" s="31" t="str">
        <x:v>Anjoman accounting - refined.xlsx</x:v>
      </x:c>
      <x:c r="B597" s="31" t="str">
        <x:v>تراکنش‌ها</x:v>
      </x:c>
      <x:c r="C597" s="31" t="str">
        <x:v>A32</x:v>
      </x:c>
      <x:c r="D597" s="31" t="str">
        <x:v>TX-00029</x:v>
      </x:c>
      <x:c r="E597" s="31"/>
    </x:row>
    <x:row r="598" ht="15" hidden="0" customHeight="1">
      <x:c r="A598" s="31" t="str">
        <x:v>Anjoman accounting - refined.xlsx</x:v>
      </x:c>
      <x:c r="B598" s="31" t="str">
        <x:v>تراکنش‌ها</x:v>
      </x:c>
      <x:c r="C598" s="31" t="str">
        <x:v>B32</x:v>
      </x:c>
      <x:c r="D598" s="31" t="str">
        <x:v>هزینه</x:v>
      </x:c>
      <x:c r="E598" s="31"/>
    </x:row>
    <x:row r="599" ht="15" hidden="0" customHeight="1">
      <x:c r="A599" s="31" t="str">
        <x:v>Anjoman accounting - refined.xlsx</x:v>
      </x:c>
      <x:c r="B599" s="31" t="str">
        <x:v>تراکنش‌ها</x:v>
      </x:c>
      <x:c r="C599" s="31" t="str">
        <x:v>C32</x:v>
      </x:c>
      <x:c r="D599" s="31" t="str">
        <x:v>آبان</x:v>
      </x:c>
      <x:c r="E599" s="31"/>
    </x:row>
    <x:row r="600" ht="15" hidden="0" customHeight="1">
      <x:c r="A600" s="31" t="str">
        <x:v>Anjoman accounting - refined.xlsx</x:v>
      </x:c>
      <x:c r="B600" s="31" t="str">
        <x:v>تراکنش‌ها</x:v>
      </x:c>
      <x:c r="C600" s="31" t="str">
        <x:v>D32</x:v>
      </x:c>
      <x:c r="D600" s="31" t="str">
        <x:v>70000</x:v>
      </x:c>
      <x:c r="E600" s="31"/>
    </x:row>
    <x:row r="601" ht="15" hidden="0" customHeight="1">
      <x:c r="A601" s="31" t="str">
        <x:v>Anjoman accounting - refined.xlsx</x:v>
      </x:c>
      <x:c r="B601" s="31" t="str">
        <x:v>تراکنش‌ها</x:v>
      </x:c>
      <x:c r="C601" s="31" t="str">
        <x:v>E32</x:v>
      </x:c>
      <x:c r="D601" s="31" t="str">
        <x:v>تومان</x:v>
      </x:c>
      <x:c r="E601" s="31"/>
    </x:row>
    <x:row r="602" ht="15" hidden="0" customHeight="1">
      <x:c r="A602" s="31" t="str">
        <x:v>Anjoman accounting - refined.xlsx</x:v>
      </x:c>
      <x:c r="B602" s="31" t="str">
        <x:v>تراکنش‌ها</x:v>
      </x:c>
      <x:c r="C602" s="31" t="str">
        <x:v>F32</x:v>
      </x:c>
      <x:c r="D602" s="31" t="str">
        <x:v>70000</x:v>
      </x:c>
      <x:c r="E602" s="31"/>
    </x:row>
    <x:row r="603" ht="15" hidden="0" customHeight="1">
      <x:c r="A603" s="31" t="str">
        <x:v>Anjoman accounting - refined.xlsx</x:v>
      </x:c>
      <x:c r="B603" s="31" t="str">
        <x:v>تراکنش‌ها</x:v>
      </x:c>
      <x:c r="C603" s="31" t="str">
        <x:v>H32</x:v>
      </x:c>
      <x:c r="D603" s="31" t="str">
        <x:v>دستمال برای اتاق انجمن</x:v>
      </x:c>
      <x:c r="E603" s="31"/>
    </x:row>
    <x:row r="604" ht="15" hidden="0" customHeight="1">
      <x:c r="A604" s="31" t="str">
        <x:v>Anjoman accounting - refined.xlsx</x:v>
      </x:c>
      <x:c r="B604" s="31" t="str">
        <x:v>تراکنش‌ها</x:v>
      </x:c>
      <x:c r="C604" s="31" t="str">
        <x:v>I32</x:v>
      </x:c>
      <x:c r="D604" s="31" t="str">
        <x:v>هزینه / عملیاتی</x:v>
      </x:c>
      <x:c r="E604" s="31"/>
    </x:row>
    <x:row r="605" ht="15" hidden="0" customHeight="1">
      <x:c r="A605" s="31" t="str">
        <x:v>Anjoman accounting - refined.xlsx</x:v>
      </x:c>
      <x:c r="B605" s="31" t="str">
        <x:v>تراکنش‌ها</x:v>
      </x:c>
      <x:c r="C605" s="31" t="str">
        <x:v>J32</x:v>
      </x:c>
      <x:c r="D605" s="31" t="str">
        <x:v>تاییدشده</x:v>
      </x:c>
      <x:c r="E605" s="31"/>
    </x:row>
    <x:row r="606" ht="15" hidden="0" customHeight="1">
      <x:c r="A606" s="31" t="str">
        <x:v>Anjoman accounting - refined.xlsx</x:v>
      </x:c>
      <x:c r="B606" s="31" t="str">
        <x:v>تراکنش‌ها</x:v>
      </x:c>
      <x:c r="C606" s="31" t="str">
        <x:v>K32</x:v>
      </x:c>
      <x:c r="D606" s="31" t="str">
        <x:v>دفتر قبلی</x:v>
      </x:c>
      <x:c r="E606" s="31"/>
    </x:row>
    <x:row r="607" ht="15" hidden="0" customHeight="1">
      <x:c r="A607" s="31" t="str">
        <x:v>Anjoman accounting - refined.xlsx</x:v>
      </x:c>
      <x:c r="B607" s="31" t="str">
        <x:v>تراکنش‌ها</x:v>
      </x:c>
      <x:c r="C607" s="31" t="str">
        <x:v>L32</x:v>
      </x:c>
      <x:c r="D607" s="31" t="str">
        <x:v>LEDGER-MAJMOO-030</x:v>
      </x:c>
      <x:c r="E607" s="31"/>
    </x:row>
    <x:row r="608" ht="15" hidden="0" customHeight="1">
      <x:c r="A608" s="31" t="str">
        <x:v>Anjoman accounting - refined.xlsx</x:v>
      </x:c>
      <x:c r="B608" s="31" t="str">
        <x:v>تراکنش‌ها</x:v>
      </x:c>
      <x:c r="C608" s="31" t="str">
        <x:v>M32</x:v>
      </x:c>
      <x:c r="D608" s="31" t="str">
        <x:v>مبلغ از دفتر قبلی خوانده شد؛ نیازمند تطبیق نهایی با شواهد پرداخت.</x:v>
      </x:c>
      <x:c r="E608" s="31"/>
    </x:row>
    <x:row r="609" ht="15" hidden="0" customHeight="1">
      <x:c r="A609" s="31" t="str">
        <x:v>Anjoman accounting - refined.xlsx</x:v>
      </x:c>
      <x:c r="B609" s="31" t="str">
        <x:v>تراکنش‌ها</x:v>
      </x:c>
      <x:c r="C609" s="31" t="str">
        <x:v>A33</x:v>
      </x:c>
      <x:c r="D609" s="31" t="str">
        <x:v>TX-00030</x:v>
      </x:c>
      <x:c r="E609" s="31"/>
    </x:row>
    <x:row r="610" ht="15" hidden="0" customHeight="1">
      <x:c r="A610" s="31" t="str">
        <x:v>Anjoman accounting - refined.xlsx</x:v>
      </x:c>
      <x:c r="B610" s="31" t="str">
        <x:v>تراکنش‌ها</x:v>
      </x:c>
      <x:c r="C610" s="31" t="str">
        <x:v>B33</x:v>
      </x:c>
      <x:c r="D610" s="31" t="str">
        <x:v>هزینه</x:v>
      </x:c>
      <x:c r="E610" s="31"/>
    </x:row>
    <x:row r="611" ht="15" hidden="0" customHeight="1">
      <x:c r="A611" s="31" t="str">
        <x:v>Anjoman accounting - refined.xlsx</x:v>
      </x:c>
      <x:c r="B611" s="31" t="str">
        <x:v>تراکنش‌ها</x:v>
      </x:c>
      <x:c r="C611" s="31" t="str">
        <x:v>C33</x:v>
      </x:c>
      <x:c r="D611" s="31" t="str">
        <x:v>آبان</x:v>
      </x:c>
      <x:c r="E611" s="31"/>
    </x:row>
    <x:row r="612" ht="15" hidden="0" customHeight="1">
      <x:c r="A612" s="31" t="str">
        <x:v>Anjoman accounting - refined.xlsx</x:v>
      </x:c>
      <x:c r="B612" s="31" t="str">
        <x:v>تراکنش‌ها</x:v>
      </x:c>
      <x:c r="C612" s="31" t="str">
        <x:v>D33</x:v>
      </x:c>
      <x:c r="D612" s="31" t="str">
        <x:v>310000</x:v>
      </x:c>
      <x:c r="E612" s="31"/>
    </x:row>
    <x:row r="613" ht="15" hidden="0" customHeight="1">
      <x:c r="A613" s="31" t="str">
        <x:v>Anjoman accounting - refined.xlsx</x:v>
      </x:c>
      <x:c r="B613" s="31" t="str">
        <x:v>تراکنش‌ها</x:v>
      </x:c>
      <x:c r="C613" s="31" t="str">
        <x:v>E33</x:v>
      </x:c>
      <x:c r="D613" s="31" t="str">
        <x:v>تومان</x:v>
      </x:c>
      <x:c r="E613" s="31"/>
    </x:row>
    <x:row r="614" ht="15" hidden="0" customHeight="1">
      <x:c r="A614" s="31" t="str">
        <x:v>Anjoman accounting - refined.xlsx</x:v>
      </x:c>
      <x:c r="B614" s="31" t="str">
        <x:v>تراکنش‌ها</x:v>
      </x:c>
      <x:c r="C614" s="31" t="str">
        <x:v>F33</x:v>
      </x:c>
      <x:c r="D614" s="31" t="str">
        <x:v>310000</x:v>
      </x:c>
      <x:c r="E614" s="31"/>
    </x:row>
    <x:row r="615" ht="15" hidden="0" customHeight="1">
      <x:c r="A615" s="31" t="str">
        <x:v>Anjoman accounting - refined.xlsx</x:v>
      </x:c>
      <x:c r="B615" s="31" t="str">
        <x:v>تراکنش‌ها</x:v>
      </x:c>
      <x:c r="C615" s="31" t="str">
        <x:v>H33</x:v>
      </x:c>
      <x:c r="D615" s="31" t="str">
        <x:v>خرید اتصالات پروژکتور انجمن</x:v>
      </x:c>
      <x:c r="E615" s="31"/>
    </x:row>
    <x:row r="616" ht="15" hidden="0" customHeight="1">
      <x:c r="A616" s="31" t="str">
        <x:v>Anjoman accounting - refined.xlsx</x:v>
      </x:c>
      <x:c r="B616" s="31" t="str">
        <x:v>تراکنش‌ها</x:v>
      </x:c>
      <x:c r="C616" s="31" t="str">
        <x:v>I33</x:v>
      </x:c>
      <x:c r="D616" s="31" t="str">
        <x:v>هزینه / عملیاتی</x:v>
      </x:c>
      <x:c r="E616" s="31"/>
    </x:row>
    <x:row r="617" ht="15" hidden="0" customHeight="1">
      <x:c r="A617" s="31" t="str">
        <x:v>Anjoman accounting - refined.xlsx</x:v>
      </x:c>
      <x:c r="B617" s="31" t="str">
        <x:v>تراکنش‌ها</x:v>
      </x:c>
      <x:c r="C617" s="31" t="str">
        <x:v>J33</x:v>
      </x:c>
      <x:c r="D617" s="31" t="str">
        <x:v>تاییدشده</x:v>
      </x:c>
      <x:c r="E617" s="31"/>
    </x:row>
    <x:row r="618" ht="15" hidden="0" customHeight="1">
      <x:c r="A618" s="31" t="str">
        <x:v>Anjoman accounting - refined.xlsx</x:v>
      </x:c>
      <x:c r="B618" s="31" t="str">
        <x:v>تراکنش‌ها</x:v>
      </x:c>
      <x:c r="C618" s="31" t="str">
        <x:v>K33</x:v>
      </x:c>
      <x:c r="D618" s="31" t="str">
        <x:v>دفتر قبلی</x:v>
      </x:c>
      <x:c r="E618" s="31"/>
    </x:row>
    <x:row r="619" ht="15" hidden="0" customHeight="1">
      <x:c r="A619" s="31" t="str">
        <x:v>Anjoman accounting - refined.xlsx</x:v>
      </x:c>
      <x:c r="B619" s="31" t="str">
        <x:v>تراکنش‌ها</x:v>
      </x:c>
      <x:c r="C619" s="31" t="str">
        <x:v>L33</x:v>
      </x:c>
      <x:c r="D619" s="31" t="str">
        <x:v>LEDGER-MAJMOO-031</x:v>
      </x:c>
      <x:c r="E619" s="31"/>
    </x:row>
    <x:row r="620" ht="15" hidden="0" customHeight="1">
      <x:c r="A620" s="31" t="str">
        <x:v>Anjoman accounting - refined.xlsx</x:v>
      </x:c>
      <x:c r="B620" s="31" t="str">
        <x:v>تراکنش‌ها</x:v>
      </x:c>
      <x:c r="C620" s="31" t="str">
        <x:v>M33</x:v>
      </x:c>
      <x:c r="D620" s="31" t="str">
        <x:v>مبلغ از دفتر قبلی خوانده شد؛ نیازمند تطبیق نهایی با شواهد پرداخت.</x:v>
      </x:c>
      <x:c r="E620" s="31"/>
    </x:row>
    <x:row r="621" ht="15" hidden="0" customHeight="1">
      <x:c r="A621" s="31" t="str">
        <x:v>Anjoman accounting - refined.xlsx</x:v>
      </x:c>
      <x:c r="B621" s="31" t="str">
        <x:v>تراکنش‌ها</x:v>
      </x:c>
      <x:c r="C621" s="31" t="str">
        <x:v>A34</x:v>
      </x:c>
      <x:c r="D621" s="31" t="str">
        <x:v>TX-00031</x:v>
      </x:c>
      <x:c r="E621" s="31"/>
    </x:row>
    <x:row r="622" ht="15" hidden="0" customHeight="1">
      <x:c r="A622" s="31" t="str">
        <x:v>Anjoman accounting - refined.xlsx</x:v>
      </x:c>
      <x:c r="B622" s="31" t="str">
        <x:v>تراکنش‌ها</x:v>
      </x:c>
      <x:c r="C622" s="31" t="str">
        <x:v>B34</x:v>
      </x:c>
      <x:c r="D622" s="31" t="str">
        <x:v>هزینه</x:v>
      </x:c>
      <x:c r="E622" s="31"/>
    </x:row>
    <x:row r="623" ht="15" hidden="0" customHeight="1">
      <x:c r="A623" s="31" t="str">
        <x:v>Anjoman accounting - refined.xlsx</x:v>
      </x:c>
      <x:c r="B623" s="31" t="str">
        <x:v>تراکنش‌ها</x:v>
      </x:c>
      <x:c r="C623" s="31" t="str">
        <x:v>C34</x:v>
      </x:c>
      <x:c r="D623" s="31" t="str">
        <x:v>آبان</x:v>
      </x:c>
      <x:c r="E623" s="31"/>
    </x:row>
    <x:row r="624" ht="15" hidden="0" customHeight="1">
      <x:c r="A624" s="31" t="str">
        <x:v>Anjoman accounting - refined.xlsx</x:v>
      </x:c>
      <x:c r="B624" s="31" t="str">
        <x:v>تراکنش‌ها</x:v>
      </x:c>
      <x:c r="C624" s="31" t="str">
        <x:v>D34</x:v>
      </x:c>
      <x:c r="D624" s="31" t="str">
        <x:v>1760000</x:v>
      </x:c>
      <x:c r="E624" s="31"/>
    </x:row>
    <x:row r="625" ht="15" hidden="0" customHeight="1">
      <x:c r="A625" s="31" t="str">
        <x:v>Anjoman accounting - refined.xlsx</x:v>
      </x:c>
      <x:c r="B625" s="31" t="str">
        <x:v>تراکنش‌ها</x:v>
      </x:c>
      <x:c r="C625" s="31" t="str">
        <x:v>E34</x:v>
      </x:c>
      <x:c r="D625" s="31" t="str">
        <x:v>تومان</x:v>
      </x:c>
      <x:c r="E625" s="31"/>
    </x:row>
    <x:row r="626" ht="15" hidden="0" customHeight="1">
      <x:c r="A626" s="31" t="str">
        <x:v>Anjoman accounting - refined.xlsx</x:v>
      </x:c>
      <x:c r="B626" s="31" t="str">
        <x:v>تراکنش‌ها</x:v>
      </x:c>
      <x:c r="C626" s="31" t="str">
        <x:v>F34</x:v>
      </x:c>
      <x:c r="D626" s="31" t="str">
        <x:v>1760000</x:v>
      </x:c>
      <x:c r="E626" s="31"/>
    </x:row>
    <x:row r="627" ht="15" hidden="0" customHeight="1">
      <x:c r="A627" s="31" t="str">
        <x:v>Anjoman accounting - refined.xlsx</x:v>
      </x:c>
      <x:c r="B627" s="31" t="str">
        <x:v>تراکنش‌ها</x:v>
      </x:c>
      <x:c r="C627" s="31" t="str">
        <x:v>H34</x:v>
      </x:c>
      <x:c r="D627" s="31" t="str">
        <x:v>خرید حفاظ برق و ابزار برای اتصال پروژکتور در غرفه ها</x:v>
      </x:c>
      <x:c r="E627" s="31"/>
    </x:row>
    <x:row r="628" ht="15" hidden="0" customHeight="1">
      <x:c r="A628" s="31" t="str">
        <x:v>Anjoman accounting - refined.xlsx</x:v>
      </x:c>
      <x:c r="B628" s="31" t="str">
        <x:v>تراکنش‌ها</x:v>
      </x:c>
      <x:c r="C628" s="31" t="str">
        <x:v>I34</x:v>
      </x:c>
      <x:c r="D628" s="31" t="str">
        <x:v>هزینه / عملیاتی</x:v>
      </x:c>
      <x:c r="E628" s="31"/>
    </x:row>
    <x:row r="629" ht="15" hidden="0" customHeight="1">
      <x:c r="A629" s="31" t="str">
        <x:v>Anjoman accounting - refined.xlsx</x:v>
      </x:c>
      <x:c r="B629" s="31" t="str">
        <x:v>تراکنش‌ها</x:v>
      </x:c>
      <x:c r="C629" s="31" t="str">
        <x:v>J34</x:v>
      </x:c>
      <x:c r="D629" s="31" t="str">
        <x:v>تاییدشده</x:v>
      </x:c>
      <x:c r="E629" s="31"/>
    </x:row>
    <x:row r="630" ht="15" hidden="0" customHeight="1">
      <x:c r="A630" s="31" t="str">
        <x:v>Anjoman accounting - refined.xlsx</x:v>
      </x:c>
      <x:c r="B630" s="31" t="str">
        <x:v>تراکنش‌ها</x:v>
      </x:c>
      <x:c r="C630" s="31" t="str">
        <x:v>K34</x:v>
      </x:c>
      <x:c r="D630" s="31" t="str">
        <x:v>دفتر قبلی</x:v>
      </x:c>
      <x:c r="E630" s="31"/>
    </x:row>
    <x:row r="631" ht="15" hidden="0" customHeight="1">
      <x:c r="A631" s="31" t="str">
        <x:v>Anjoman accounting - refined.xlsx</x:v>
      </x:c>
      <x:c r="B631" s="31" t="str">
        <x:v>تراکنش‌ها</x:v>
      </x:c>
      <x:c r="C631" s="31" t="str">
        <x:v>L34</x:v>
      </x:c>
      <x:c r="D631" s="31" t="str">
        <x:v>LEDGER-MAJMOO-032</x:v>
      </x:c>
      <x:c r="E631" s="31"/>
    </x:row>
    <x:row r="632" ht="15" hidden="0" customHeight="1">
      <x:c r="A632" s="31" t="str">
        <x:v>Anjoman accounting - refined.xlsx</x:v>
      </x:c>
      <x:c r="B632" s="31" t="str">
        <x:v>تراکنش‌ها</x:v>
      </x:c>
      <x:c r="C632" s="31" t="str">
        <x:v>M34</x:v>
      </x:c>
      <x:c r="D632" s="31" t="str">
        <x:v>مبلغ از دفتر قبلی خوانده شد؛ نیازمند تطبیق نهایی با شواهد پرداخت.</x:v>
      </x:c>
      <x:c r="E632" s="31"/>
    </x:row>
    <x:row r="633" ht="15" hidden="0" customHeight="1">
      <x:c r="A633" s="31" t="str">
        <x:v>Anjoman accounting - refined.xlsx</x:v>
      </x:c>
      <x:c r="B633" s="31" t="str">
        <x:v>تراکنش‌ها</x:v>
      </x:c>
      <x:c r="C633" s="31" t="str">
        <x:v>A35</x:v>
      </x:c>
      <x:c r="D633" s="31" t="str">
        <x:v>TX-00032</x:v>
      </x:c>
      <x:c r="E633" s="31"/>
    </x:row>
    <x:row r="634" ht="15" hidden="0" customHeight="1">
      <x:c r="A634" s="31" t="str">
        <x:v>Anjoman accounting - refined.xlsx</x:v>
      </x:c>
      <x:c r="B634" s="31" t="str">
        <x:v>تراکنش‌ها</x:v>
      </x:c>
      <x:c r="C634" s="31" t="str">
        <x:v>B35</x:v>
      </x:c>
      <x:c r="D634" s="31" t="str">
        <x:v>هزینه</x:v>
      </x:c>
      <x:c r="E634" s="31"/>
    </x:row>
    <x:row r="635" ht="15" hidden="0" customHeight="1">
      <x:c r="A635" s="31" t="str">
        <x:v>Anjoman accounting - refined.xlsx</x:v>
      </x:c>
      <x:c r="B635" s="31" t="str">
        <x:v>تراکنش‌ها</x:v>
      </x:c>
      <x:c r="C635" s="31" t="str">
        <x:v>C35</x:v>
      </x:c>
      <x:c r="D635" s="31" t="str">
        <x:v>آبان</x:v>
      </x:c>
      <x:c r="E635" s="31"/>
    </x:row>
    <x:row r="636" ht="15" hidden="0" customHeight="1">
      <x:c r="A636" s="31" t="str">
        <x:v>Anjoman accounting - refined.xlsx</x:v>
      </x:c>
      <x:c r="B636" s="31" t="str">
        <x:v>تراکنش‌ها</x:v>
      </x:c>
      <x:c r="C636" s="31" t="str">
        <x:v>D35</x:v>
      </x:c>
      <x:c r="D636" s="31" t="str">
        <x:v>230000</x:v>
      </x:c>
      <x:c r="E636" s="31"/>
    </x:row>
    <x:row r="637" ht="15" hidden="0" customHeight="1">
      <x:c r="A637" s="31" t="str">
        <x:v>Anjoman accounting - refined.xlsx</x:v>
      </x:c>
      <x:c r="B637" s="31" t="str">
        <x:v>تراکنش‌ها</x:v>
      </x:c>
      <x:c r="C637" s="31" t="str">
        <x:v>E35</x:v>
      </x:c>
      <x:c r="D637" s="31" t="str">
        <x:v>تومان</x:v>
      </x:c>
      <x:c r="E637" s="31"/>
    </x:row>
    <x:row r="638" ht="15" hidden="0" customHeight="1">
      <x:c r="A638" s="31" t="str">
        <x:v>Anjoman accounting - refined.xlsx</x:v>
      </x:c>
      <x:c r="B638" s="31" t="str">
        <x:v>تراکنش‌ها</x:v>
      </x:c>
      <x:c r="C638" s="31" t="str">
        <x:v>F35</x:v>
      </x:c>
      <x:c r="D638" s="31" t="str">
        <x:v>230000</x:v>
      </x:c>
      <x:c r="E638" s="31"/>
    </x:row>
    <x:row r="639" ht="15" hidden="0" customHeight="1">
      <x:c r="A639" s="31" t="str">
        <x:v>Anjoman accounting - refined.xlsx</x:v>
      </x:c>
      <x:c r="B639" s="31" t="str">
        <x:v>تراکنش‌ها</x:v>
      </x:c>
      <x:c r="C639" s="31" t="str">
        <x:v>H35</x:v>
      </x:c>
      <x:c r="D639" s="31" t="str">
        <x:v>پذیرایی غرفه انجمن</x:v>
      </x:c>
      <x:c r="E639" s="31"/>
    </x:row>
    <x:row r="640" ht="15" hidden="0" customHeight="1">
      <x:c r="A640" s="31" t="str">
        <x:v>Anjoman accounting - refined.xlsx</x:v>
      </x:c>
      <x:c r="B640" s="31" t="str">
        <x:v>تراکنش‌ها</x:v>
      </x:c>
      <x:c r="C640" s="31" t="str">
        <x:v>I35</x:v>
      </x:c>
      <x:c r="D640" s="31" t="str">
        <x:v>هزینه / عملیاتی</x:v>
      </x:c>
      <x:c r="E640" s="31"/>
    </x:row>
    <x:row r="641" ht="15" hidden="0" customHeight="1">
      <x:c r="A641" s="31" t="str">
        <x:v>Anjoman accounting - refined.xlsx</x:v>
      </x:c>
      <x:c r="B641" s="31" t="str">
        <x:v>تراکنش‌ها</x:v>
      </x:c>
      <x:c r="C641" s="31" t="str">
        <x:v>J35</x:v>
      </x:c>
      <x:c r="D641" s="31" t="str">
        <x:v>تاییدشده</x:v>
      </x:c>
      <x:c r="E641" s="31"/>
    </x:row>
    <x:row r="642" ht="15" hidden="0" customHeight="1">
      <x:c r="A642" s="31" t="str">
        <x:v>Anjoman accounting - refined.xlsx</x:v>
      </x:c>
      <x:c r="B642" s="31" t="str">
        <x:v>تراکنش‌ها</x:v>
      </x:c>
      <x:c r="C642" s="31" t="str">
        <x:v>K35</x:v>
      </x:c>
      <x:c r="D642" s="31" t="str">
        <x:v>دفتر قبلی</x:v>
      </x:c>
      <x:c r="E642" s="31"/>
    </x:row>
    <x:row r="643" ht="15" hidden="0" customHeight="1">
      <x:c r="A643" s="31" t="str">
        <x:v>Anjoman accounting - refined.xlsx</x:v>
      </x:c>
      <x:c r="B643" s="31" t="str">
        <x:v>تراکنش‌ها</x:v>
      </x:c>
      <x:c r="C643" s="31" t="str">
        <x:v>L35</x:v>
      </x:c>
      <x:c r="D643" s="31" t="str">
        <x:v>LEDGER-MAJMOO-033</x:v>
      </x:c>
      <x:c r="E643" s="31"/>
    </x:row>
    <x:row r="644" ht="15" hidden="0" customHeight="1">
      <x:c r="A644" s="31" t="str">
        <x:v>Anjoman accounting - refined.xlsx</x:v>
      </x:c>
      <x:c r="B644" s="31" t="str">
        <x:v>تراکنش‌ها</x:v>
      </x:c>
      <x:c r="C644" s="31" t="str">
        <x:v>M35</x:v>
      </x:c>
      <x:c r="D644" s="31" t="str">
        <x:v>مبلغ از دفتر قبلی خوانده شد؛ نیازمند تطبیق نهایی با شواهد پرداخت.</x:v>
      </x:c>
      <x:c r="E644" s="31"/>
    </x:row>
    <x:row r="645" ht="15" hidden="0" customHeight="1">
      <x:c r="A645" s="31" t="str">
        <x:v>Anjoman accounting - refined.xlsx</x:v>
      </x:c>
      <x:c r="B645" s="31" t="str">
        <x:v>تراکنش‌ها</x:v>
      </x:c>
      <x:c r="C645" s="31" t="str">
        <x:v>A36</x:v>
      </x:c>
      <x:c r="D645" s="31" t="str">
        <x:v>TX-00033</x:v>
      </x:c>
      <x:c r="E645" s="31"/>
    </x:row>
    <x:row r="646" ht="15" hidden="0" customHeight="1">
      <x:c r="A646" s="31" t="str">
        <x:v>Anjoman accounting - refined.xlsx</x:v>
      </x:c>
      <x:c r="B646" s="31" t="str">
        <x:v>تراکنش‌ها</x:v>
      </x:c>
      <x:c r="C646" s="31" t="str">
        <x:v>B36</x:v>
      </x:c>
      <x:c r="D646" s="31" t="str">
        <x:v>هزینه</x:v>
      </x:c>
      <x:c r="E646" s="31"/>
    </x:row>
    <x:row r="647" ht="15" hidden="0" customHeight="1">
      <x:c r="A647" s="31" t="str">
        <x:v>Anjoman accounting - refined.xlsx</x:v>
      </x:c>
      <x:c r="B647" s="31" t="str">
        <x:v>تراکنش‌ها</x:v>
      </x:c>
      <x:c r="C647" s="31" t="str">
        <x:v>C36</x:v>
      </x:c>
      <x:c r="D647" s="31" t="str">
        <x:v>آبان</x:v>
      </x:c>
      <x:c r="E647" s="31"/>
    </x:row>
    <x:row r="648" ht="15" hidden="0" customHeight="1">
      <x:c r="A648" s="31" t="str">
        <x:v>Anjoman accounting - refined.xlsx</x:v>
      </x:c>
      <x:c r="B648" s="31" t="str">
        <x:v>تراکنش‌ها</x:v>
      </x:c>
      <x:c r="C648" s="31" t="str">
        <x:v>D36</x:v>
      </x:c>
      <x:c r="D648" s="31" t="str">
        <x:v>1226100</x:v>
      </x:c>
      <x:c r="E648" s="31"/>
    </x:row>
    <x:row r="649" ht="15" hidden="0" customHeight="1">
      <x:c r="A649" s="31" t="str">
        <x:v>Anjoman accounting - refined.xlsx</x:v>
      </x:c>
      <x:c r="B649" s="31" t="str">
        <x:v>تراکنش‌ها</x:v>
      </x:c>
      <x:c r="C649" s="31" t="str">
        <x:v>E36</x:v>
      </x:c>
      <x:c r="D649" s="31" t="str">
        <x:v>تومان</x:v>
      </x:c>
      <x:c r="E649" s="31"/>
    </x:row>
    <x:row r="650" ht="15" hidden="0" customHeight="1">
      <x:c r="A650" s="31" t="str">
        <x:v>Anjoman accounting - refined.xlsx</x:v>
      </x:c>
      <x:c r="B650" s="31" t="str">
        <x:v>تراکنش‌ها</x:v>
      </x:c>
      <x:c r="C650" s="31" t="str">
        <x:v>F36</x:v>
      </x:c>
      <x:c r="D650" s="31" t="str">
        <x:v>1226100</x:v>
      </x:c>
      <x:c r="E650" s="31"/>
    </x:row>
    <x:row r="651" ht="15" hidden="0" customHeight="1">
      <x:c r="A651" s="31" t="str">
        <x:v>Anjoman accounting - refined.xlsx</x:v>
      </x:c>
      <x:c r="B651" s="31" t="str">
        <x:v>تراکنش‌ها</x:v>
      </x:c>
      <x:c r="C651" s="31" t="str">
        <x:v>H36</x:v>
      </x:c>
      <x:c r="D651" s="31" t="str">
        <x:v>خرید دارو برای کمک های اولیه در انجمن</x:v>
      </x:c>
      <x:c r="E651" s="31"/>
    </x:row>
    <x:row r="652" ht="15" hidden="0" customHeight="1">
      <x:c r="A652" s="31" t="str">
        <x:v>Anjoman accounting - refined.xlsx</x:v>
      </x:c>
      <x:c r="B652" s="31" t="str">
        <x:v>تراکنش‌ها</x:v>
      </x:c>
      <x:c r="C652" s="31" t="str">
        <x:v>I36</x:v>
      </x:c>
      <x:c r="D652" s="31" t="str">
        <x:v>هزینه / عملیاتی</x:v>
      </x:c>
      <x:c r="E652" s="31"/>
    </x:row>
    <x:row r="653" ht="15" hidden="0" customHeight="1">
      <x:c r="A653" s="31" t="str">
        <x:v>Anjoman accounting - refined.xlsx</x:v>
      </x:c>
      <x:c r="B653" s="31" t="str">
        <x:v>تراکنش‌ها</x:v>
      </x:c>
      <x:c r="C653" s="31" t="str">
        <x:v>J36</x:v>
      </x:c>
      <x:c r="D653" s="31" t="str">
        <x:v>تاییدشده</x:v>
      </x:c>
      <x:c r="E653" s="31"/>
    </x:row>
    <x:row r="654" ht="15" hidden="0" customHeight="1">
      <x:c r="A654" s="31" t="str">
        <x:v>Anjoman accounting - refined.xlsx</x:v>
      </x:c>
      <x:c r="B654" s="31" t="str">
        <x:v>تراکنش‌ها</x:v>
      </x:c>
      <x:c r="C654" s="31" t="str">
        <x:v>K36</x:v>
      </x:c>
      <x:c r="D654" s="31" t="str">
        <x:v>دفتر قبلی</x:v>
      </x:c>
      <x:c r="E654" s="31"/>
    </x:row>
    <x:row r="655" ht="15" hidden="0" customHeight="1">
      <x:c r="A655" s="31" t="str">
        <x:v>Anjoman accounting - refined.xlsx</x:v>
      </x:c>
      <x:c r="B655" s="31" t="str">
        <x:v>تراکنش‌ها</x:v>
      </x:c>
      <x:c r="C655" s="31" t="str">
        <x:v>L36</x:v>
      </x:c>
      <x:c r="D655" s="31" t="str">
        <x:v>LEDGER-MAJMOO-034</x:v>
      </x:c>
      <x:c r="E655" s="31"/>
    </x:row>
    <x:row r="656" ht="15" hidden="0" customHeight="1">
      <x:c r="A656" s="31" t="str">
        <x:v>Anjoman accounting - refined.xlsx</x:v>
      </x:c>
      <x:c r="B656" s="31" t="str">
        <x:v>تراکنش‌ها</x:v>
      </x:c>
      <x:c r="C656" s="31" t="str">
        <x:v>M36</x:v>
      </x:c>
      <x:c r="D656" s="31" t="str">
        <x:v>مبلغ از دفتر قبلی خوانده شد؛ نیازمند تطبیق نهایی با شواهد پرداخت.</x:v>
      </x:c>
      <x:c r="E656" s="31"/>
    </x:row>
    <x:row r="657" ht="15" hidden="0" customHeight="1">
      <x:c r="A657" s="31" t="str">
        <x:v>Anjoman accounting - refined.xlsx</x:v>
      </x:c>
      <x:c r="B657" s="31" t="str">
        <x:v>تراکنش‌ها</x:v>
      </x:c>
      <x:c r="C657" s="31" t="str">
        <x:v>A37</x:v>
      </x:c>
      <x:c r="D657" s="31" t="str">
        <x:v>TX-00034</x:v>
      </x:c>
      <x:c r="E657" s="31"/>
    </x:row>
    <x:row r="658" ht="15" hidden="0" customHeight="1">
      <x:c r="A658" s="31" t="str">
        <x:v>Anjoman accounting - refined.xlsx</x:v>
      </x:c>
      <x:c r="B658" s="31" t="str">
        <x:v>تراکنش‌ها</x:v>
      </x:c>
      <x:c r="C658" s="31" t="str">
        <x:v>B37</x:v>
      </x:c>
      <x:c r="D658" s="31" t="str">
        <x:v>هزینه</x:v>
      </x:c>
      <x:c r="E658" s="31"/>
    </x:row>
    <x:row r="659" ht="15" hidden="0" customHeight="1">
      <x:c r="A659" s="31" t="str">
        <x:v>Anjoman accounting - refined.xlsx</x:v>
      </x:c>
      <x:c r="B659" s="31" t="str">
        <x:v>تراکنش‌ها</x:v>
      </x:c>
      <x:c r="C659" s="31" t="str">
        <x:v>C37</x:v>
      </x:c>
      <x:c r="D659" s="31" t="str">
        <x:v>آبان</x:v>
      </x:c>
      <x:c r="E659" s="31"/>
    </x:row>
    <x:row r="660" ht="15" hidden="0" customHeight="1">
      <x:c r="A660" s="31" t="str">
        <x:v>Anjoman accounting - refined.xlsx</x:v>
      </x:c>
      <x:c r="B660" s="31" t="str">
        <x:v>تراکنش‌ها</x:v>
      </x:c>
      <x:c r="C660" s="31" t="str">
        <x:v>D37</x:v>
      </x:c>
      <x:c r="D660" s="31" t="str">
        <x:v>2300</x:v>
      </x:c>
      <x:c r="E660" s="31"/>
    </x:row>
    <x:row r="661" ht="15" hidden="0" customHeight="1">
      <x:c r="A661" s="31" t="str">
        <x:v>Anjoman accounting - refined.xlsx</x:v>
      </x:c>
      <x:c r="B661" s="31" t="str">
        <x:v>تراکنش‌ها</x:v>
      </x:c>
      <x:c r="C661" s="31" t="str">
        <x:v>E37</x:v>
      </x:c>
      <x:c r="D661" s="31" t="str">
        <x:v>تومان</x:v>
      </x:c>
      <x:c r="E661" s="31"/>
    </x:row>
    <x:row r="662" ht="15" hidden="0" customHeight="1">
      <x:c r="A662" s="31" t="str">
        <x:v>Anjoman accounting - refined.xlsx</x:v>
      </x:c>
      <x:c r="B662" s="31" t="str">
        <x:v>تراکنش‌ها</x:v>
      </x:c>
      <x:c r="C662" s="31" t="str">
        <x:v>F37</x:v>
      </x:c>
      <x:c r="D662" s="31" t="str">
        <x:v>2300</x:v>
      </x:c>
      <x:c r="E662" s="31"/>
    </x:row>
    <x:row r="663" ht="15" hidden="0" customHeight="1">
      <x:c r="A663" s="31" t="str">
        <x:v>Anjoman accounting - refined.xlsx</x:v>
      </x:c>
      <x:c r="B663" s="31" t="str">
        <x:v>تراکنش‌ها</x:v>
      </x:c>
      <x:c r="C663" s="31" t="str">
        <x:v>H37</x:v>
      </x:c>
      <x:c r="D663" s="31" t="str">
        <x:v>چاپ قوانین اتاق انجمن</x:v>
      </x:c>
      <x:c r="E663" s="31"/>
    </x:row>
    <x:row r="664" ht="15" hidden="0" customHeight="1">
      <x:c r="A664" s="31" t="str">
        <x:v>Anjoman accounting - refined.xlsx</x:v>
      </x:c>
      <x:c r="B664" s="31" t="str">
        <x:v>تراکنش‌ها</x:v>
      </x:c>
      <x:c r="C664" s="31" t="str">
        <x:v>I37</x:v>
      </x:c>
      <x:c r="D664" s="31" t="str">
        <x:v>هزینه / عملیاتی</x:v>
      </x:c>
      <x:c r="E664" s="31"/>
    </x:row>
    <x:row r="665" ht="15" hidden="0" customHeight="1">
      <x:c r="A665" s="31" t="str">
        <x:v>Anjoman accounting - refined.xlsx</x:v>
      </x:c>
      <x:c r="B665" s="31" t="str">
        <x:v>تراکنش‌ها</x:v>
      </x:c>
      <x:c r="C665" s="31" t="str">
        <x:v>J37</x:v>
      </x:c>
      <x:c r="D665" s="31" t="str">
        <x:v>تاییدشده</x:v>
      </x:c>
      <x:c r="E665" s="31"/>
    </x:row>
    <x:row r="666" ht="15" hidden="0" customHeight="1">
      <x:c r="A666" s="31" t="str">
        <x:v>Anjoman accounting - refined.xlsx</x:v>
      </x:c>
      <x:c r="B666" s="31" t="str">
        <x:v>تراکنش‌ها</x:v>
      </x:c>
      <x:c r="C666" s="31" t="str">
        <x:v>K37</x:v>
      </x:c>
      <x:c r="D666" s="31" t="str">
        <x:v>دفتر قبلی</x:v>
      </x:c>
      <x:c r="E666" s="31"/>
    </x:row>
    <x:row r="667" ht="15" hidden="0" customHeight="1">
      <x:c r="A667" s="31" t="str">
        <x:v>Anjoman accounting - refined.xlsx</x:v>
      </x:c>
      <x:c r="B667" s="31" t="str">
        <x:v>تراکنش‌ها</x:v>
      </x:c>
      <x:c r="C667" s="31" t="str">
        <x:v>L37</x:v>
      </x:c>
      <x:c r="D667" s="31" t="str">
        <x:v>LEDGER-MAJMOO-035</x:v>
      </x:c>
      <x:c r="E667" s="31"/>
    </x:row>
    <x:row r="668" ht="15" hidden="0" customHeight="1">
      <x:c r="A668" s="31" t="str">
        <x:v>Anjoman accounting - refined.xlsx</x:v>
      </x:c>
      <x:c r="B668" s="31" t="str">
        <x:v>تراکنش‌ها</x:v>
      </x:c>
      <x:c r="C668" s="31" t="str">
        <x:v>M37</x:v>
      </x:c>
      <x:c r="D668" s="31" t="str">
        <x:v>مبلغ از دفتر قبلی خوانده شد؛ نیازمند تطبیق نهایی با شواهد پرداخت.</x:v>
      </x:c>
      <x:c r="E668" s="31"/>
    </x:row>
    <x:row r="669" ht="15" hidden="0" customHeight="1">
      <x:c r="A669" s="31" t="str">
        <x:v>Anjoman accounting - refined.xlsx</x:v>
      </x:c>
      <x:c r="B669" s="31" t="str">
        <x:v>تراکنش‌ها</x:v>
      </x:c>
      <x:c r="C669" s="31" t="str">
        <x:v>A38</x:v>
      </x:c>
      <x:c r="D669" s="31" t="str">
        <x:v>TX-00035</x:v>
      </x:c>
      <x:c r="E669" s="31"/>
    </x:row>
    <x:row r="670" ht="15" hidden="0" customHeight="1">
      <x:c r="A670" s="31" t="str">
        <x:v>Anjoman accounting - refined.xlsx</x:v>
      </x:c>
      <x:c r="B670" s="31" t="str">
        <x:v>تراکنش‌ها</x:v>
      </x:c>
      <x:c r="C670" s="31" t="str">
        <x:v>B38</x:v>
      </x:c>
      <x:c r="D670" s="31" t="str">
        <x:v>هزینه</x:v>
      </x:c>
      <x:c r="E670" s="31"/>
    </x:row>
    <x:row r="671" ht="15" hidden="0" customHeight="1">
      <x:c r="A671" s="31" t="str">
        <x:v>Anjoman accounting - refined.xlsx</x:v>
      </x:c>
      <x:c r="B671" s="31" t="str">
        <x:v>تراکنش‌ها</x:v>
      </x:c>
      <x:c r="C671" s="31" t="str">
        <x:v>C38</x:v>
      </x:c>
      <x:c r="D671" s="31" t="str">
        <x:v>آبان</x:v>
      </x:c>
      <x:c r="E671" s="31"/>
    </x:row>
    <x:row r="672" ht="15" hidden="0" customHeight="1">
      <x:c r="A672" s="31" t="str">
        <x:v>Anjoman accounting - refined.xlsx</x:v>
      </x:c>
      <x:c r="B672" s="31" t="str">
        <x:v>تراکنش‌ها</x:v>
      </x:c>
      <x:c r="C672" s="31" t="str">
        <x:v>D38</x:v>
      </x:c>
      <x:c r="D672" s="31" t="str">
        <x:v>1300</x:v>
      </x:c>
      <x:c r="E672" s="31"/>
    </x:row>
    <x:row r="673" ht="15" hidden="0" customHeight="1">
      <x:c r="A673" s="31" t="str">
        <x:v>Anjoman accounting - refined.xlsx</x:v>
      </x:c>
      <x:c r="B673" s="31" t="str">
        <x:v>تراکنش‌ها</x:v>
      </x:c>
      <x:c r="C673" s="31" t="str">
        <x:v>E38</x:v>
      </x:c>
      <x:c r="D673" s="31" t="str">
        <x:v>تومان</x:v>
      </x:c>
      <x:c r="E673" s="31"/>
    </x:row>
    <x:row r="674" ht="15" hidden="0" customHeight="1">
      <x:c r="A674" s="31" t="str">
        <x:v>Anjoman accounting - refined.xlsx</x:v>
      </x:c>
      <x:c r="B674" s="31" t="str">
        <x:v>تراکنش‌ها</x:v>
      </x:c>
      <x:c r="C674" s="31" t="str">
        <x:v>F38</x:v>
      </x:c>
      <x:c r="D674" s="31" t="str">
        <x:v>1300</x:v>
      </x:c>
      <x:c r="E674" s="31"/>
    </x:row>
    <x:row r="675" ht="15" hidden="0" customHeight="1">
      <x:c r="A675" s="31" t="str">
        <x:v>Anjoman accounting - refined.xlsx</x:v>
      </x:c>
      <x:c r="B675" s="31" t="str">
        <x:v>تراکنش‌ها</x:v>
      </x:c>
      <x:c r="C675" s="31" t="str">
        <x:v>H38</x:v>
      </x:c>
      <x:c r="D675" s="31" t="str">
        <x:v>چاپ قوانین اتاق انجمن</x:v>
      </x:c>
      <x:c r="E675" s="31"/>
    </x:row>
    <x:row r="676" ht="15" hidden="0" customHeight="1">
      <x:c r="A676" s="31" t="str">
        <x:v>Anjoman accounting - refined.xlsx</x:v>
      </x:c>
      <x:c r="B676" s="31" t="str">
        <x:v>تراکنش‌ها</x:v>
      </x:c>
      <x:c r="C676" s="31" t="str">
        <x:v>I38</x:v>
      </x:c>
      <x:c r="D676" s="31" t="str">
        <x:v>هزینه / عملیاتی</x:v>
      </x:c>
      <x:c r="E676" s="31"/>
    </x:row>
    <x:row r="677" ht="15" hidden="0" customHeight="1">
      <x:c r="A677" s="31" t="str">
        <x:v>Anjoman accounting - refined.xlsx</x:v>
      </x:c>
      <x:c r="B677" s="31" t="str">
        <x:v>تراکنش‌ها</x:v>
      </x:c>
      <x:c r="C677" s="31" t="str">
        <x:v>J38</x:v>
      </x:c>
      <x:c r="D677" s="31" t="str">
        <x:v>تاییدشده</x:v>
      </x:c>
      <x:c r="E677" s="31"/>
    </x:row>
    <x:row r="678" ht="15" hidden="0" customHeight="1">
      <x:c r="A678" s="31" t="str">
        <x:v>Anjoman accounting - refined.xlsx</x:v>
      </x:c>
      <x:c r="B678" s="31" t="str">
        <x:v>تراکنش‌ها</x:v>
      </x:c>
      <x:c r="C678" s="31" t="str">
        <x:v>K38</x:v>
      </x:c>
      <x:c r="D678" s="31" t="str">
        <x:v>دفتر قبلی</x:v>
      </x:c>
      <x:c r="E678" s="31"/>
    </x:row>
    <x:row r="679" ht="15" hidden="0" customHeight="1">
      <x:c r="A679" s="31" t="str">
        <x:v>Anjoman accounting - refined.xlsx</x:v>
      </x:c>
      <x:c r="B679" s="31" t="str">
        <x:v>تراکنش‌ها</x:v>
      </x:c>
      <x:c r="C679" s="31" t="str">
        <x:v>L38</x:v>
      </x:c>
      <x:c r="D679" s="31" t="str">
        <x:v>LEDGER-MAJMOO-036</x:v>
      </x:c>
      <x:c r="E679" s="31"/>
    </x:row>
    <x:row r="680" ht="15" hidden="0" customHeight="1">
      <x:c r="A680" s="31" t="str">
        <x:v>Anjoman accounting - refined.xlsx</x:v>
      </x:c>
      <x:c r="B680" s="31" t="str">
        <x:v>تراکنش‌ها</x:v>
      </x:c>
      <x:c r="C680" s="31" t="str">
        <x:v>M38</x:v>
      </x:c>
      <x:c r="D680" s="31" t="str">
        <x:v>مبلغ از دفتر قبلی خوانده شد؛ نیازمند تطبیق نهایی با شواهد پرداخت.</x:v>
      </x:c>
      <x:c r="E680" s="31"/>
    </x:row>
    <x:row r="681" ht="15" hidden="0" customHeight="1">
      <x:c r="A681" s="31" t="str">
        <x:v>Anjoman accounting - refined.xlsx</x:v>
      </x:c>
      <x:c r="B681" s="31" t="str">
        <x:v>تراکنش‌ها</x:v>
      </x:c>
      <x:c r="C681" s="31" t="str">
        <x:v>A39</x:v>
      </x:c>
      <x:c r="D681" s="31" t="str">
        <x:v>TX-00036</x:v>
      </x:c>
      <x:c r="E681" s="31"/>
    </x:row>
    <x:row r="682" ht="15" hidden="0" customHeight="1">
      <x:c r="A682" s="31" t="str">
        <x:v>Anjoman accounting - refined.xlsx</x:v>
      </x:c>
      <x:c r="B682" s="31" t="str">
        <x:v>تراکنش‌ها</x:v>
      </x:c>
      <x:c r="C682" s="31" t="str">
        <x:v>B39</x:v>
      </x:c>
      <x:c r="D682" s="31" t="str">
        <x:v>درآمد</x:v>
      </x:c>
      <x:c r="E682" s="31"/>
    </x:row>
    <x:row r="683" ht="15" hidden="0" customHeight="1">
      <x:c r="A683" s="31" t="str">
        <x:v>Anjoman accounting - refined.xlsx</x:v>
      </x:c>
      <x:c r="B683" s="31" t="str">
        <x:v>تراکنش‌ها</x:v>
      </x:c>
      <x:c r="C683" s="31" t="str">
        <x:v>C39</x:v>
      </x:c>
      <x:c r="D683" s="31" t="str">
        <x:v>آذر</x:v>
      </x:c>
      <x:c r="E683" s="31"/>
    </x:row>
    <x:row r="684" ht="15" hidden="0" customHeight="1">
      <x:c r="A684" s="31" t="str">
        <x:v>Anjoman accounting - refined.xlsx</x:v>
      </x:c>
      <x:c r="B684" s="31" t="str">
        <x:v>تراکنش‌ها</x:v>
      </x:c>
      <x:c r="C684" s="31" t="str">
        <x:v>D39</x:v>
      </x:c>
      <x:c r="D684" s="31" t="str">
        <x:v>10000000</x:v>
      </x:c>
      <x:c r="E684" s="31"/>
    </x:row>
    <x:row r="685" ht="15" hidden="0" customHeight="1">
      <x:c r="A685" s="31" t="str">
        <x:v>Anjoman accounting - refined.xlsx</x:v>
      </x:c>
      <x:c r="B685" s="31" t="str">
        <x:v>تراکنش‌ها</x:v>
      </x:c>
      <x:c r="C685" s="31" t="str">
        <x:v>E39</x:v>
      </x:c>
      <x:c r="D685" s="31" t="str">
        <x:v>تومان</x:v>
      </x:c>
      <x:c r="E685" s="31"/>
    </x:row>
    <x:row r="686" ht="15" hidden="0" customHeight="1">
      <x:c r="A686" s="31" t="str">
        <x:v>Anjoman accounting - refined.xlsx</x:v>
      </x:c>
      <x:c r="B686" s="31" t="str">
        <x:v>تراکنش‌ها</x:v>
      </x:c>
      <x:c r="C686" s="31" t="str">
        <x:v>F39</x:v>
      </x:c>
      <x:c r="D686" s="31" t="str">
        <x:v>10000000</x:v>
      </x:c>
      <x:c r="E686" s="31"/>
    </x:row>
    <x:row r="687" ht="15" hidden="0" customHeight="1">
      <x:c r="A687" s="31" t="str">
        <x:v>Anjoman accounting - refined.xlsx</x:v>
      </x:c>
      <x:c r="B687" s="31" t="str">
        <x:v>تراکنش‌ها</x:v>
      </x:c>
      <x:c r="C687" s="31" t="str">
        <x:v>H39</x:v>
      </x:c>
      <x:c r="D687" s="31" t="str">
        <x:v>واریزی دکتر مقیمی جهت کمک به انجمن</x:v>
      </x:c>
      <x:c r="E687" s="31"/>
    </x:row>
    <x:row r="688" ht="15" hidden="0" customHeight="1">
      <x:c r="A688" s="31" t="str">
        <x:v>Anjoman accounting - refined.xlsx</x:v>
      </x:c>
      <x:c r="B688" s="31" t="str">
        <x:v>تراکنش‌ها</x:v>
      </x:c>
      <x:c r="C688" s="31" t="str">
        <x:v>I39</x:v>
      </x:c>
      <x:c r="D688" s="31" t="str">
        <x:v>درآمد / کمک / رویداد</x:v>
      </x:c>
      <x:c r="E688" s="31"/>
    </x:row>
    <x:row r="689" ht="15" hidden="0" customHeight="1">
      <x:c r="A689" s="31" t="str">
        <x:v>Anjoman accounting - refined.xlsx</x:v>
      </x:c>
      <x:c r="B689" s="31" t="str">
        <x:v>تراکنش‌ها</x:v>
      </x:c>
      <x:c r="C689" s="31" t="str">
        <x:v>J39</x:v>
      </x:c>
      <x:c r="D689" s="31" t="str">
        <x:v>تاییدشده</x:v>
      </x:c>
      <x:c r="E689" s="31"/>
    </x:row>
    <x:row r="690" ht="15" hidden="0" customHeight="1">
      <x:c r="A690" s="31" t="str">
        <x:v>Anjoman accounting - refined.xlsx</x:v>
      </x:c>
      <x:c r="B690" s="31" t="str">
        <x:v>تراکنش‌ها</x:v>
      </x:c>
      <x:c r="C690" s="31" t="str">
        <x:v>K39</x:v>
      </x:c>
      <x:c r="D690" s="31" t="str">
        <x:v>دفتر قبلی</x:v>
      </x:c>
      <x:c r="E690" s="31"/>
    </x:row>
    <x:row r="691" ht="15" hidden="0" customHeight="1">
      <x:c r="A691" s="31" t="str">
        <x:v>Anjoman accounting - refined.xlsx</x:v>
      </x:c>
      <x:c r="B691" s="31" t="str">
        <x:v>تراکنش‌ها</x:v>
      </x:c>
      <x:c r="C691" s="31" t="str">
        <x:v>L39</x:v>
      </x:c>
      <x:c r="D691" s="31" t="str">
        <x:v>LEDGER-MAJMOO-038</x:v>
      </x:c>
      <x:c r="E691" s="31"/>
    </x:row>
    <x:row r="692" ht="15" hidden="0" customHeight="1">
      <x:c r="A692" s="31" t="str">
        <x:v>Anjoman accounting - refined.xlsx</x:v>
      </x:c>
      <x:c r="B692" s="31" t="str">
        <x:v>تراکنش‌ها</x:v>
      </x:c>
      <x:c r="C692" s="31" t="str">
        <x:v>M39</x:v>
      </x:c>
      <x:c r="D692" s="31" t="str">
        <x:v>مبلغ از دفتر قبلی خوانده شد؛ نیازمند تطبیق نهایی با شواهد بانکی/رسید.</x:v>
      </x:c>
      <x:c r="E692" s="31"/>
    </x:row>
    <x:row r="693" ht="15" hidden="0" customHeight="1">
      <x:c r="A693" s="31" t="str">
        <x:v>Anjoman accounting - refined.xlsx</x:v>
      </x:c>
      <x:c r="B693" s="31" t="str">
        <x:v>تراکنش‌ها</x:v>
      </x:c>
      <x:c r="C693" s="31" t="str">
        <x:v>A40</x:v>
      </x:c>
      <x:c r="D693" s="31" t="str">
        <x:v>TX-00037</x:v>
      </x:c>
      <x:c r="E693" s="31"/>
    </x:row>
    <x:row r="694" ht="15" hidden="0" customHeight="1">
      <x:c r="A694" s="31" t="str">
        <x:v>Anjoman accounting - refined.xlsx</x:v>
      </x:c>
      <x:c r="B694" s="31" t="str">
        <x:v>تراکنش‌ها</x:v>
      </x:c>
      <x:c r="C694" s="31" t="str">
        <x:v>B40</x:v>
      </x:c>
      <x:c r="D694" s="31" t="str">
        <x:v>درآمد</x:v>
      </x:c>
      <x:c r="E694" s="31"/>
    </x:row>
    <x:row r="695" ht="15" hidden="0" customHeight="1">
      <x:c r="A695" s="31" t="str">
        <x:v>Anjoman accounting - refined.xlsx</x:v>
      </x:c>
      <x:c r="B695" s="31" t="str">
        <x:v>تراکنش‌ها</x:v>
      </x:c>
      <x:c r="C695" s="31" t="str">
        <x:v>C40</x:v>
      </x:c>
      <x:c r="D695" s="31" t="str">
        <x:v>آذر</x:v>
      </x:c>
      <x:c r="E695" s="31"/>
    </x:row>
    <x:row r="696" ht="15" hidden="0" customHeight="1">
      <x:c r="A696" s="31" t="str">
        <x:v>Anjoman accounting - refined.xlsx</x:v>
      </x:c>
      <x:c r="B696" s="31" t="str">
        <x:v>تراکنش‌ها</x:v>
      </x:c>
      <x:c r="C696" s="31" t="str">
        <x:v>D40</x:v>
      </x:c>
      <x:c r="D696" s="31" t="str">
        <x:v>7000000</x:v>
      </x:c>
      <x:c r="E696" s="31"/>
    </x:row>
    <x:row r="697" ht="15" hidden="0" customHeight="1">
      <x:c r="A697" s="31" t="str">
        <x:v>Anjoman accounting - refined.xlsx</x:v>
      </x:c>
      <x:c r="B697" s="31" t="str">
        <x:v>تراکنش‌ها</x:v>
      </x:c>
      <x:c r="C697" s="31" t="str">
        <x:v>E40</x:v>
      </x:c>
      <x:c r="D697" s="31" t="str">
        <x:v>تومان</x:v>
      </x:c>
      <x:c r="E697" s="31"/>
    </x:row>
    <x:row r="698" ht="15" hidden="0" customHeight="1">
      <x:c r="A698" s="31" t="str">
        <x:v>Anjoman accounting - refined.xlsx</x:v>
      </x:c>
      <x:c r="B698" s="31" t="str">
        <x:v>تراکنش‌ها</x:v>
      </x:c>
      <x:c r="C698" s="31" t="str">
        <x:v>F40</x:v>
      </x:c>
      <x:c r="D698" s="31" t="str">
        <x:v>7000000</x:v>
      </x:c>
      <x:c r="E698" s="31"/>
    </x:row>
    <x:row r="699" ht="15" hidden="0" customHeight="1">
      <x:c r="A699" s="31" t="str">
        <x:v>Anjoman accounting - refined.xlsx</x:v>
      </x:c>
      <x:c r="B699" s="31" t="str">
        <x:v>تراکنش‌ها</x:v>
      </x:c>
      <x:c r="C699" s="31" t="str">
        <x:v>H40</x:v>
      </x:c>
      <x:c r="D699" s="31" t="str">
        <x:v>واریزی دکتر مقیمی جهت کمک به انجمن</x:v>
      </x:c>
      <x:c r="E699" s="31"/>
    </x:row>
    <x:row r="700" ht="15" hidden="0" customHeight="1">
      <x:c r="A700" s="31" t="str">
        <x:v>Anjoman accounting - refined.xlsx</x:v>
      </x:c>
      <x:c r="B700" s="31" t="str">
        <x:v>تراکنش‌ها</x:v>
      </x:c>
      <x:c r="C700" s="31" t="str">
        <x:v>I40</x:v>
      </x:c>
      <x:c r="D700" s="31" t="str">
        <x:v>درآمد / کمک / رویداد</x:v>
      </x:c>
      <x:c r="E700" s="31"/>
    </x:row>
    <x:row r="701" ht="15" hidden="0" customHeight="1">
      <x:c r="A701" s="31" t="str">
        <x:v>Anjoman accounting - refined.xlsx</x:v>
      </x:c>
      <x:c r="B701" s="31" t="str">
        <x:v>تراکنش‌ها</x:v>
      </x:c>
      <x:c r="C701" s="31" t="str">
        <x:v>J40</x:v>
      </x:c>
      <x:c r="D701" s="31" t="str">
        <x:v>تاییدشده</x:v>
      </x:c>
      <x:c r="E701" s="31"/>
    </x:row>
    <x:row r="702" ht="15" hidden="0" customHeight="1">
      <x:c r="A702" s="31" t="str">
        <x:v>Anjoman accounting - refined.xlsx</x:v>
      </x:c>
      <x:c r="B702" s="31" t="str">
        <x:v>تراکنش‌ها</x:v>
      </x:c>
      <x:c r="C702" s="31" t="str">
        <x:v>K40</x:v>
      </x:c>
      <x:c r="D702" s="31" t="str">
        <x:v>دفتر قبلی</x:v>
      </x:c>
      <x:c r="E702" s="31"/>
    </x:row>
    <x:row r="703" ht="15" hidden="0" customHeight="1">
      <x:c r="A703" s="31" t="str">
        <x:v>Anjoman accounting - refined.xlsx</x:v>
      </x:c>
      <x:c r="B703" s="31" t="str">
        <x:v>تراکنش‌ها</x:v>
      </x:c>
      <x:c r="C703" s="31" t="str">
        <x:v>L40</x:v>
      </x:c>
      <x:c r="D703" s="31" t="str">
        <x:v>LEDGER-MAJMOO-039</x:v>
      </x:c>
      <x:c r="E703" s="31"/>
    </x:row>
    <x:row r="704" ht="15" hidden="0" customHeight="1">
      <x:c r="A704" s="31" t="str">
        <x:v>Anjoman accounting - refined.xlsx</x:v>
      </x:c>
      <x:c r="B704" s="31" t="str">
        <x:v>تراکنش‌ها</x:v>
      </x:c>
      <x:c r="C704" s="31" t="str">
        <x:v>M40</x:v>
      </x:c>
      <x:c r="D704" s="31" t="str">
        <x:v>مبلغ از دفتر قبلی خوانده شد؛ نیازمند تطبیق نهایی با شواهد بانکی/رسید.</x:v>
      </x:c>
      <x:c r="E704" s="31"/>
    </x:row>
    <x:row r="705" ht="15" hidden="0" customHeight="1">
      <x:c r="A705" s="31" t="str">
        <x:v>Anjoman accounting - refined.xlsx</x:v>
      </x:c>
      <x:c r="B705" s="31" t="str">
        <x:v>تراکنش‌ها</x:v>
      </x:c>
      <x:c r="C705" s="31" t="str">
        <x:v>A41</x:v>
      </x:c>
      <x:c r="D705" s="31" t="str">
        <x:v>TX-00038</x:v>
      </x:c>
      <x:c r="E705" s="31"/>
    </x:row>
    <x:row r="706" ht="15" hidden="0" customHeight="1">
      <x:c r="A706" s="31" t="str">
        <x:v>Anjoman accounting - refined.xlsx</x:v>
      </x:c>
      <x:c r="B706" s="31" t="str">
        <x:v>تراکنش‌ها</x:v>
      </x:c>
      <x:c r="C706" s="31" t="str">
        <x:v>B41</x:v>
      </x:c>
      <x:c r="D706" s="31" t="str">
        <x:v>درآمد</x:v>
      </x:c>
      <x:c r="E706" s="31"/>
    </x:row>
    <x:row r="707" ht="15" hidden="0" customHeight="1">
      <x:c r="A707" s="31" t="str">
        <x:v>Anjoman accounting - refined.xlsx</x:v>
      </x:c>
      <x:c r="B707" s="31" t="str">
        <x:v>تراکنش‌ها</x:v>
      </x:c>
      <x:c r="C707" s="31" t="str">
        <x:v>C41</x:v>
      </x:c>
      <x:c r="D707" s="31" t="str">
        <x:v>آذر</x:v>
      </x:c>
      <x:c r="E707" s="31"/>
    </x:row>
    <x:row r="708" ht="15" hidden="0" customHeight="1">
      <x:c r="A708" s="31" t="str">
        <x:v>Anjoman accounting - refined.xlsx</x:v>
      </x:c>
      <x:c r="B708" s="31" t="str">
        <x:v>تراکنش‌ها</x:v>
      </x:c>
      <x:c r="C708" s="31" t="str">
        <x:v>D41</x:v>
      </x:c>
      <x:c r="D708" s="31" t="str">
        <x:v>6000000</x:v>
      </x:c>
      <x:c r="E708" s="31"/>
    </x:row>
    <x:row r="709" ht="15" hidden="0" customHeight="1">
      <x:c r="A709" s="31" t="str">
        <x:v>Anjoman accounting - refined.xlsx</x:v>
      </x:c>
      <x:c r="B709" s="31" t="str">
        <x:v>تراکنش‌ها</x:v>
      </x:c>
      <x:c r="C709" s="31" t="str">
        <x:v>E41</x:v>
      </x:c>
      <x:c r="D709" s="31" t="str">
        <x:v>تومان</x:v>
      </x:c>
      <x:c r="E709" s="31"/>
    </x:row>
    <x:row r="710" ht="15" hidden="0" customHeight="1">
      <x:c r="A710" s="31" t="str">
        <x:v>Anjoman accounting - refined.xlsx</x:v>
      </x:c>
      <x:c r="B710" s="31" t="str">
        <x:v>تراکنش‌ها</x:v>
      </x:c>
      <x:c r="C710" s="31" t="str">
        <x:v>F41</x:v>
      </x:c>
      <x:c r="D710" s="31" t="str">
        <x:v>6000000</x:v>
      </x:c>
      <x:c r="E710" s="31"/>
    </x:row>
    <x:row r="711" ht="15" hidden="0" customHeight="1">
      <x:c r="A711" s="31" t="str">
        <x:v>Anjoman accounting - refined.xlsx</x:v>
      </x:c>
      <x:c r="B711" s="31" t="str">
        <x:v>تراکنش‌ها</x:v>
      </x:c>
      <x:c r="C711" s="31" t="str">
        <x:v>H41</x:v>
      </x:c>
      <x:c r="D711" s="31" t="str">
        <x:v>واریزی دکتر مقیمی جهت کمک به انجمن</x:v>
      </x:c>
      <x:c r="E711" s="31"/>
    </x:row>
    <x:row r="712" ht="15" hidden="0" customHeight="1">
      <x:c r="A712" s="31" t="str">
        <x:v>Anjoman accounting - refined.xlsx</x:v>
      </x:c>
      <x:c r="B712" s="31" t="str">
        <x:v>تراکنش‌ها</x:v>
      </x:c>
      <x:c r="C712" s="31" t="str">
        <x:v>I41</x:v>
      </x:c>
      <x:c r="D712" s="31" t="str">
        <x:v>درآمد / کمک / رویداد</x:v>
      </x:c>
      <x:c r="E712" s="31"/>
    </x:row>
    <x:row r="713" ht="15" hidden="0" customHeight="1">
      <x:c r="A713" s="31" t="str">
        <x:v>Anjoman accounting - refined.xlsx</x:v>
      </x:c>
      <x:c r="B713" s="31" t="str">
        <x:v>تراکنش‌ها</x:v>
      </x:c>
      <x:c r="C713" s="31" t="str">
        <x:v>J41</x:v>
      </x:c>
      <x:c r="D713" s="31" t="str">
        <x:v>تاییدشده</x:v>
      </x:c>
      <x:c r="E713" s="31"/>
    </x:row>
    <x:row r="714" ht="15" hidden="0" customHeight="1">
      <x:c r="A714" s="31" t="str">
        <x:v>Anjoman accounting - refined.xlsx</x:v>
      </x:c>
      <x:c r="B714" s="31" t="str">
        <x:v>تراکنش‌ها</x:v>
      </x:c>
      <x:c r="C714" s="31" t="str">
        <x:v>K41</x:v>
      </x:c>
      <x:c r="D714" s="31" t="str">
        <x:v>دفتر قبلی</x:v>
      </x:c>
      <x:c r="E714" s="31"/>
    </x:row>
    <x:row r="715" ht="15" hidden="0" customHeight="1">
      <x:c r="A715" s="31" t="str">
        <x:v>Anjoman accounting - refined.xlsx</x:v>
      </x:c>
      <x:c r="B715" s="31" t="str">
        <x:v>تراکنش‌ها</x:v>
      </x:c>
      <x:c r="C715" s="31" t="str">
        <x:v>L41</x:v>
      </x:c>
      <x:c r="D715" s="31" t="str">
        <x:v>LEDGER-MAJMOO-040</x:v>
      </x:c>
      <x:c r="E715" s="31"/>
    </x:row>
    <x:row r="716" ht="15" hidden="0" customHeight="1">
      <x:c r="A716" s="31" t="str">
        <x:v>Anjoman accounting - refined.xlsx</x:v>
      </x:c>
      <x:c r="B716" s="31" t="str">
        <x:v>تراکنش‌ها</x:v>
      </x:c>
      <x:c r="C716" s="31" t="str">
        <x:v>M41</x:v>
      </x:c>
      <x:c r="D716" s="31" t="str">
        <x:v>مبلغ از دفتر قبلی خوانده شد؛ نیازمند تطبیق نهایی با شواهد بانکی/رسید.</x:v>
      </x:c>
      <x:c r="E716" s="31"/>
    </x:row>
    <x:row r="717" ht="15" hidden="0" customHeight="1">
      <x:c r="A717" s="31" t="str">
        <x:v>Anjoman accounting - refined.xlsx</x:v>
      </x:c>
      <x:c r="B717" s="31" t="str">
        <x:v>تراکنش‌ها</x:v>
      </x:c>
      <x:c r="C717" s="31" t="str">
        <x:v>A42</x:v>
      </x:c>
      <x:c r="D717" s="31" t="str">
        <x:v>TX-00039</x:v>
      </x:c>
      <x:c r="E717" s="31"/>
    </x:row>
    <x:row r="718" ht="15" hidden="0" customHeight="1">
      <x:c r="A718" s="31" t="str">
        <x:v>Anjoman accounting - refined.xlsx</x:v>
      </x:c>
      <x:c r="B718" s="31" t="str">
        <x:v>تراکنش‌ها</x:v>
      </x:c>
      <x:c r="C718" s="31" t="str">
        <x:v>B42</x:v>
      </x:c>
      <x:c r="D718" s="31" t="str">
        <x:v>درآمد</x:v>
      </x:c>
      <x:c r="E718" s="31"/>
    </x:row>
    <x:row r="719" ht="15" hidden="0" customHeight="1">
      <x:c r="A719" s="31" t="str">
        <x:v>Anjoman accounting - refined.xlsx</x:v>
      </x:c>
      <x:c r="B719" s="31" t="str">
        <x:v>تراکنش‌ها</x:v>
      </x:c>
      <x:c r="C719" s="31" t="str">
        <x:v>C42</x:v>
      </x:c>
      <x:c r="D719" s="31" t="str">
        <x:v>دی</x:v>
      </x:c>
      <x:c r="E719" s="31"/>
    </x:row>
    <x:row r="720" ht="15" hidden="0" customHeight="1">
      <x:c r="A720" s="31" t="str">
        <x:v>Anjoman accounting - refined.xlsx</x:v>
      </x:c>
      <x:c r="B720" s="31" t="str">
        <x:v>تراکنش‌ها</x:v>
      </x:c>
      <x:c r="C720" s="31" t="str">
        <x:v>D42</x:v>
      </x:c>
      <x:c r="D720" s="31" t="str">
        <x:v>15790000</x:v>
      </x:c>
      <x:c r="E720" s="31"/>
    </x:row>
    <x:row r="721" ht="15" hidden="0" customHeight="1">
      <x:c r="A721" s="31" t="str">
        <x:v>Anjoman accounting - refined.xlsx</x:v>
      </x:c>
      <x:c r="B721" s="31" t="str">
        <x:v>تراکنش‌ها</x:v>
      </x:c>
      <x:c r="C721" s="31" t="str">
        <x:v>E42</x:v>
      </x:c>
      <x:c r="D721" s="31" t="str">
        <x:v>تومان</x:v>
      </x:c>
      <x:c r="E721" s="31"/>
    </x:row>
    <x:row r="722" ht="15" hidden="0" customHeight="1">
      <x:c r="A722" s="31" t="str">
        <x:v>Anjoman accounting - refined.xlsx</x:v>
      </x:c>
      <x:c r="B722" s="31" t="str">
        <x:v>تراکنش‌ها</x:v>
      </x:c>
      <x:c r="C722" s="31" t="str">
        <x:v>F42</x:v>
      </x:c>
      <x:c r="D722" s="31" t="str">
        <x:v>15790000</x:v>
      </x:c>
      <x:c r="E722" s="31"/>
    </x:row>
    <x:row r="723" ht="15" hidden="0" customHeight="1">
      <x:c r="A723" s="31" t="str">
        <x:v>Anjoman accounting - refined.xlsx</x:v>
      </x:c>
      <x:c r="B723" s="31" t="str">
        <x:v>تراکنش‌ها</x:v>
      </x:c>
      <x:c r="C723" s="31" t="str">
        <x:v>H42</x:v>
      </x:c>
      <x:c r="D723" s="31" t="str">
        <x:v>دونیشن برای جشن یلدا در حساب</x:v>
      </x:c>
      <x:c r="E723" s="31"/>
    </x:row>
    <x:row r="724" ht="15" hidden="0" customHeight="1">
      <x:c r="A724" s="31" t="str">
        <x:v>Anjoman accounting - refined.xlsx</x:v>
      </x:c>
      <x:c r="B724" s="31" t="str">
        <x:v>تراکنش‌ها</x:v>
      </x:c>
      <x:c r="C724" s="31" t="str">
        <x:v>I42</x:v>
      </x:c>
      <x:c r="D724" s="31" t="str">
        <x:v>درآمد / کمک / رویداد</x:v>
      </x:c>
      <x:c r="E724" s="31"/>
    </x:row>
    <x:row r="725" ht="15" hidden="0" customHeight="1">
      <x:c r="A725" s="31" t="str">
        <x:v>Anjoman accounting - refined.xlsx</x:v>
      </x:c>
      <x:c r="B725" s="31" t="str">
        <x:v>تراکنش‌ها</x:v>
      </x:c>
      <x:c r="C725" s="31" t="str">
        <x:v>J42</x:v>
      </x:c>
      <x:c r="D725" s="31" t="str">
        <x:v>تاییدشده</x:v>
      </x:c>
      <x:c r="E725" s="31"/>
    </x:row>
    <x:row r="726" ht="15" hidden="0" customHeight="1">
      <x:c r="A726" s="31" t="str">
        <x:v>Anjoman accounting - refined.xlsx</x:v>
      </x:c>
      <x:c r="B726" s="31" t="str">
        <x:v>تراکنش‌ها</x:v>
      </x:c>
      <x:c r="C726" s="31" t="str">
        <x:v>K42</x:v>
      </x:c>
      <x:c r="D726" s="31" t="str">
        <x:v>دفتر قبلی</x:v>
      </x:c>
      <x:c r="E726" s="31"/>
    </x:row>
    <x:row r="727" ht="15" hidden="0" customHeight="1">
      <x:c r="A727" s="31" t="str">
        <x:v>Anjoman accounting - refined.xlsx</x:v>
      </x:c>
      <x:c r="B727" s="31" t="str">
        <x:v>تراکنش‌ها</x:v>
      </x:c>
      <x:c r="C727" s="31" t="str">
        <x:v>L42</x:v>
      </x:c>
      <x:c r="D727" s="31" t="str">
        <x:v>LEDGER-MAJMOO-042</x:v>
      </x:c>
      <x:c r="E727" s="31"/>
    </x:row>
    <x:row r="728" ht="15" hidden="0" customHeight="1">
      <x:c r="A728" s="31" t="str">
        <x:v>Anjoman accounting - refined.xlsx</x:v>
      </x:c>
      <x:c r="B728" s="31" t="str">
        <x:v>تراکنش‌ها</x:v>
      </x:c>
      <x:c r="C728" s="31" t="str">
        <x:v>M42</x:v>
      </x:c>
      <x:c r="D728" s="31" t="str">
        <x:v>مبلغ از دفتر قبلی خوانده شد؛ نیازمند تطبیق نهایی با شواهد بانکی/رسید.</x:v>
      </x:c>
      <x:c r="E728" s="31"/>
    </x:row>
    <x:row r="729" ht="15" hidden="0" customHeight="1">
      <x:c r="A729" s="31" t="str">
        <x:v>Anjoman accounting - refined.xlsx</x:v>
      </x:c>
      <x:c r="B729" s="31" t="str">
        <x:v>تراکنش‌ها</x:v>
      </x:c>
      <x:c r="C729" s="31" t="str">
        <x:v>A43</x:v>
      </x:c>
      <x:c r="D729" s="31" t="str">
        <x:v>TX-00040</x:v>
      </x:c>
      <x:c r="E729" s="31"/>
    </x:row>
    <x:row r="730" ht="15" hidden="0" customHeight="1">
      <x:c r="A730" s="31" t="str">
        <x:v>Anjoman accounting - refined.xlsx</x:v>
      </x:c>
      <x:c r="B730" s="31" t="str">
        <x:v>تراکنش‌ها</x:v>
      </x:c>
      <x:c r="C730" s="31" t="str">
        <x:v>B43</x:v>
      </x:c>
      <x:c r="D730" s="31" t="str">
        <x:v>هزینه</x:v>
      </x:c>
      <x:c r="E730" s="31"/>
    </x:row>
    <x:row r="731" ht="15" hidden="0" customHeight="1">
      <x:c r="A731" s="31" t="str">
        <x:v>Anjoman accounting - refined.xlsx</x:v>
      </x:c>
      <x:c r="B731" s="31" t="str">
        <x:v>تراکنش‌ها</x:v>
      </x:c>
      <x:c r="C731" s="31" t="str">
        <x:v>C43</x:v>
      </x:c>
      <x:c r="D731" s="31" t="str">
        <x:v>دی</x:v>
      </x:c>
      <x:c r="E731" s="31"/>
    </x:row>
    <x:row r="732" ht="15" hidden="0" customHeight="1">
      <x:c r="A732" s="31" t="str">
        <x:v>Anjoman accounting - refined.xlsx</x:v>
      </x:c>
      <x:c r="B732" s="31" t="str">
        <x:v>تراکنش‌ها</x:v>
      </x:c>
      <x:c r="C732" s="31" t="str">
        <x:v>D43</x:v>
      </x:c>
      <x:c r="D732" s="31" t="str">
        <x:v>2137000</x:v>
      </x:c>
      <x:c r="E732" s="31"/>
    </x:row>
    <x:row r="733" ht="15" hidden="0" customHeight="1">
      <x:c r="A733" s="31" t="str">
        <x:v>Anjoman accounting - refined.xlsx</x:v>
      </x:c>
      <x:c r="B733" s="31" t="str">
        <x:v>تراکنش‌ها</x:v>
      </x:c>
      <x:c r="C733" s="31" t="str">
        <x:v>E43</x:v>
      </x:c>
      <x:c r="D733" s="31" t="str">
        <x:v>تومان</x:v>
      </x:c>
      <x:c r="E733" s="31"/>
    </x:row>
    <x:row r="734" ht="15" hidden="0" customHeight="1">
      <x:c r="A734" s="31" t="str">
        <x:v>Anjoman accounting - refined.xlsx</x:v>
      </x:c>
      <x:c r="B734" s="31" t="str">
        <x:v>تراکنش‌ها</x:v>
      </x:c>
      <x:c r="C734" s="31" t="str">
        <x:v>F43</x:v>
      </x:c>
      <x:c r="D734" s="31" t="str">
        <x:v>2137000</x:v>
      </x:c>
      <x:c r="E734" s="31"/>
    </x:row>
    <x:row r="735" ht="15" hidden="0" customHeight="1">
      <x:c r="A735" s="31" t="str">
        <x:v>Anjoman accounting - refined.xlsx</x:v>
      </x:c>
      <x:c r="B735" s="31" t="str">
        <x:v>تراکنش‌ها</x:v>
      </x:c>
      <x:c r="C735" s="31" t="str">
        <x:v>H43</x:v>
      </x:c>
      <x:c r="D735" s="31" t="str">
        <x:v>جایزه و پذیرایی جشن یلدا</x:v>
      </x:c>
      <x:c r="E735" s="31"/>
    </x:row>
    <x:row r="736" ht="15" hidden="0" customHeight="1">
      <x:c r="A736" s="31" t="str">
        <x:v>Anjoman accounting - refined.xlsx</x:v>
      </x:c>
      <x:c r="B736" s="31" t="str">
        <x:v>تراکنش‌ها</x:v>
      </x:c>
      <x:c r="C736" s="31" t="str">
        <x:v>I43</x:v>
      </x:c>
      <x:c r="D736" s="31" t="str">
        <x:v>هزینه / عملیاتی</x:v>
      </x:c>
      <x:c r="E736" s="31"/>
    </x:row>
    <x:row r="737" ht="15" hidden="0" customHeight="1">
      <x:c r="A737" s="31" t="str">
        <x:v>Anjoman accounting - refined.xlsx</x:v>
      </x:c>
      <x:c r="B737" s="31" t="str">
        <x:v>تراکنش‌ها</x:v>
      </x:c>
      <x:c r="C737" s="31" t="str">
        <x:v>J43</x:v>
      </x:c>
      <x:c r="D737" s="31" t="str">
        <x:v>تاییدشده</x:v>
      </x:c>
      <x:c r="E737" s="31"/>
    </x:row>
    <x:row r="738" ht="15" hidden="0" customHeight="1">
      <x:c r="A738" s="31" t="str">
        <x:v>Anjoman accounting - refined.xlsx</x:v>
      </x:c>
      <x:c r="B738" s="31" t="str">
        <x:v>تراکنش‌ها</x:v>
      </x:c>
      <x:c r="C738" s="31" t="str">
        <x:v>K43</x:v>
      </x:c>
      <x:c r="D738" s="31" t="str">
        <x:v>دفتر قبلی</x:v>
      </x:c>
      <x:c r="E738" s="31"/>
    </x:row>
    <x:row r="739" ht="15" hidden="0" customHeight="1">
      <x:c r="A739" s="31" t="str">
        <x:v>Anjoman accounting - refined.xlsx</x:v>
      </x:c>
      <x:c r="B739" s="31" t="str">
        <x:v>تراکنش‌ها</x:v>
      </x:c>
      <x:c r="C739" s="31" t="str">
        <x:v>L43</x:v>
      </x:c>
      <x:c r="D739" s="31" t="str">
        <x:v>LEDGER-MAJMOO-042</x:v>
      </x:c>
      <x:c r="E739" s="31"/>
    </x:row>
    <x:row r="740" ht="15" hidden="0" customHeight="1">
      <x:c r="A740" s="31" t="str">
        <x:v>Anjoman accounting - refined.xlsx</x:v>
      </x:c>
      <x:c r="B740" s="31" t="str">
        <x:v>تراکنش‌ها</x:v>
      </x:c>
      <x:c r="C740" s="31" t="str">
        <x:v>M43</x:v>
      </x:c>
      <x:c r="D740" s="31" t="str">
        <x:v>مبلغ از دفتر قبلی خوانده شد؛ نیازمند تطبیق نهایی با شواهد پرداخت.</x:v>
      </x:c>
      <x:c r="E740" s="31"/>
    </x:row>
    <x:row r="741" ht="15" hidden="0" customHeight="1">
      <x:c r="A741" s="31" t="str">
        <x:v>Anjoman accounting - refined.xlsx</x:v>
      </x:c>
      <x:c r="B741" s="31" t="str">
        <x:v>تراکنش‌ها</x:v>
      </x:c>
      <x:c r="C741" s="31" t="str">
        <x:v>A44</x:v>
      </x:c>
      <x:c r="D741" s="31" t="str">
        <x:v>TX-00041</x:v>
      </x:c>
      <x:c r="E741" s="31"/>
    </x:row>
    <x:row r="742" ht="15" hidden="0" customHeight="1">
      <x:c r="A742" s="31" t="str">
        <x:v>Anjoman accounting - refined.xlsx</x:v>
      </x:c>
      <x:c r="B742" s="31" t="str">
        <x:v>تراکنش‌ها</x:v>
      </x:c>
      <x:c r="C742" s="31" t="str">
        <x:v>B44</x:v>
      </x:c>
      <x:c r="D742" s="31" t="str">
        <x:v>درآمد</x:v>
      </x:c>
      <x:c r="E742" s="31"/>
    </x:row>
    <x:row r="743" ht="15" hidden="0" customHeight="1">
      <x:c r="A743" s="31" t="str">
        <x:v>Anjoman accounting - refined.xlsx</x:v>
      </x:c>
      <x:c r="B743" s="31" t="str">
        <x:v>تراکنش‌ها</x:v>
      </x:c>
      <x:c r="C743" s="31" t="str">
        <x:v>C44</x:v>
      </x:c>
      <x:c r="D743" s="31" t="str">
        <x:v>دی</x:v>
      </x:c>
      <x:c r="E743" s="31"/>
    </x:row>
    <x:row r="744" ht="15" hidden="0" customHeight="1">
      <x:c r="A744" s="31" t="str">
        <x:v>Anjoman accounting - refined.xlsx</x:v>
      </x:c>
      <x:c r="B744" s="31" t="str">
        <x:v>تراکنش‌ها</x:v>
      </x:c>
      <x:c r="C744" s="31" t="str">
        <x:v>D44</x:v>
      </x:c>
      <x:c r="D744" s="31" t="str">
        <x:v>700000</x:v>
      </x:c>
      <x:c r="E744" s="31"/>
    </x:row>
    <x:row r="745" ht="15" hidden="0" customHeight="1">
      <x:c r="A745" s="31" t="str">
        <x:v>Anjoman accounting - refined.xlsx</x:v>
      </x:c>
      <x:c r="B745" s="31" t="str">
        <x:v>تراکنش‌ها</x:v>
      </x:c>
      <x:c r="C745" s="31" t="str">
        <x:v>E44</x:v>
      </x:c>
      <x:c r="D745" s="31" t="str">
        <x:v>تومان</x:v>
      </x:c>
      <x:c r="E745" s="31"/>
    </x:row>
    <x:row r="746" ht="15" hidden="0" customHeight="1">
      <x:c r="A746" s="31" t="str">
        <x:v>Anjoman accounting - refined.xlsx</x:v>
      </x:c>
      <x:c r="B746" s="31" t="str">
        <x:v>تراکنش‌ها</x:v>
      </x:c>
      <x:c r="C746" s="31" t="str">
        <x:v>F44</x:v>
      </x:c>
      <x:c r="D746" s="31" t="str">
        <x:v>700000</x:v>
      </x:c>
      <x:c r="E746" s="31"/>
    </x:row>
    <x:row r="747" ht="15" hidden="0" customHeight="1">
      <x:c r="A747" s="31" t="str">
        <x:v>Anjoman accounting - refined.xlsx</x:v>
      </x:c>
      <x:c r="B747" s="31" t="str">
        <x:v>تراکنش‌ها</x:v>
      </x:c>
      <x:c r="C747" s="31" t="str">
        <x:v>H44</x:v>
      </x:c>
      <x:c r="D747" s="31" t="str">
        <x:v>دونیشن وجه نقد برای جشن یلدا</x:v>
      </x:c>
      <x:c r="E747" s="31"/>
    </x:row>
    <x:row r="748" ht="15" hidden="0" customHeight="1">
      <x:c r="A748" s="31" t="str">
        <x:v>Anjoman accounting - refined.xlsx</x:v>
      </x:c>
      <x:c r="B748" s="31" t="str">
        <x:v>تراکنش‌ها</x:v>
      </x:c>
      <x:c r="C748" s="31" t="str">
        <x:v>I44</x:v>
      </x:c>
      <x:c r="D748" s="31" t="str">
        <x:v>درآمد / کمک / رویداد</x:v>
      </x:c>
      <x:c r="E748" s="31"/>
    </x:row>
    <x:row r="749" ht="15" hidden="0" customHeight="1">
      <x:c r="A749" s="31" t="str">
        <x:v>Anjoman accounting - refined.xlsx</x:v>
      </x:c>
      <x:c r="B749" s="31" t="str">
        <x:v>تراکنش‌ها</x:v>
      </x:c>
      <x:c r="C749" s="31" t="str">
        <x:v>J44</x:v>
      </x:c>
      <x:c r="D749" s="31" t="str">
        <x:v>تاییدشده</x:v>
      </x:c>
      <x:c r="E749" s="31"/>
    </x:row>
    <x:row r="750" ht="15" hidden="0" customHeight="1">
      <x:c r="A750" s="31" t="str">
        <x:v>Anjoman accounting - refined.xlsx</x:v>
      </x:c>
      <x:c r="B750" s="31" t="str">
        <x:v>تراکنش‌ها</x:v>
      </x:c>
      <x:c r="C750" s="31" t="str">
        <x:v>K44</x:v>
      </x:c>
      <x:c r="D750" s="31" t="str">
        <x:v>دفتر قبلی</x:v>
      </x:c>
      <x:c r="E750" s="31"/>
    </x:row>
    <x:row r="751" ht="15" hidden="0" customHeight="1">
      <x:c r="A751" s="31" t="str">
        <x:v>Anjoman accounting - refined.xlsx</x:v>
      </x:c>
      <x:c r="B751" s="31" t="str">
        <x:v>تراکنش‌ها</x:v>
      </x:c>
      <x:c r="C751" s="31" t="str">
        <x:v>L44</x:v>
      </x:c>
      <x:c r="D751" s="31" t="str">
        <x:v>LEDGER-MAJMOO-043</x:v>
      </x:c>
      <x:c r="E751" s="31"/>
    </x:row>
    <x:row r="752" ht="15" hidden="0" customHeight="1">
      <x:c r="A752" s="31" t="str">
        <x:v>Anjoman accounting - refined.xlsx</x:v>
      </x:c>
      <x:c r="B752" s="31" t="str">
        <x:v>تراکنش‌ها</x:v>
      </x:c>
      <x:c r="C752" s="31" t="str">
        <x:v>M44</x:v>
      </x:c>
      <x:c r="D752" s="31" t="str">
        <x:v>مبلغ از دفتر قبلی خوانده شد؛ نیازمند تطبیق نهایی با شواهد بانکی/رسید.</x:v>
      </x:c>
      <x:c r="E752" s="31"/>
    </x:row>
    <x:row r="753" ht="15" hidden="0" customHeight="1">
      <x:c r="A753" s="31" t="str">
        <x:v>Anjoman accounting - refined.xlsx</x:v>
      </x:c>
      <x:c r="B753" s="31" t="str">
        <x:v>تراکنش‌ها</x:v>
      </x:c>
      <x:c r="C753" s="31" t="str">
        <x:v>A45</x:v>
      </x:c>
      <x:c r="D753" s="31" t="str">
        <x:v>TX-00042</x:v>
      </x:c>
      <x:c r="E753" s="31"/>
    </x:row>
    <x:row r="754" ht="15" hidden="0" customHeight="1">
      <x:c r="A754" s="31" t="str">
        <x:v>Anjoman accounting - refined.xlsx</x:v>
      </x:c>
      <x:c r="B754" s="31" t="str">
        <x:v>تراکنش‌ها</x:v>
      </x:c>
      <x:c r="C754" s="31" t="str">
        <x:v>B45</x:v>
      </x:c>
      <x:c r="D754" s="31" t="str">
        <x:v>درآمد</x:v>
      </x:c>
      <x:c r="E754" s="31"/>
    </x:row>
    <x:row r="755" ht="15" hidden="0" customHeight="1">
      <x:c r="A755" s="31" t="str">
        <x:v>Anjoman accounting - refined.xlsx</x:v>
      </x:c>
      <x:c r="B755" s="31" t="str">
        <x:v>تراکنش‌ها</x:v>
      </x:c>
      <x:c r="C755" s="31" t="str">
        <x:v>C45</x:v>
      </x:c>
      <x:c r="D755" s="31" t="str">
        <x:v>مهر 05</x:v>
      </x:c>
      <x:c r="E755" s="31"/>
    </x:row>
    <x:row r="756" ht="15" hidden="0" customHeight="1">
      <x:c r="A756" s="31" t="str">
        <x:v>Anjoman accounting - refined.xlsx</x:v>
      </x:c>
      <x:c r="B756" s="31" t="str">
        <x:v>تراکنش‌ها</x:v>
      </x:c>
      <x:c r="C756" s="31" t="str">
        <x:v>D45</x:v>
      </x:c>
      <x:c r="D756" s="31" t="str">
        <x:v>23000000</x:v>
      </x:c>
      <x:c r="E756" s="31"/>
    </x:row>
    <x:row r="757" ht="15" hidden="0" customHeight="1">
      <x:c r="A757" s="31" t="str">
        <x:v>Anjoman accounting - refined.xlsx</x:v>
      </x:c>
      <x:c r="B757" s="31" t="str">
        <x:v>تراکنش‌ها</x:v>
      </x:c>
      <x:c r="C757" s="31" t="str">
        <x:v>E45</x:v>
      </x:c>
      <x:c r="D757" s="31" t="str">
        <x:v>تومان</x:v>
      </x:c>
      <x:c r="E757" s="31"/>
    </x:row>
    <x:row r="758" ht="15" hidden="0" customHeight="1">
      <x:c r="A758" s="31" t="str">
        <x:v>Anjoman accounting - refined.xlsx</x:v>
      </x:c>
      <x:c r="B758" s="31" t="str">
        <x:v>تراکنش‌ها</x:v>
      </x:c>
      <x:c r="C758" s="31" t="str">
        <x:v>F45</x:v>
      </x:c>
      <x:c r="D758" s="31" t="str">
        <x:v>23000000</x:v>
      </x:c>
      <x:c r="E758" s="31"/>
    </x:row>
    <x:row r="759" ht="15" hidden="0" customHeight="1">
      <x:c r="A759" s="31" t="str">
        <x:v>Anjoman accounting - refined.xlsx</x:v>
      </x:c>
      <x:c r="B759" s="31" t="str">
        <x:v>تراکنش‌ها</x:v>
      </x:c>
      <x:c r="C759" s="31" t="str">
        <x:v>H45</x:v>
      </x:c>
      <x:c r="D759" s="31" t="str">
        <x:v>معرفی رشته</x:v>
      </x:c>
      <x:c r="E759" s="31"/>
    </x:row>
    <x:row r="760" ht="15" hidden="0" customHeight="1">
      <x:c r="A760" s="31" t="str">
        <x:v>Anjoman accounting - refined.xlsx</x:v>
      </x:c>
      <x:c r="B760" s="31" t="str">
        <x:v>تراکنش‌ها</x:v>
      </x:c>
      <x:c r="C760" s="31" t="str">
        <x:v>I45</x:v>
      </x:c>
      <x:c r="D760" s="31" t="str">
        <x:v>درآمد / کمک / رویداد</x:v>
      </x:c>
      <x:c r="E760" s="31"/>
    </x:row>
    <x:row r="761" ht="15" hidden="0" customHeight="1">
      <x:c r="A761" s="31" t="str">
        <x:v>Anjoman accounting - refined.xlsx</x:v>
      </x:c>
      <x:c r="B761" s="31" t="str">
        <x:v>تراکنش‌ها</x:v>
      </x:c>
      <x:c r="C761" s="31" t="str">
        <x:v>J45</x:v>
      </x:c>
      <x:c r="D761" s="31" t="str">
        <x:v>تاییدشده</x:v>
      </x:c>
      <x:c r="E761" s="31"/>
    </x:row>
    <x:row r="762" ht="15" hidden="0" customHeight="1">
      <x:c r="A762" s="31" t="str">
        <x:v>Anjoman accounting - refined.xlsx</x:v>
      </x:c>
      <x:c r="B762" s="31" t="str">
        <x:v>تراکنش‌ها</x:v>
      </x:c>
      <x:c r="C762" s="31" t="str">
        <x:v>K45</x:v>
      </x:c>
      <x:c r="D762" s="31" t="str">
        <x:v>دفتر قبلی</x:v>
      </x:c>
      <x:c r="E762" s="31"/>
    </x:row>
    <x:row r="763" ht="15" hidden="0" customHeight="1">
      <x:c r="A763" s="31" t="str">
        <x:v>Anjoman accounting - refined.xlsx</x:v>
      </x:c>
      <x:c r="B763" s="31" t="str">
        <x:v>تراکنش‌ها</x:v>
      </x:c>
      <x:c r="C763" s="31" t="str">
        <x:v>L45</x:v>
      </x:c>
      <x:c r="D763" s="31" t="str">
        <x:v>LEDGER-MAJMOO-045</x:v>
      </x:c>
      <x:c r="E763" s="31"/>
    </x:row>
    <x:row r="764" ht="15" hidden="0" customHeight="1">
      <x:c r="A764" s="31" t="str">
        <x:v>Anjoman accounting - refined.xlsx</x:v>
      </x:c>
      <x:c r="B764" s="31" t="str">
        <x:v>تراکنش‌ها</x:v>
      </x:c>
      <x:c r="C764" s="31" t="str">
        <x:v>M45</x:v>
      </x:c>
      <x:c r="D764" s="31" t="str">
        <x:v>مبلغ از دفتر قبلی خوانده شد؛ نیازمند تطبیق نهایی با شواهد بانکی/رسید.</x:v>
      </x:c>
      <x:c r="E764" s="31"/>
    </x:row>
    <x:row r="765" ht="15" hidden="0" customHeight="1">
      <x:c r="A765" s="31" t="str">
        <x:v>Anjoman accounting - refined.xlsx</x:v>
      </x:c>
      <x:c r="B765" s="31" t="str">
        <x:v>تراکنش‌ها</x:v>
      </x:c>
      <x:c r="C765" s="31" t="str">
        <x:v>A46</x:v>
      </x:c>
      <x:c r="D765" s="31" t="str">
        <x:v>TX-00043</x:v>
      </x:c>
      <x:c r="E765" s="31"/>
    </x:row>
    <x:row r="766" ht="15" hidden="0" customHeight="1">
      <x:c r="A766" s="31" t="str">
        <x:v>Anjoman accounting - refined.xlsx</x:v>
      </x:c>
      <x:c r="B766" s="31" t="str">
        <x:v>تراکنش‌ها</x:v>
      </x:c>
      <x:c r="C766" s="31" t="str">
        <x:v>B46</x:v>
      </x:c>
      <x:c r="D766" s="31" t="str">
        <x:v>هزینه</x:v>
      </x:c>
      <x:c r="E766" s="31"/>
    </x:row>
    <x:row r="767" ht="15" hidden="0" customHeight="1">
      <x:c r="A767" s="31" t="str">
        <x:v>Anjoman accounting - refined.xlsx</x:v>
      </x:c>
      <x:c r="B767" s="31" t="str">
        <x:v>تراکنش‌ها</x:v>
      </x:c>
      <x:c r="C767" s="31" t="str">
        <x:v>C46</x:v>
      </x:c>
      <x:c r="D767" s="31" t="str">
        <x:v>مهر 05</x:v>
      </x:c>
      <x:c r="E767" s="31"/>
    </x:row>
    <x:row r="768" ht="15" hidden="0" customHeight="1">
      <x:c r="A768" s="31" t="str">
        <x:v>Anjoman accounting - refined.xlsx</x:v>
      </x:c>
      <x:c r="B768" s="31" t="str">
        <x:v>تراکنش‌ها</x:v>
      </x:c>
      <x:c r="C768" s="31" t="str">
        <x:v>D46</x:v>
      </x:c>
      <x:c r="D768" s="31" t="str">
        <x:v>5000000</x:v>
      </x:c>
      <x:c r="E768" s="31"/>
    </x:row>
    <x:row r="769" ht="15" hidden="0" customHeight="1">
      <x:c r="A769" s="31" t="str">
        <x:v>Anjoman accounting - refined.xlsx</x:v>
      </x:c>
      <x:c r="B769" s="31" t="str">
        <x:v>تراکنش‌ها</x:v>
      </x:c>
      <x:c r="C769" s="31" t="str">
        <x:v>E46</x:v>
      </x:c>
      <x:c r="D769" s="31" t="str">
        <x:v>تومان</x:v>
      </x:c>
      <x:c r="E769" s="31"/>
    </x:row>
    <x:row r="770" ht="15" hidden="0" customHeight="1">
      <x:c r="A770" s="31" t="str">
        <x:v>Anjoman accounting - refined.xlsx</x:v>
      </x:c>
      <x:c r="B770" s="31" t="str">
        <x:v>تراکنش‌ها</x:v>
      </x:c>
      <x:c r="C770" s="31" t="str">
        <x:v>F46</x:v>
      </x:c>
      <x:c r="D770" s="31" t="str">
        <x:v>5000000</x:v>
      </x:c>
      <x:c r="E770" s="31"/>
    </x:row>
    <x:row r="771" ht="15" hidden="0" customHeight="1">
      <x:c r="A771" s="31" t="str">
        <x:v>Anjoman accounting - refined.xlsx</x:v>
      </x:c>
      <x:c r="B771" s="31" t="str">
        <x:v>تراکنش‌ها</x:v>
      </x:c>
      <x:c r="C771" s="31" t="str">
        <x:v>H46</x:v>
      </x:c>
      <x:c r="D771" s="31" t="str">
        <x:v>دورهمی بعد از رویداد معرفی رشته</x:v>
      </x:c>
      <x:c r="E771" s="31"/>
    </x:row>
    <x:row r="772" ht="15" hidden="0" customHeight="1">
      <x:c r="A772" s="31" t="str">
        <x:v>Anjoman accounting - refined.xlsx</x:v>
      </x:c>
      <x:c r="B772" s="31" t="str">
        <x:v>تراکنش‌ها</x:v>
      </x:c>
      <x:c r="C772" s="31" t="str">
        <x:v>I46</x:v>
      </x:c>
      <x:c r="D772" s="31" t="str">
        <x:v>هزینه / عملیاتی</x:v>
      </x:c>
      <x:c r="E772" s="31"/>
    </x:row>
    <x:row r="773" ht="15" hidden="0" customHeight="1">
      <x:c r="A773" s="31" t="str">
        <x:v>Anjoman accounting - refined.xlsx</x:v>
      </x:c>
      <x:c r="B773" s="31" t="str">
        <x:v>تراکنش‌ها</x:v>
      </x:c>
      <x:c r="C773" s="31" t="str">
        <x:v>J46</x:v>
      </x:c>
      <x:c r="D773" s="31" t="str">
        <x:v>تاییدشده</x:v>
      </x:c>
      <x:c r="E773" s="31"/>
    </x:row>
    <x:row r="774" ht="15" hidden="0" customHeight="1">
      <x:c r="A774" s="31" t="str">
        <x:v>Anjoman accounting - refined.xlsx</x:v>
      </x:c>
      <x:c r="B774" s="31" t="str">
        <x:v>تراکنش‌ها</x:v>
      </x:c>
      <x:c r="C774" s="31" t="str">
        <x:v>K46</x:v>
      </x:c>
      <x:c r="D774" s="31" t="str">
        <x:v>دفتر قبلی</x:v>
      </x:c>
      <x:c r="E774" s="31"/>
    </x:row>
    <x:row r="775" ht="15" hidden="0" customHeight="1">
      <x:c r="A775" s="31" t="str">
        <x:v>Anjoman accounting - refined.xlsx</x:v>
      </x:c>
      <x:c r="B775" s="31" t="str">
        <x:v>تراکنش‌ها</x:v>
      </x:c>
      <x:c r="C775" s="31" t="str">
        <x:v>L46</x:v>
      </x:c>
      <x:c r="D775" s="31" t="str">
        <x:v>LEDGER-MAJMOO-045</x:v>
      </x:c>
      <x:c r="E775" s="31"/>
    </x:row>
    <x:row r="776" ht="15" hidden="0" customHeight="1">
      <x:c r="A776" s="31" t="str">
        <x:v>Anjoman accounting - refined.xlsx</x:v>
      </x:c>
      <x:c r="B776" s="31" t="str">
        <x:v>تراکنش‌ها</x:v>
      </x:c>
      <x:c r="C776" s="31" t="str">
        <x:v>M46</x:v>
      </x:c>
      <x:c r="D776" s="31" t="str">
        <x:v>مبلغ از دفتر قبلی خوانده شد؛ نیازمند تطبیق نهایی با شواهد پرداخت.</x:v>
      </x:c>
      <x:c r="E776" s="31"/>
    </x:row>
    <x:row r="777" ht="15" hidden="0" customHeight="1">
      <x:c r="A777" s="31" t="str">
        <x:v>Anjoman accounting - refined.xlsx</x:v>
      </x:c>
      <x:c r="B777" s="31" t="str">
        <x:v>تراکنش‌ها</x:v>
      </x:c>
      <x:c r="C777" s="31" t="str">
        <x:v>A47</x:v>
      </x:c>
      <x:c r="D777" s="31" t="str">
        <x:v>TX-00044</x:v>
      </x:c>
      <x:c r="E777" s="31"/>
    </x:row>
    <x:row r="778" ht="15" hidden="0" customHeight="1">
      <x:c r="A778" s="31" t="str">
        <x:v>Anjoman accounting - refined.xlsx</x:v>
      </x:c>
      <x:c r="B778" s="31" t="str">
        <x:v>تراکنش‌ها</x:v>
      </x:c>
      <x:c r="C778" s="31" t="str">
        <x:v>B47</x:v>
      </x:c>
      <x:c r="D778" s="31" t="str">
        <x:v>هزینه</x:v>
      </x:c>
      <x:c r="E778" s="31"/>
    </x:row>
    <x:row r="779" ht="15" hidden="0" customHeight="1">
      <x:c r="A779" s="31" t="str">
        <x:v>Anjoman accounting - refined.xlsx</x:v>
      </x:c>
      <x:c r="B779" s="31" t="str">
        <x:v>تراکنش‌ها</x:v>
      </x:c>
      <x:c r="C779" s="31" t="str">
        <x:v>C47</x:v>
      </x:c>
      <x:c r="D779" s="31" t="str">
        <x:v>1405/06/07</x:v>
      </x:c>
      <x:c r="E779" s="31"/>
    </x:row>
    <x:row r="780" ht="15" hidden="0" customHeight="1">
      <x:c r="A780" s="31" t="str">
        <x:v>Anjoman accounting - refined.xlsx</x:v>
      </x:c>
      <x:c r="B780" s="31" t="str">
        <x:v>تراکنش‌ها</x:v>
      </x:c>
      <x:c r="C780" s="31" t="str">
        <x:v>D47</x:v>
      </x:c>
      <x:c r="D780" s="31" t="str">
        <x:v>42570000</x:v>
      </x:c>
      <x:c r="E780" s="31"/>
    </x:row>
    <x:row r="781" ht="15" hidden="0" customHeight="1">
      <x:c r="A781" s="31" t="str">
        <x:v>Anjoman accounting - refined.xlsx</x:v>
      </x:c>
      <x:c r="B781" s="31" t="str">
        <x:v>تراکنش‌ها</x:v>
      </x:c>
      <x:c r="C781" s="31" t="str">
        <x:v>E47</x:v>
      </x:c>
      <x:c r="D781" s="31" t="str">
        <x:v>ریال</x:v>
      </x:c>
      <x:c r="E781" s="31"/>
    </x:row>
    <x:row r="782" ht="15" hidden="0" customHeight="1">
      <x:c r="A782" s="31" t="str">
        <x:v>Anjoman accounting - refined.xlsx</x:v>
      </x:c>
      <x:c r="B782" s="31" t="str">
        <x:v>تراکنش‌ها</x:v>
      </x:c>
      <x:c r="C782" s="31" t="str">
        <x:v>F47</x:v>
      </x:c>
      <x:c r="D782" s="31" t="str">
        <x:v>4257000</x:v>
      </x:c>
      <x:c r="E782" s="31"/>
    </x:row>
    <x:row r="783" ht="15" hidden="0" customHeight="1">
      <x:c r="A783" s="31" t="str">
        <x:v>Anjoman accounting - refined.xlsx</x:v>
      </x:c>
      <x:c r="B783" s="31" t="str">
        <x:v>تراکنش‌ها</x:v>
      </x:c>
      <x:c r="C783" s="31" t="str">
        <x:v>G47</x:v>
      </x:c>
      <x:c r="D783" s="31" t="str">
        <x:v>شرکت مه بانگ فناوری های پارس</x:v>
      </x:c>
      <x:c r="E783" s="31"/>
    </x:row>
    <x:row r="784" ht="15" hidden="0" customHeight="1">
      <x:c r="A784" s="31" t="str">
        <x:v>Anjoman accounting - refined.xlsx</x:v>
      </x:c>
      <x:c r="B784" s="31" t="str">
        <x:v>تراکنش‌ها</x:v>
      </x:c>
      <x:c r="C784" s="31" t="str">
        <x:v>H47</x:v>
      </x:c>
      <x:c r="D784" s="31" t="str">
        <x:v>خرید اپلیکیشن اسکای روم و بسته ضبط رویداد</x:v>
      </x:c>
      <x:c r="E784" s="31"/>
    </x:row>
    <x:row r="785" ht="15" hidden="0" customHeight="1">
      <x:c r="A785" s="31" t="str">
        <x:v>Anjoman accounting - refined.xlsx</x:v>
      </x:c>
      <x:c r="B785" s="31" t="str">
        <x:v>تراکنش‌ها</x:v>
      </x:c>
      <x:c r="C785" s="31" t="str">
        <x:v>I47</x:v>
      </x:c>
      <x:c r="D785" s="31" t="str">
        <x:v>هزینه / فناوری و رویداد</x:v>
      </x:c>
      <x:c r="E785" s="31"/>
    </x:row>
    <x:row r="786" ht="15" hidden="0" customHeight="1">
      <x:c r="A786" s="31" t="str">
        <x:v>Anjoman accounting - refined.xlsx</x:v>
      </x:c>
      <x:c r="B786" s="31" t="str">
        <x:v>تراکنش‌ها</x:v>
      </x:c>
      <x:c r="C786" s="31" t="str">
        <x:v>J47</x:v>
      </x:c>
      <x:c r="D786" s="31" t="str">
        <x:v>تاییدشده</x:v>
      </x:c>
      <x:c r="E786" s="31"/>
    </x:row>
    <x:row r="787" ht="15" hidden="0" customHeight="1">
      <x:c r="A787" s="31" t="str">
        <x:v>Anjoman accounting - refined.xlsx</x:v>
      </x:c>
      <x:c r="B787" s="31" t="str">
        <x:v>تراکنش‌ها</x:v>
      </x:c>
      <x:c r="C787" s="31" t="str">
        <x:v>K47</x:v>
      </x:c>
      <x:c r="D787" s="31" t="str">
        <x:v>فاکتور PDF</x:v>
      </x:c>
      <x:c r="E787" s="31"/>
    </x:row>
    <x:row r="788" ht="15" hidden="0" customHeight="1">
      <x:c r="A788" s="31" t="str">
        <x:v>Anjoman accounting - refined.xlsx</x:v>
      </x:c>
      <x:c r="B788" s="31" t="str">
        <x:v>تراکنش‌ها</x:v>
      </x:c>
      <x:c r="C788" s="31" t="str">
        <x:v>L47</x:v>
      </x:c>
      <x:c r="D788" s="31" t="str">
        <x:v>PDF-INVOICE-61150</x:v>
      </x:c>
      <x:c r="E788" s="31"/>
    </x:row>
    <x:row r="789" ht="15" hidden="0" customHeight="1">
      <x:c r="A789" s="31" t="str">
        <x:v>Anjoman accounting - refined.xlsx</x:v>
      </x:c>
      <x:c r="B789" s="31" t="str">
        <x:v>تراکنش‌ها</x:v>
      </x:c>
      <x:c r="C789" s="31" t="str">
        <x:v>M47</x:v>
      </x:c>
      <x:c r="D789" s="31" t="str">
        <x:v>اصل فاکتور 42,570,000 ریال است؛ در گزارش به تومان تبدیل شده. مالیات 387,000 تومان در مبلغ کل لحاظ شده.</x:v>
      </x:c>
      <x:c r="E789" s="31"/>
    </x:row>
    <x:row r="790" ht="15" hidden="0" customHeight="1">
      <x:c r="A790" s="31" t="str">
        <x:v>Anjoman accounting - refined.xlsx</x:v>
      </x:c>
      <x:c r="B790" s="31" t="str">
        <x:v>تراکنش‌ها</x:v>
      </x:c>
      <x:c r="C790" s="31" t="str">
        <x:v>A48</x:v>
      </x:c>
      <x:c r="D790" s="31" t="str">
        <x:v>TX-00045</x:v>
      </x:c>
      <x:c r="E790" s="31"/>
    </x:row>
    <x:row r="791" ht="15" hidden="0" customHeight="1">
      <x:c r="A791" s="31" t="str">
        <x:v>Anjoman accounting - refined.xlsx</x:v>
      </x:c>
      <x:c r="B791" s="31" t="str">
        <x:v>تراکنش‌ها</x:v>
      </x:c>
      <x:c r="C791" s="31" t="str">
        <x:v>B48</x:v>
      </x:c>
      <x:c r="D791" s="31" t="str">
        <x:v>درآمد</x:v>
      </x:c>
      <x:c r="E791" s="31"/>
    </x:row>
    <x:row r="792" ht="15" hidden="0" customHeight="1">
      <x:c r="A792" s="31" t="str">
        <x:v>Anjoman accounting - refined.xlsx</x:v>
      </x:c>
      <x:c r="B792" s="31" t="str">
        <x:v>تراکنش‌ها</x:v>
      </x:c>
      <x:c r="C792" s="31" t="str">
        <x:v>C48</x:v>
      </x:c>
      <x:c r="D792" s="31" t="str">
        <x:v>1405/07</x:v>
      </x:c>
      <x:c r="E792" s="31"/>
    </x:row>
    <x:row r="793" ht="15" hidden="0" customHeight="1">
      <x:c r="A793" s="31" t="str">
        <x:v>Anjoman accounting - refined.xlsx</x:v>
      </x:c>
      <x:c r="B793" s="31" t="str">
        <x:v>تراکنش‌ها</x:v>
      </x:c>
      <x:c r="C793" s="31" t="str">
        <x:v>D48</x:v>
      </x:c>
      <x:c r="D793" s="31" t="str">
        <x:v>27235000</x:v>
      </x:c>
      <x:c r="E793" s="31"/>
    </x:row>
    <x:row r="794" ht="15" hidden="0" customHeight="1">
      <x:c r="A794" s="31" t="str">
        <x:v>Anjoman accounting - refined.xlsx</x:v>
      </x:c>
      <x:c r="B794" s="31" t="str">
        <x:v>تراکنش‌ها</x:v>
      </x:c>
      <x:c r="C794" s="31" t="str">
        <x:v>E48</x:v>
      </x:c>
      <x:c r="D794" s="31" t="str">
        <x:v>تومان</x:v>
      </x:c>
      <x:c r="E794" s="31"/>
    </x:row>
    <x:row r="795" ht="15" hidden="0" customHeight="1">
      <x:c r="A795" s="31" t="str">
        <x:v>Anjoman accounting - refined.xlsx</x:v>
      </x:c>
      <x:c r="B795" s="31" t="str">
        <x:v>تراکنش‌ها</x:v>
      </x:c>
      <x:c r="C795" s="31" t="str">
        <x:v>F48</x:v>
      </x:c>
      <x:c r="D795" s="31" t="str">
        <x:v>27235000</x:v>
      </x:c>
      <x:c r="E795" s="31"/>
    </x:row>
    <x:row r="796" ht="15" hidden="0" customHeight="1">
      <x:c r="A796" s="31" t="str">
        <x:v>Anjoman accounting - refined.xlsx</x:v>
      </x:c>
      <x:c r="B796" s="31" t="str">
        <x:v>تراکنش‌ها</x:v>
      </x:c>
      <x:c r="C796" s="31" t="str">
        <x:v>H48</x:v>
      </x:c>
      <x:c r="D796" s="31" t="str">
        <x:v>درآمد گزارش‌شده رویداد معرفی رشته فیزیک</x:v>
      </x:c>
      <x:c r="E796" s="31"/>
    </x:row>
    <x:row r="797" ht="15" hidden="0" customHeight="1">
      <x:c r="A797" s="31" t="str">
        <x:v>Anjoman accounting - refined.xlsx</x:v>
      </x:c>
      <x:c r="B797" s="31" t="str">
        <x:v>تراکنش‌ها</x:v>
      </x:c>
      <x:c r="C797" s="31" t="str">
        <x:v>I48</x:v>
      </x:c>
      <x:c r="D797" s="31" t="str">
        <x:v>درآمد رویداد / فیزیک</x:v>
      </x:c>
      <x:c r="E797" s="31"/>
    </x:row>
    <x:row r="798" ht="15" hidden="0" customHeight="1">
      <x:c r="A798" s="31" t="str">
        <x:v>Anjoman accounting - refined.xlsx</x:v>
      </x:c>
      <x:c r="B798" s="31" t="str">
        <x:v>تراکنش‌ها</x:v>
      </x:c>
      <x:c r="C798" s="31" t="str">
        <x:v>J48</x:v>
      </x:c>
      <x:c r="D798" s="31" t="str">
        <x:v>پیشنهادی - نیازمند بررسی</x:v>
      </x:c>
      <x:c r="E798" s="31"/>
    </x:row>
    <x:row r="799" ht="15" hidden="0" customHeight="1">
      <x:c r="A799" s="31" t="str">
        <x:v>Anjoman accounting - refined.xlsx</x:v>
      </x:c>
      <x:c r="B799" s="31" t="str">
        <x:v>تراکنش‌ها</x:v>
      </x:c>
      <x:c r="C799" s="31" t="str">
        <x:v>K48</x:v>
      </x:c>
      <x:c r="D799" s="31" t="str">
        <x:v>گزارش رویداد PDF</x:v>
      </x:c>
      <x:c r="E799" s="31"/>
    </x:row>
    <x:row r="800" ht="15" hidden="0" customHeight="1">
      <x:c r="A800" s="31" t="str">
        <x:v>Anjoman accounting - refined.xlsx</x:v>
      </x:c>
      <x:c r="B800" s="31" t="str">
        <x:v>تراکنش‌ها</x:v>
      </x:c>
      <x:c r="C800" s="31" t="str">
        <x:v>L48</x:v>
      </x:c>
      <x:c r="D800" s="31" t="str">
        <x:v>PDF-PHYSICS-INTRO</x:v>
      </x:c>
      <x:c r="E800" s="31"/>
    </x:row>
    <x:row r="801" ht="15" hidden="0" customHeight="1">
      <x:c r="A801" s="31" t="str">
        <x:v>Anjoman accounting - refined.xlsx</x:v>
      </x:c>
      <x:c r="B801" s="31" t="str">
        <x:v>تراکنش‌ها</x:v>
      </x:c>
      <x:c r="C801" s="31" t="str">
        <x:v>M48</x:v>
      </x:c>
      <x:c r="D801" s="31" t="str">
        <x:v>مبلغ از گزارش رویداد استخراج شده و تا تطبیق با فروش بلیت/واریز بانکی در درآمد تاییدشده منظور نمی‌شود.</x:v>
      </x:c>
      <x:c r="E801" s="31"/>
    </x:row>
    <x:row r="802" ht="15" hidden="0" customHeight="1">
      <x:c r="A802" s="31" t="str">
        <x:v>Anjoman accounting - refined.xlsx</x:v>
      </x:c>
      <x:c r="B802" s="31" t="str">
        <x:v>تراکنش‌ها</x:v>
      </x:c>
      <x:c r="C802" s="31" t="str">
        <x:v>A49</x:v>
      </x:c>
      <x:c r="D802" s="31" t="str">
        <x:v>TX-00046</x:v>
      </x:c>
      <x:c r="E802" s="31"/>
    </x:row>
    <x:row r="803" ht="15" hidden="0" customHeight="1">
      <x:c r="A803" s="31" t="str">
        <x:v>Anjoman accounting - refined.xlsx</x:v>
      </x:c>
      <x:c r="B803" s="31" t="str">
        <x:v>تراکنش‌ها</x:v>
      </x:c>
      <x:c r="C803" s="31" t="str">
        <x:v>B49</x:v>
      </x:c>
      <x:c r="D803" s="31" t="str">
        <x:v>درآمد</x:v>
      </x:c>
      <x:c r="E803" s="31"/>
    </x:row>
    <x:row r="804" ht="15" hidden="0" customHeight="1">
      <x:c r="A804" s="31" t="str">
        <x:v>Anjoman accounting - refined.xlsx</x:v>
      </x:c>
      <x:c r="B804" s="31" t="str">
        <x:v>تراکنش‌ها</x:v>
      </x:c>
      <x:c r="C804" s="31" t="str">
        <x:v>C49</x:v>
      </x:c>
      <x:c r="D804" s="31" t="str">
        <x:v>نامشخص</x:v>
      </x:c>
      <x:c r="E804" s="31"/>
    </x:row>
    <x:row r="805" ht="15" hidden="0" customHeight="1">
      <x:c r="A805" s="31" t="str">
        <x:v>Anjoman accounting - refined.xlsx</x:v>
      </x:c>
      <x:c r="B805" s="31" t="str">
        <x:v>تراکنش‌ها</x:v>
      </x:c>
      <x:c r="C805" s="31" t="str">
        <x:v>D49</x:v>
      </x:c>
      <x:c r="D805" s="31" t="str">
        <x:v>11601</x:v>
      </x:c>
      <x:c r="E805" s="31"/>
    </x:row>
    <x:row r="806" ht="15" hidden="0" customHeight="1">
      <x:c r="A806" s="31" t="str">
        <x:v>Anjoman accounting - refined.xlsx</x:v>
      </x:c>
      <x:c r="B806" s="31" t="str">
        <x:v>تراکنش‌ها</x:v>
      </x:c>
      <x:c r="C806" s="31" t="str">
        <x:v>E49</x:v>
      </x:c>
      <x:c r="D806" s="31" t="str">
        <x:v>تومان</x:v>
      </x:c>
      <x:c r="E806" s="31"/>
    </x:row>
    <x:row r="807" ht="15" hidden="0" customHeight="1">
      <x:c r="A807" s="31" t="str">
        <x:v>Anjoman accounting - refined.xlsx</x:v>
      </x:c>
      <x:c r="B807" s="31" t="str">
        <x:v>تراکنش‌ها</x:v>
      </x:c>
      <x:c r="C807" s="31" t="str">
        <x:v>F49</x:v>
      </x:c>
      <x:c r="D807" s="31" t="str">
        <x:v>11601</x:v>
      </x:c>
      <x:c r="E807" s="31"/>
    </x:row>
    <x:row r="808" ht="15" hidden="0" customHeight="1">
      <x:c r="A808" s="31" t="str">
        <x:v>Anjoman accounting - refined.xlsx</x:v>
      </x:c>
      <x:c r="B808" s="31" t="str">
        <x:v>تراکنش‌ها</x:v>
      </x:c>
      <x:c r="C808" s="31" t="str">
        <x:v>H49</x:v>
      </x:c>
      <x:c r="D808" s="31" t="str">
        <x:v>درآمد گزارش‌شده دوره Python</x:v>
      </x:c>
      <x:c r="E808" s="31"/>
    </x:row>
    <x:row r="809" ht="15" hidden="0" customHeight="1">
      <x:c r="A809" s="31" t="str">
        <x:v>Anjoman accounting - refined.xlsx</x:v>
      </x:c>
      <x:c r="B809" s="31" t="str">
        <x:v>تراکنش‌ها</x:v>
      </x:c>
      <x:c r="C809" s="31" t="str">
        <x:v>I49</x:v>
      </x:c>
      <x:c r="D809" s="31" t="str">
        <x:v>درآمد دوره / Python</x:v>
      </x:c>
      <x:c r="E809" s="31"/>
    </x:row>
    <x:row r="810" ht="15" hidden="0" customHeight="1">
      <x:c r="A810" s="31" t="str">
        <x:v>Anjoman accounting - refined.xlsx</x:v>
      </x:c>
      <x:c r="B810" s="31" t="str">
        <x:v>تراکنش‌ها</x:v>
      </x:c>
      <x:c r="C810" s="31" t="str">
        <x:v>J49</x:v>
      </x:c>
      <x:c r="D810" s="31" t="str">
        <x:v>پیشنهادی - نیازمند بررسی</x:v>
      </x:c>
      <x:c r="E810" s="31"/>
    </x:row>
    <x:row r="811" ht="15" hidden="0" customHeight="1">
      <x:c r="A811" s="31" t="str">
        <x:v>Anjoman accounting - refined.xlsx</x:v>
      </x:c>
      <x:c r="B811" s="31" t="str">
        <x:v>تراکنش‌ها</x:v>
      </x:c>
      <x:c r="C811" s="31" t="str">
        <x:v>K49</x:v>
      </x:c>
      <x:c r="D811" s="31" t="str">
        <x:v>گزارش تلگرام</x:v>
      </x:c>
      <x:c r="E811" s="31"/>
    </x:row>
    <x:row r="812" ht="15" hidden="0" customHeight="1">
      <x:c r="A812" s="31" t="str">
        <x:v>Anjoman accounting - refined.xlsx</x:v>
      </x:c>
      <x:c r="B812" s="31" t="str">
        <x:v>تراکنش‌ها</x:v>
      </x:c>
      <x:c r="C812" s="31" t="str">
        <x:v>L49</x:v>
      </x:c>
      <x:c r="D812" s="31" t="str">
        <x:v>TG-REPORT-PYTHON</x:v>
      </x:c>
      <x:c r="E812" s="31"/>
    </x:row>
    <x:row r="813" ht="15" hidden="0" customHeight="1">
      <x:c r="A813" s="31" t="str">
        <x:v>Anjoman accounting - refined.xlsx</x:v>
      </x:c>
      <x:c r="B813" s="31" t="str">
        <x:v>تراکنش‌ها</x:v>
      </x:c>
      <x:c r="C813" s="31" t="str">
        <x:v>M49</x:v>
      </x:c>
      <x:c r="D813" s="31" t="str">
        <x:v>گزارش 81 دانشجو دارد؛ واحد مبلغ و ارتباط با واریز مستقل باید تایید شود.</x:v>
      </x:c>
      <x:c r="E813" s="31"/>
    </x:row>
    <x:row r="814" ht="15" hidden="0" customHeight="1">
      <x:c r="A814" s="31" t="str">
        <x:v>Anjoman accounting - refined.xlsx</x:v>
      </x:c>
      <x:c r="B814" s="31" t="str">
        <x:v>تراکنش‌ها</x:v>
      </x:c>
      <x:c r="C814" s="31" t="str">
        <x:v>A50</x:v>
      </x:c>
      <x:c r="D814" s="31" t="str">
        <x:v>TX-00047</x:v>
      </x:c>
      <x:c r="E814" s="31"/>
    </x:row>
    <x:row r="815" ht="15" hidden="0" customHeight="1">
      <x:c r="A815" s="31" t="str">
        <x:v>Anjoman accounting - refined.xlsx</x:v>
      </x:c>
      <x:c r="B815" s="31" t="str">
        <x:v>تراکنش‌ها</x:v>
      </x:c>
      <x:c r="C815" s="31" t="str">
        <x:v>B50</x:v>
      </x:c>
      <x:c r="D815" s="31" t="str">
        <x:v>درآمد</x:v>
      </x:c>
      <x:c r="E815" s="31"/>
    </x:row>
    <x:row r="816" ht="15" hidden="0" customHeight="1">
      <x:c r="A816" s="31" t="str">
        <x:v>Anjoman accounting - refined.xlsx</x:v>
      </x:c>
      <x:c r="B816" s="31" t="str">
        <x:v>تراکنش‌ها</x:v>
      </x:c>
      <x:c r="C816" s="31" t="str">
        <x:v>C50</x:v>
      </x:c>
      <x:c r="D816" s="31" t="str">
        <x:v>نامشخص</x:v>
      </x:c>
      <x:c r="E816" s="31"/>
    </x:row>
    <x:row r="817" ht="15" hidden="0" customHeight="1">
      <x:c r="A817" s="31" t="str">
        <x:v>Anjoman accounting - refined.xlsx</x:v>
      </x:c>
      <x:c r="B817" s="31" t="str">
        <x:v>تراکنش‌ها</x:v>
      </x:c>
      <x:c r="C817" s="31" t="str">
        <x:v>D50</x:v>
      </x:c>
      <x:c r="D817" s="31" t="str">
        <x:v>12261</x:v>
      </x:c>
      <x:c r="E817" s="31"/>
    </x:row>
    <x:row r="818" ht="15" hidden="0" customHeight="1">
      <x:c r="A818" s="31" t="str">
        <x:v>Anjoman accounting - refined.xlsx</x:v>
      </x:c>
      <x:c r="B818" s="31" t="str">
        <x:v>تراکنش‌ها</x:v>
      </x:c>
      <x:c r="C818" s="31" t="str">
        <x:v>E50</x:v>
      </x:c>
      <x:c r="D818" s="31" t="str">
        <x:v>تومان</x:v>
      </x:c>
      <x:c r="E818" s="31"/>
    </x:row>
    <x:row r="819" ht="15" hidden="0" customHeight="1">
      <x:c r="A819" s="31" t="str">
        <x:v>Anjoman accounting - refined.xlsx</x:v>
      </x:c>
      <x:c r="B819" s="31" t="str">
        <x:v>تراکنش‌ها</x:v>
      </x:c>
      <x:c r="C819" s="31" t="str">
        <x:v>F50</x:v>
      </x:c>
      <x:c r="D819" s="31" t="str">
        <x:v>12261</x:v>
      </x:c>
      <x:c r="E819" s="31"/>
    </x:row>
    <x:row r="820" ht="15" hidden="0" customHeight="1">
      <x:c r="A820" s="31" t="str">
        <x:v>Anjoman accounting - refined.xlsx</x:v>
      </x:c>
      <x:c r="B820" s="31" t="str">
        <x:v>تراکنش‌ها</x:v>
      </x:c>
      <x:c r="C820" s="31" t="str">
        <x:v>H50</x:v>
      </x:c>
      <x:c r="D820" s="31" t="str">
        <x:v>درآمد گزارش‌شده دوره LaTeX</x:v>
      </x:c>
      <x:c r="E820" s="31"/>
    </x:row>
    <x:row r="821" ht="15" hidden="0" customHeight="1">
      <x:c r="A821" s="31" t="str">
        <x:v>Anjoman accounting - refined.xlsx</x:v>
      </x:c>
      <x:c r="B821" s="31" t="str">
        <x:v>تراکنش‌ها</x:v>
      </x:c>
      <x:c r="C821" s="31" t="str">
        <x:v>I50</x:v>
      </x:c>
      <x:c r="D821" s="31" t="str">
        <x:v>درآمد دوره / LaTeX</x:v>
      </x:c>
      <x:c r="E821" s="31"/>
    </x:row>
    <x:row r="822" ht="15" hidden="0" customHeight="1">
      <x:c r="A822" s="31" t="str">
        <x:v>Anjoman accounting - refined.xlsx</x:v>
      </x:c>
      <x:c r="B822" s="31" t="str">
        <x:v>تراکنش‌ها</x:v>
      </x:c>
      <x:c r="C822" s="31" t="str">
        <x:v>J50</x:v>
      </x:c>
      <x:c r="D822" s="31" t="str">
        <x:v>پیشنهادی - نیازمند بررسی</x:v>
      </x:c>
      <x:c r="E822" s="31"/>
    </x:row>
    <x:row r="823" ht="15" hidden="0" customHeight="1">
      <x:c r="A823" s="31" t="str">
        <x:v>Anjoman accounting - refined.xlsx</x:v>
      </x:c>
      <x:c r="B823" s="31" t="str">
        <x:v>تراکنش‌ها</x:v>
      </x:c>
      <x:c r="C823" s="31" t="str">
        <x:v>K50</x:v>
      </x:c>
      <x:c r="D823" s="31" t="str">
        <x:v>گزارش تلگرام</x:v>
      </x:c>
      <x:c r="E823" s="31"/>
    </x:row>
    <x:row r="824" ht="15" hidden="0" customHeight="1">
      <x:c r="A824" s="31" t="str">
        <x:v>Anjoman accounting - refined.xlsx</x:v>
      </x:c>
      <x:c r="B824" s="31" t="str">
        <x:v>تراکنش‌ها</x:v>
      </x:c>
      <x:c r="C824" s="31" t="str">
        <x:v>L50</x:v>
      </x:c>
      <x:c r="D824" s="31" t="str">
        <x:v>TG-REPORT-LATEX</x:v>
      </x:c>
      <x:c r="E824" s="31"/>
    </x:row>
    <x:row r="825" ht="15" hidden="0" customHeight="1">
      <x:c r="A825" s="31" t="str">
        <x:v>Anjoman accounting - refined.xlsx</x:v>
      </x:c>
      <x:c r="B825" s="31" t="str">
        <x:v>تراکنش‌ها</x:v>
      </x:c>
      <x:c r="C825" s="31" t="str">
        <x:v>M50</x:v>
      </x:c>
      <x:c r="D825" s="31" t="str">
        <x:v>گزارش 89 دانشجو دارد؛ واحد مبلغ و ارتباط با واریز مستقل باید تایید شود.</x:v>
      </x:c>
      <x:c r="E825" s="31"/>
    </x:row>
    <x:row r="826" ht="15" hidden="0" customHeight="1">
      <x:c r="A826" s="31" t="str">
        <x:v>Anjoman accounting - refined.xlsx</x:v>
      </x:c>
      <x:c r="B826" s="31" t="str">
        <x:v>تراکنش‌ها</x:v>
      </x:c>
      <x:c r="C826" s="31" t="str">
        <x:v>A51</x:v>
      </x:c>
      <x:c r="D826" s="31" t="str">
        <x:v>TX-00048</x:v>
      </x:c>
      <x:c r="E826" s="31"/>
    </x:row>
    <x:row r="827" ht="15" hidden="0" customHeight="1">
      <x:c r="A827" s="31" t="str">
        <x:v>Anjoman accounting - refined.xlsx</x:v>
      </x:c>
      <x:c r="B827" s="31" t="str">
        <x:v>تراکنش‌ها</x:v>
      </x:c>
      <x:c r="C827" s="31" t="str">
        <x:v>B51</x:v>
      </x:c>
      <x:c r="D827" s="31" t="str">
        <x:v>درآمد</x:v>
      </x:c>
      <x:c r="E827" s="31"/>
    </x:row>
    <x:row r="828" ht="15" hidden="0" customHeight="1">
      <x:c r="A828" s="31" t="str">
        <x:v>Anjoman accounting - refined.xlsx</x:v>
      </x:c>
      <x:c r="B828" s="31" t="str">
        <x:v>تراکنش‌ها</x:v>
      </x:c>
      <x:c r="C828" s="31" t="str">
        <x:v>C51</x:v>
      </x:c>
      <x:c r="D828" s="31" t="str">
        <x:v>نامشخص</x:v>
      </x:c>
      <x:c r="E828" s="31"/>
    </x:row>
    <x:row r="829" ht="15" hidden="0" customHeight="1">
      <x:c r="A829" s="31" t="str">
        <x:v>Anjoman accounting - refined.xlsx</x:v>
      </x:c>
      <x:c r="B829" s="31" t="str">
        <x:v>تراکنش‌ها</x:v>
      </x:c>
      <x:c r="C829" s="31" t="str">
        <x:v>D51</x:v>
      </x:c>
      <x:c r="D829" s="31" t="str">
        <x:v>9781</x:v>
      </x:c>
      <x:c r="E829" s="31"/>
    </x:row>
    <x:row r="830" ht="15" hidden="0" customHeight="1">
      <x:c r="A830" s="31" t="str">
        <x:v>Anjoman accounting - refined.xlsx</x:v>
      </x:c>
      <x:c r="B830" s="31" t="str">
        <x:v>تراکنش‌ها</x:v>
      </x:c>
      <x:c r="C830" s="31" t="str">
        <x:v>E51</x:v>
      </x:c>
      <x:c r="D830" s="31" t="str">
        <x:v>تومان</x:v>
      </x:c>
      <x:c r="E830" s="31"/>
    </x:row>
    <x:row r="831" ht="15" hidden="0" customHeight="1">
      <x:c r="A831" s="31" t="str">
        <x:v>Anjoman accounting - refined.xlsx</x:v>
      </x:c>
      <x:c r="B831" s="31" t="str">
        <x:v>تراکنش‌ها</x:v>
      </x:c>
      <x:c r="C831" s="31" t="str">
        <x:v>F51</x:v>
      </x:c>
      <x:c r="D831" s="31" t="str">
        <x:v>9781</x:v>
      </x:c>
      <x:c r="E831" s="31"/>
    </x:row>
    <x:row r="832" ht="15" hidden="0" customHeight="1">
      <x:c r="A832" s="31" t="str">
        <x:v>Anjoman accounting - refined.xlsx</x:v>
      </x:c>
      <x:c r="B832" s="31" t="str">
        <x:v>تراکنش‌ها</x:v>
      </x:c>
      <x:c r="C832" s="31" t="str">
        <x:v>H51</x:v>
      </x:c>
      <x:c r="D832" s="31" t="str">
        <x:v>درآمد گزارش‌شده دوره Mathematica</x:v>
      </x:c>
      <x:c r="E832" s="31"/>
    </x:row>
    <x:row r="833" ht="15" hidden="0" customHeight="1">
      <x:c r="A833" s="31" t="str">
        <x:v>Anjoman accounting - refined.xlsx</x:v>
      </x:c>
      <x:c r="B833" s="31" t="str">
        <x:v>تراکنش‌ها</x:v>
      </x:c>
      <x:c r="C833" s="31" t="str">
        <x:v>I51</x:v>
      </x:c>
      <x:c r="D833" s="31" t="str">
        <x:v>درآمد دوره / Mathematica</x:v>
      </x:c>
      <x:c r="E833" s="31"/>
    </x:row>
    <x:row r="834" ht="15" hidden="0" customHeight="1">
      <x:c r="A834" s="31" t="str">
        <x:v>Anjoman accounting - refined.xlsx</x:v>
      </x:c>
      <x:c r="B834" s="31" t="str">
        <x:v>تراکنش‌ها</x:v>
      </x:c>
      <x:c r="C834" s="31" t="str">
        <x:v>J51</x:v>
      </x:c>
      <x:c r="D834" s="31" t="str">
        <x:v>پیشنهادی - نیازمند بررسی</x:v>
      </x:c>
      <x:c r="E834" s="31"/>
    </x:row>
    <x:row r="835" ht="15" hidden="0" customHeight="1">
      <x:c r="A835" s="31" t="str">
        <x:v>Anjoman accounting - refined.xlsx</x:v>
      </x:c>
      <x:c r="B835" s="31" t="str">
        <x:v>تراکنش‌ها</x:v>
      </x:c>
      <x:c r="C835" s="31" t="str">
        <x:v>K51</x:v>
      </x:c>
      <x:c r="D835" s="31" t="str">
        <x:v>گزارش تلگرام</x:v>
      </x:c>
      <x:c r="E835" s="31"/>
    </x:row>
    <x:row r="836" ht="15" hidden="0" customHeight="1">
      <x:c r="A836" s="31" t="str">
        <x:v>Anjoman accounting - refined.xlsx</x:v>
      </x:c>
      <x:c r="B836" s="31" t="str">
        <x:v>تراکنش‌ها</x:v>
      </x:c>
      <x:c r="C836" s="31" t="str">
        <x:v>L51</x:v>
      </x:c>
      <x:c r="D836" s="31" t="str">
        <x:v>TG-REPORT-MATHEMATICA</x:v>
      </x:c>
      <x:c r="E836" s="31"/>
    </x:row>
    <x:row r="837" ht="15" hidden="0" customHeight="1">
      <x:c r="A837" s="31" t="str">
        <x:v>Anjoman accounting - refined.xlsx</x:v>
      </x:c>
      <x:c r="B837" s="31" t="str">
        <x:v>تراکنش‌ها</x:v>
      </x:c>
      <x:c r="C837" s="31" t="str">
        <x:v>M51</x:v>
      </x:c>
      <x:c r="D837" s="31" t="str">
        <x:v>گزارش 73 دانشجو دارد؛ واحد مبلغ و ارتباط با واریز مستقل باید تایید شود.</x:v>
      </x:c>
      <x:c r="E837" s="31"/>
    </x:row>
    <x:row r="838" ht="15" hidden="0" customHeight="1">
      <x:c r="A838" s="31" t="str">
        <x:v>Anjoman accounting - refined.xlsx</x:v>
      </x:c>
      <x:c r="B838" s="31" t="str">
        <x:v>اسناد و شواهد</x:v>
      </x:c>
      <x:c r="C838" s="31" t="str">
        <x:v>A1</x:v>
      </x:c>
      <x:c r="D838" s="31" t="str">
        <x:v>فهرست اسناد و شواهد</x:v>
      </x:c>
      <x:c r="E838" s="31"/>
    </x:row>
    <x:row r="839" ht="15" hidden="0" customHeight="1">
      <x:c r="A839" s="31" t="str">
        <x:v>Anjoman accounting - refined.xlsx</x:v>
      </x:c>
      <x:c r="B839" s="31" t="str">
        <x:v>اسناد و شواهد</x:v>
      </x:c>
      <x:c r="C839" s="31" t="str">
        <x:v>A2</x:v>
      </x:c>
      <x:c r="D839" s="31" t="str">
        <x:v>نسخه refined | واحد گزارش: تومان | مبالغ نامطمئن در صف بررسی از جمع تاییدشده حذف می‌شوند.</x:v>
      </x:c>
      <x:c r="E839" s="31"/>
    </x:row>
    <x:row r="840" ht="15" hidden="0" customHeight="1">
      <x:c r="A840" s="31" t="str">
        <x:v>Anjoman accounting - refined.xlsx</x:v>
      </x:c>
      <x:c r="B840" s="31" t="str">
        <x:v>اسناد و شواهد</x:v>
      </x:c>
      <x:c r="C840" s="31" t="str">
        <x:v>A3</x:v>
      </x:c>
      <x:c r="D840" s="31" t="str">
        <x:v>شناسه مدرک</x:v>
      </x:c>
      <x:c r="E840" s="31"/>
    </x:row>
    <x:row r="841" ht="15" hidden="0" customHeight="1">
      <x:c r="A841" s="31" t="str">
        <x:v>Anjoman accounting - refined.xlsx</x:v>
      </x:c>
      <x:c r="B841" s="31" t="str">
        <x:v>اسناد و شواهد</x:v>
      </x:c>
      <x:c r="C841" s="31" t="str">
        <x:v>B3</x:v>
      </x:c>
      <x:c r="D841" s="31" t="str">
        <x:v>مسیر نسبی</x:v>
      </x:c>
      <x:c r="E841" s="31"/>
    </x:row>
    <x:row r="842" ht="15" hidden="0" customHeight="1">
      <x:c r="A842" s="31" t="str">
        <x:v>Anjoman accounting - refined.xlsx</x:v>
      </x:c>
      <x:c r="B842" s="31" t="str">
        <x:v>اسناد و شواهد</x:v>
      </x:c>
      <x:c r="C842" s="31" t="str">
        <x:v>C3</x:v>
      </x:c>
      <x:c r="D842" s="31" t="str">
        <x:v>نوع</x:v>
      </x:c>
      <x:c r="E842" s="31"/>
    </x:row>
    <x:row r="843" ht="15" hidden="0" customHeight="1">
      <x:c r="A843" s="31" t="str">
        <x:v>Anjoman accounting - refined.xlsx</x:v>
      </x:c>
      <x:c r="B843" s="31" t="str">
        <x:v>اسناد و شواهد</x:v>
      </x:c>
      <x:c r="C843" s="31" t="str">
        <x:v>D3</x:v>
      </x:c>
      <x:c r="D843" s="31" t="str">
        <x:v>حجم بایت</x:v>
      </x:c>
      <x:c r="E843" s="31"/>
    </x:row>
    <x:row r="844" ht="15" hidden="0" customHeight="1">
      <x:c r="A844" s="31" t="str">
        <x:v>Anjoman accounting - refined.xlsx</x:v>
      </x:c>
      <x:c r="B844" s="31" t="str">
        <x:v>اسناد و شواهد</x:v>
      </x:c>
      <x:c r="C844" s="31" t="str">
        <x:v>E3</x:v>
      </x:c>
      <x:c r="D844" s="31" t="str">
        <x:v>SHA-256</x:v>
      </x:c>
      <x:c r="E844" s="31"/>
    </x:row>
    <x:row r="845" ht="15" hidden="0" customHeight="1">
      <x:c r="A845" s="31" t="str">
        <x:v>Anjoman accounting - refined.xlsx</x:v>
      </x:c>
      <x:c r="B845" s="31" t="str">
        <x:v>اسناد و شواهد</x:v>
      </x:c>
      <x:c r="C845" s="31" t="str">
        <x:v>F3</x:v>
      </x:c>
      <x:c r="D845" s="31" t="str">
        <x:v>توضیح</x:v>
      </x:c>
      <x:c r="E845" s="31"/>
    </x:row>
    <x:row r="846" ht="15" hidden="0" customHeight="1">
      <x:c r="A846" s="31" t="str">
        <x:v>Anjoman accounting - refined.xlsx</x:v>
      </x:c>
      <x:c r="B846" s="31" t="str">
        <x:v>اسناد و شواهد</x:v>
      </x:c>
      <x:c r="C846" s="31" t="str">
        <x:v>A4</x:v>
      </x:c>
      <x:c r="D846" s="31" t="str">
        <x:v>E-0001</x:v>
      </x:c>
      <x:c r="E846" s="31"/>
    </x:row>
    <x:row r="847" ht="15" hidden="0" customHeight="1">
      <x:c r="A847" s="31" t="str">
        <x:v>Anjoman accounting - refined.xlsx</x:v>
      </x:c>
      <x:c r="B847" s="31" t="str">
        <x:v>اسناد و شواهد</x:v>
      </x:c>
      <x:c r="C847" s="31" t="str">
        <x:v>B4</x:v>
      </x:c>
      <x:c r="D847" s="31" t="str">
        <x:v>Anjoman accounting.xlsx</x:v>
      </x:c>
      <x:c r="E847" s="31"/>
    </x:row>
    <x:row r="848" ht="15" hidden="0" customHeight="1">
      <x:c r="A848" s="31" t="str">
        <x:v>Anjoman accounting - refined.xlsx</x:v>
      </x:c>
      <x:c r="B848" s="31" t="str">
        <x:v>اسناد و شواهد</x:v>
      </x:c>
      <x:c r="C848" s="31" t="str">
        <x:v>C4</x:v>
      </x:c>
      <x:c r="D848" s="31" t="str">
        <x:v>xlsx</x:v>
      </x:c>
      <x:c r="E848" s="31"/>
    </x:row>
    <x:row r="849" ht="15" hidden="0" customHeight="1">
      <x:c r="A849" s="31" t="str">
        <x:v>Anjoman accounting - refined.xlsx</x:v>
      </x:c>
      <x:c r="B849" s="31" t="str">
        <x:v>اسناد و شواهد</x:v>
      </x:c>
      <x:c r="C849" s="31" t="str">
        <x:v>D4</x:v>
      </x:c>
      <x:c r="D849" s="31" t="str">
        <x:v>130028</x:v>
      </x:c>
      <x:c r="E849" s="31"/>
    </x:row>
    <x:row r="850" ht="15" hidden="0" customHeight="1">
      <x:c r="A850" s="31" t="str">
        <x:v>Anjoman accounting - refined.xlsx</x:v>
      </x:c>
      <x:c r="B850" s="31" t="str">
        <x:v>اسناد و شواهد</x:v>
      </x:c>
      <x:c r="C850" s="31" t="str">
        <x:v>E4</x:v>
      </x:c>
      <x:c r="D850" s="31" t="str">
        <x:v>5701b246ebee5bd5db7fc022de097f47c34354e420bb59f08f4f2fc74a0bfcf0</x:v>
      </x:c>
      <x:c r="E850" s="31"/>
    </x:row>
    <x:row r="851" ht="15" hidden="0" customHeight="1">
      <x:c r="A851" s="31" t="str">
        <x:v>Anjoman accounting - refined.xlsx</x:v>
      </x:c>
      <x:c r="B851" s="31" t="str">
        <x:v>اسناد و شواهد</x:v>
      </x:c>
      <x:c r="C851" s="31" t="str">
        <x:v>A5</x:v>
      </x:c>
      <x:c r="D851" s="31" t="str">
        <x:v>E-0002</x:v>
      </x:c>
      <x:c r="E851" s="31"/>
    </x:row>
    <x:row r="852" ht="15" hidden="0" customHeight="1">
      <x:c r="A852" s="31" t="str">
        <x:v>Anjoman accounting - refined.xlsx</x:v>
      </x:c>
      <x:c r="B852" s="31" t="str">
        <x:v>اسناد و شواهد</x:v>
      </x:c>
      <x:c r="C852" s="31" t="str">
        <x:v>B5</x:v>
      </x:c>
      <x:c r="D852" s="31" t="str">
        <x:v>invoice-61150.pdf</x:v>
      </x:c>
      <x:c r="E852" s="31"/>
    </x:row>
    <x:row r="853" ht="15" hidden="0" customHeight="1">
      <x:c r="A853" s="31" t="str">
        <x:v>Anjoman accounting - refined.xlsx</x:v>
      </x:c>
      <x:c r="B853" s="31" t="str">
        <x:v>اسناد و شواهد</x:v>
      </x:c>
      <x:c r="C853" s="31" t="str">
        <x:v>C5</x:v>
      </x:c>
      <x:c r="D853" s="31" t="str">
        <x:v>pdf</x:v>
      </x:c>
      <x:c r="E853" s="31"/>
    </x:row>
    <x:row r="854" ht="15" hidden="0" customHeight="1">
      <x:c r="A854" s="31" t="str">
        <x:v>Anjoman accounting - refined.xlsx</x:v>
      </x:c>
      <x:c r="B854" s="31" t="str">
        <x:v>اسناد و شواهد</x:v>
      </x:c>
      <x:c r="C854" s="31" t="str">
        <x:v>D5</x:v>
      </x:c>
      <x:c r="D854" s="31" t="str">
        <x:v>153863</x:v>
      </x:c>
      <x:c r="E854" s="31"/>
    </x:row>
    <x:row r="855" ht="15" hidden="0" customHeight="1">
      <x:c r="A855" s="31" t="str">
        <x:v>Anjoman accounting - refined.xlsx</x:v>
      </x:c>
      <x:c r="B855" s="31" t="str">
        <x:v>اسناد و شواهد</x:v>
      </x:c>
      <x:c r="C855" s="31" t="str">
        <x:v>E5</x:v>
      </x:c>
      <x:c r="D855" s="31" t="str">
        <x:v>06626a709e2a23bc59d3a5185c64e0a85b64e59ccf244cbb3b0867344bc07b57</x:v>
      </x:c>
      <x:c r="E855" s="31"/>
    </x:row>
    <x:row r="856" ht="15" hidden="0" customHeight="1">
      <x:c r="A856" s="31" t="str">
        <x:v>Anjoman accounting - refined.xlsx</x:v>
      </x:c>
      <x:c r="B856" s="31" t="str">
        <x:v>اسناد و شواهد</x:v>
      </x:c>
      <x:c r="C856" s="31" t="str">
        <x:v>F5</x:v>
      </x:c>
      <x:c r="D856" s="31" t="str">
        <x:v>PDF؛ متن استخراج‌شده در خام_اسناد نگهداری شده است.</x:v>
      </x:c>
      <x:c r="E856" s="31"/>
    </x:row>
    <x:row r="857" ht="15" hidden="0" customHeight="1">
      <x:c r="A857" s="31" t="str">
        <x:v>Anjoman accounting - refined.xlsx</x:v>
      </x:c>
      <x:c r="B857" s="31" t="str">
        <x:v>اسناد و شواهد</x:v>
      </x:c>
      <x:c r="C857" s="31" t="str">
        <x:v>A6</x:v>
      </x:c>
      <x:c r="D857" s="31" t="str">
        <x:v>E-0003</x:v>
      </x:c>
      <x:c r="E857" s="31"/>
    </x:row>
    <x:row r="858" ht="15" hidden="0" customHeight="1">
      <x:c r="A858" s="31" t="str">
        <x:v>Anjoman accounting - refined.xlsx</x:v>
      </x:c>
      <x:c r="B858" s="31" t="str">
        <x:v>اسناد و شواهد</x:v>
      </x:c>
      <x:c r="C858" s="31" t="str">
        <x:v>B6</x:v>
      </x:c>
      <x:c r="D858" s="31" t="str">
        <x:v>physics_intro full report.pdf</x:v>
      </x:c>
      <x:c r="E858" s="31"/>
    </x:row>
    <x:row r="859" ht="15" hidden="0" customHeight="1">
      <x:c r="A859" s="31" t="str">
        <x:v>Anjoman accounting - refined.xlsx</x:v>
      </x:c>
      <x:c r="B859" s="31" t="str">
        <x:v>اسناد و شواهد</x:v>
      </x:c>
      <x:c r="C859" s="31" t="str">
        <x:v>C6</x:v>
      </x:c>
      <x:c r="D859" s="31" t="str">
        <x:v>pdf</x:v>
      </x:c>
      <x:c r="E859" s="31"/>
    </x:row>
    <x:row r="860" ht="15" hidden="0" customHeight="1">
      <x:c r="A860" s="31" t="str">
        <x:v>Anjoman accounting - refined.xlsx</x:v>
      </x:c>
      <x:c r="B860" s="31" t="str">
        <x:v>اسناد و شواهد</x:v>
      </x:c>
      <x:c r="C860" s="31" t="str">
        <x:v>D6</x:v>
      </x:c>
      <x:c r="D860" s="31" t="str">
        <x:v>52198</x:v>
      </x:c>
      <x:c r="E860" s="31"/>
    </x:row>
    <x:row r="861" ht="15" hidden="0" customHeight="1">
      <x:c r="A861" s="31" t="str">
        <x:v>Anjoman accounting - refined.xlsx</x:v>
      </x:c>
      <x:c r="B861" s="31" t="str">
        <x:v>اسناد و شواهد</x:v>
      </x:c>
      <x:c r="C861" s="31" t="str">
        <x:v>E6</x:v>
      </x:c>
      <x:c r="D861" s="31" t="str">
        <x:v>993061f6f022016308bbd6585c6ae0e8a2b67575c39f21e740659cc25da7dc70</x:v>
      </x:c>
      <x:c r="E861" s="31"/>
    </x:row>
    <x:row r="862" ht="15" hidden="0" customHeight="1">
      <x:c r="A862" s="31" t="str">
        <x:v>Anjoman accounting - refined.xlsx</x:v>
      </x:c>
      <x:c r="B862" s="31" t="str">
        <x:v>اسناد و شواهد</x:v>
      </x:c>
      <x:c r="C862" s="31" t="str">
        <x:v>F6</x:v>
      </x:c>
      <x:c r="D862" s="31" t="str">
        <x:v>PDF؛ متن استخراج‌شده در خام_اسناد نگهداری شده است.</x:v>
      </x:c>
      <x:c r="E862" s="31"/>
    </x:row>
    <x:row r="863" ht="15" hidden="0" customHeight="1">
      <x:c r="A863" s="31" t="str">
        <x:v>Anjoman accounting - refined.xlsx</x:v>
      </x:c>
      <x:c r="B863" s="31" t="str">
        <x:v>اسناد و شواهد</x:v>
      </x:c>
      <x:c r="C863" s="31" t="str">
        <x:v>A7</x:v>
      </x:c>
      <x:c r="D863" s="31" t="str">
        <x:v>E-0004</x:v>
      </x:c>
      <x:c r="E863" s="31"/>
    </x:row>
    <x:row r="864" ht="15" hidden="0" customHeight="1">
      <x:c r="A864" s="31" t="str">
        <x:v>Anjoman accounting - refined.xlsx</x:v>
      </x:c>
      <x:c r="B864" s="31" t="str">
        <x:v>اسناد و شواهد</x:v>
      </x:c>
      <x:c r="C864" s="31" t="str">
        <x:v>B7</x:v>
      </x:c>
      <x:c r="D864" s="31" t="str">
        <x:v>recipts\photo_10_2026-10-10_11-09-04.jpg</x:v>
      </x:c>
      <x:c r="E864" s="31"/>
    </x:row>
    <x:row r="865" ht="15" hidden="0" customHeight="1">
      <x:c r="A865" s="31" t="str">
        <x:v>Anjoman accounting - refined.xlsx</x:v>
      </x:c>
      <x:c r="B865" s="31" t="str">
        <x:v>اسناد و شواهد</x:v>
      </x:c>
      <x:c r="C865" s="31" t="str">
        <x:v>C7</x:v>
      </x:c>
      <x:c r="D865" s="31" t="str">
        <x:v>jpg</x:v>
      </x:c>
      <x:c r="E865" s="31"/>
    </x:row>
    <x:row r="866" ht="15" hidden="0" customHeight="1">
      <x:c r="A866" s="31" t="str">
        <x:v>Anjoman accounting - refined.xlsx</x:v>
      </x:c>
      <x:c r="B866" s="31" t="str">
        <x:v>اسناد و شواهد</x:v>
      </x:c>
      <x:c r="C866" s="31" t="str">
        <x:v>D7</x:v>
      </x:c>
      <x:c r="D866" s="31" t="str">
        <x:v>49752</x:v>
      </x:c>
      <x:c r="E866" s="31"/>
    </x:row>
    <x:row r="867" ht="15" hidden="0" customHeight="1">
      <x:c r="A867" s="31" t="str">
        <x:v>Anjoman accounting - refined.xlsx</x:v>
      </x:c>
      <x:c r="B867" s="31" t="str">
        <x:v>اسناد و شواهد</x:v>
      </x:c>
      <x:c r="C867" s="31" t="str">
        <x:v>E7</x:v>
      </x:c>
      <x:c r="D867" s="31" t="str">
        <x:v>b424f88e66186c7fdfcd19043e65ade1aef245c80f81328c53bd4c1354047ea3</x:v>
      </x:c>
      <x:c r="E867" s="31"/>
    </x:row>
    <x:row r="868" ht="15" hidden="0" customHeight="1">
      <x:c r="A868" s="31" t="str">
        <x:v>Anjoman accounting - refined.xlsx</x:v>
      </x:c>
      <x:c r="B868" s="31" t="str">
        <x:v>اسناد و شواهد</x:v>
      </x:c>
      <x:c r="C868" s="31" t="str">
        <x:v>F7</x:v>
      </x:c>
      <x:c r="D868" s="31" t="str">
        <x:v>تصویر 1200x1224; OCR محلی در دسترس نیست؛ ورود دستی لازم است.</x:v>
      </x:c>
      <x:c r="E868" s="31"/>
    </x:row>
    <x:row r="869" ht="15" hidden="0" customHeight="1">
      <x:c r="A869" s="31" t="str">
        <x:v>Anjoman accounting - refined.xlsx</x:v>
      </x:c>
      <x:c r="B869" s="31" t="str">
        <x:v>اسناد و شواهد</x:v>
      </x:c>
      <x:c r="C869" s="31" t="str">
        <x:v>A8</x:v>
      </x:c>
      <x:c r="D869" s="31" t="str">
        <x:v>E-0005</x:v>
      </x:c>
      <x:c r="E869" s="31"/>
    </x:row>
    <x:row r="870" ht="15" hidden="0" customHeight="1">
      <x:c r="A870" s="31" t="str">
        <x:v>Anjoman accounting - refined.xlsx</x:v>
      </x:c>
      <x:c r="B870" s="31" t="str">
        <x:v>اسناد و شواهد</x:v>
      </x:c>
      <x:c r="C870" s="31" t="str">
        <x:v>B8</x:v>
      </x:c>
      <x:c r="D870" s="31" t="str">
        <x:v>recipts\photo_11_2026-10-10_11-09-04.jpg</x:v>
      </x:c>
      <x:c r="E870" s="31"/>
    </x:row>
    <x:row r="871" ht="15" hidden="0" customHeight="1">
      <x:c r="A871" s="31" t="str">
        <x:v>Anjoman accounting - refined.xlsx</x:v>
      </x:c>
      <x:c r="B871" s="31" t="str">
        <x:v>اسناد و شواهد</x:v>
      </x:c>
      <x:c r="C871" s="31" t="str">
        <x:v>C8</x:v>
      </x:c>
      <x:c r="D871" s="31" t="str">
        <x:v>jpg</x:v>
      </x:c>
      <x:c r="E871" s="31"/>
    </x:row>
    <x:row r="872" ht="15" hidden="0" customHeight="1">
      <x:c r="A872" s="31" t="str">
        <x:v>Anjoman accounting - refined.xlsx</x:v>
      </x:c>
      <x:c r="B872" s="31" t="str">
        <x:v>اسناد و شواهد</x:v>
      </x:c>
      <x:c r="C872" s="31" t="str">
        <x:v>D8</x:v>
      </x:c>
      <x:c r="D872" s="31" t="str">
        <x:v>31986</x:v>
      </x:c>
      <x:c r="E872" s="31"/>
    </x:row>
    <x:row r="873" ht="15" hidden="0" customHeight="1">
      <x:c r="A873" s="31" t="str">
        <x:v>Anjoman accounting - refined.xlsx</x:v>
      </x:c>
      <x:c r="B873" s="31" t="str">
        <x:v>اسناد و شواهد</x:v>
      </x:c>
      <x:c r="C873" s="31" t="str">
        <x:v>E8</x:v>
      </x:c>
      <x:c r="D873" s="31" t="str">
        <x:v>4b6a665eaaa0ff0a14e2f665cd7ef1480d78c90efa576fa0f1cf910698baacc6</x:v>
      </x:c>
      <x:c r="E873" s="31"/>
    </x:row>
    <x:row r="874" ht="15" hidden="0" customHeight="1">
      <x:c r="A874" s="31" t="str">
        <x:v>Anjoman accounting - refined.xlsx</x:v>
      </x:c>
      <x:c r="B874" s="31" t="str">
        <x:v>اسناد و شواهد</x:v>
      </x:c>
      <x:c r="C874" s="31" t="str">
        <x:v>F8</x:v>
      </x:c>
      <x:c r="D874" s="31" t="str">
        <x:v>تصویر 768x1280; OCR محلی در دسترس نیست؛ ورود دستی لازم است.</x:v>
      </x:c>
      <x:c r="E874" s="31"/>
    </x:row>
    <x:row r="875" ht="15" hidden="0" customHeight="1">
      <x:c r="A875" s="31" t="str">
        <x:v>Anjoman accounting - refined.xlsx</x:v>
      </x:c>
      <x:c r="B875" s="31" t="str">
        <x:v>اسناد و شواهد</x:v>
      </x:c>
      <x:c r="C875" s="31" t="str">
        <x:v>A9</x:v>
      </x:c>
      <x:c r="D875" s="31" t="str">
        <x:v>E-0006</x:v>
      </x:c>
      <x:c r="E875" s="31"/>
    </x:row>
    <x:row r="876" ht="15" hidden="0" customHeight="1">
      <x:c r="A876" s="31" t="str">
        <x:v>Anjoman accounting - refined.xlsx</x:v>
      </x:c>
      <x:c r="B876" s="31" t="str">
        <x:v>اسناد و شواهد</x:v>
      </x:c>
      <x:c r="C876" s="31" t="str">
        <x:v>B9</x:v>
      </x:c>
      <x:c r="D876" s="31" t="str">
        <x:v>recipts\photo_12_2026-10-10_11-09-04.jpg</x:v>
      </x:c>
      <x:c r="E876" s="31"/>
    </x:row>
    <x:row r="877" ht="15" hidden="0" customHeight="1">
      <x:c r="A877" s="31" t="str">
        <x:v>Anjoman accounting - refined.xlsx</x:v>
      </x:c>
      <x:c r="B877" s="31" t="str">
        <x:v>اسناد و شواهد</x:v>
      </x:c>
      <x:c r="C877" s="31" t="str">
        <x:v>C9</x:v>
      </x:c>
      <x:c r="D877" s="31" t="str">
        <x:v>jpg</x:v>
      </x:c>
      <x:c r="E877" s="31"/>
    </x:row>
    <x:row r="878" ht="15" hidden="0" customHeight="1">
      <x:c r="A878" s="31" t="str">
        <x:v>Anjoman accounting - refined.xlsx</x:v>
      </x:c>
      <x:c r="B878" s="31" t="str">
        <x:v>اسناد و شواهد</x:v>
      </x:c>
      <x:c r="C878" s="31" t="str">
        <x:v>D9</x:v>
      </x:c>
      <x:c r="D878" s="31" t="str">
        <x:v>50026</x:v>
      </x:c>
      <x:c r="E878" s="31"/>
    </x:row>
    <x:row r="879" ht="15" hidden="0" customHeight="1">
      <x:c r="A879" s="31" t="str">
        <x:v>Anjoman accounting - refined.xlsx</x:v>
      </x:c>
      <x:c r="B879" s="31" t="str">
        <x:v>اسناد و شواهد</x:v>
      </x:c>
      <x:c r="C879" s="31" t="str">
        <x:v>E9</x:v>
      </x:c>
      <x:c r="D879" s="31" t="str">
        <x:v>77e952d643e05bc03bdd136daa677561a5610e8049fb8d8aedfc24280909d917</x:v>
      </x:c>
      <x:c r="E879" s="31"/>
    </x:row>
    <x:row r="880" ht="15" hidden="0" customHeight="1">
      <x:c r="A880" s="31" t="str">
        <x:v>Anjoman accounting - refined.xlsx</x:v>
      </x:c>
      <x:c r="B880" s="31" t="str">
        <x:v>اسناد و شواهد</x:v>
      </x:c>
      <x:c r="C880" s="31" t="str">
        <x:v>F9</x:v>
      </x:c>
      <x:c r="D880" s="31" t="str">
        <x:v>تصویر 1200x1224; OCR محلی در دسترس نیست؛ ورود دستی لازم است.</x:v>
      </x:c>
      <x:c r="E880" s="31"/>
    </x:row>
    <x:row r="881" ht="15" hidden="0" customHeight="1">
      <x:c r="A881" s="31" t="str">
        <x:v>Anjoman accounting - refined.xlsx</x:v>
      </x:c>
      <x:c r="B881" s="31" t="str">
        <x:v>اسناد و شواهد</x:v>
      </x:c>
      <x:c r="C881" s="31" t="str">
        <x:v>A10</x:v>
      </x:c>
      <x:c r="D881" s="31" t="str">
        <x:v>E-0007</x:v>
      </x:c>
      <x:c r="E881" s="31"/>
    </x:row>
    <x:row r="882" ht="15" hidden="0" customHeight="1">
      <x:c r="A882" s="31" t="str">
        <x:v>Anjoman accounting - refined.xlsx</x:v>
      </x:c>
      <x:c r="B882" s="31" t="str">
        <x:v>اسناد و شواهد</x:v>
      </x:c>
      <x:c r="C882" s="31" t="str">
        <x:v>B10</x:v>
      </x:c>
      <x:c r="D882" s="31" t="str">
        <x:v>recipts\photo_1_2026-10-10_11-09-04.jpg</x:v>
      </x:c>
      <x:c r="E882" s="31"/>
    </x:row>
    <x:row r="883" ht="15" hidden="0" customHeight="1">
      <x:c r="A883" s="31" t="str">
        <x:v>Anjoman accounting - refined.xlsx</x:v>
      </x:c>
      <x:c r="B883" s="31" t="str">
        <x:v>اسناد و شواهد</x:v>
      </x:c>
      <x:c r="C883" s="31" t="str">
        <x:v>C10</x:v>
      </x:c>
      <x:c r="D883" s="31" t="str">
        <x:v>jpg</x:v>
      </x:c>
      <x:c r="E883" s="31"/>
    </x:row>
    <x:row r="884" ht="15" hidden="0" customHeight="1">
      <x:c r="A884" s="31" t="str">
        <x:v>Anjoman accounting - refined.xlsx</x:v>
      </x:c>
      <x:c r="B884" s="31" t="str">
        <x:v>اسناد و شواهد</x:v>
      </x:c>
      <x:c r="C884" s="31" t="str">
        <x:v>D10</x:v>
      </x:c>
      <x:c r="D884" s="31" t="str">
        <x:v>58923</x:v>
      </x:c>
      <x:c r="E884" s="31"/>
    </x:row>
    <x:row r="885" ht="15" hidden="0" customHeight="1">
      <x:c r="A885" s="31" t="str">
        <x:v>Anjoman accounting - refined.xlsx</x:v>
      </x:c>
      <x:c r="B885" s="31" t="str">
        <x:v>اسناد و شواهد</x:v>
      </x:c>
      <x:c r="C885" s="31" t="str">
        <x:v>E10</x:v>
      </x:c>
      <x:c r="D885" s="31" t="str">
        <x:v>9b398cb3fd79cacf08994828e10209d3739b9ec072ff9dbdb29e456ad1a29262</x:v>
      </x:c>
      <x:c r="E885" s="31"/>
    </x:row>
    <x:row r="886" ht="15" hidden="0" customHeight="1">
      <x:c r="A886" s="31" t="str">
        <x:v>Anjoman accounting - refined.xlsx</x:v>
      </x:c>
      <x:c r="B886" s="31" t="str">
        <x:v>اسناد و شواهد</x:v>
      </x:c>
      <x:c r="C886" s="31" t="str">
        <x:v>F10</x:v>
      </x:c>
      <x:c r="D886" s="31" t="str">
        <x:v>تصویر 1200x1163; OCR محلی در دسترس نیست؛ ورود دستی لازم است.</x:v>
      </x:c>
      <x:c r="E886" s="31"/>
    </x:row>
    <x:row r="887" ht="15" hidden="0" customHeight="1">
      <x:c r="A887" s="31" t="str">
        <x:v>Anjoman accounting - refined.xlsx</x:v>
      </x:c>
      <x:c r="B887" s="31" t="str">
        <x:v>اسناد و شواهد</x:v>
      </x:c>
      <x:c r="C887" s="31" t="str">
        <x:v>A11</x:v>
      </x:c>
      <x:c r="D887" s="31" t="str">
        <x:v>E-0008</x:v>
      </x:c>
      <x:c r="E887" s="31"/>
    </x:row>
    <x:row r="888" ht="15" hidden="0" customHeight="1">
      <x:c r="A888" s="31" t="str">
        <x:v>Anjoman accounting - refined.xlsx</x:v>
      </x:c>
      <x:c r="B888" s="31" t="str">
        <x:v>اسناد و شواهد</x:v>
      </x:c>
      <x:c r="C888" s="31" t="str">
        <x:v>B11</x:v>
      </x:c>
      <x:c r="D888" s="31" t="str">
        <x:v>recipts\photo_1_2026-10-10_14-07-27.jpg</x:v>
      </x:c>
      <x:c r="E888" s="31"/>
    </x:row>
    <x:row r="889" ht="15" hidden="0" customHeight="1">
      <x:c r="A889" s="31" t="str">
        <x:v>Anjoman accounting - refined.xlsx</x:v>
      </x:c>
      <x:c r="B889" s="31" t="str">
        <x:v>اسناد و شواهد</x:v>
      </x:c>
      <x:c r="C889" s="31" t="str">
        <x:v>C11</x:v>
      </x:c>
      <x:c r="D889" s="31" t="str">
        <x:v>jpg</x:v>
      </x:c>
      <x:c r="E889" s="31"/>
    </x:row>
    <x:row r="890" ht="15" hidden="0" customHeight="1">
      <x:c r="A890" s="31" t="str">
        <x:v>Anjoman accounting - refined.xlsx</x:v>
      </x:c>
      <x:c r="B890" s="31" t="str">
        <x:v>اسناد و شواهد</x:v>
      </x:c>
      <x:c r="C890" s="31" t="str">
        <x:v>D11</x:v>
      </x:c>
      <x:c r="D890" s="31" t="str">
        <x:v>44693</x:v>
      </x:c>
      <x:c r="E890" s="31"/>
    </x:row>
    <x:row r="891" ht="15" hidden="0" customHeight="1">
      <x:c r="A891" s="31" t="str">
        <x:v>Anjoman accounting - refined.xlsx</x:v>
      </x:c>
      <x:c r="B891" s="31" t="str">
        <x:v>اسناد و شواهد</x:v>
      </x:c>
      <x:c r="C891" s="31" t="str">
        <x:v>E11</x:v>
      </x:c>
      <x:c r="D891" s="31" t="str">
        <x:v>a50d13d6abcf5b4aacd05fa7fa773b5c01a6d2739577691d719c1bf334433b52</x:v>
      </x:c>
      <x:c r="E891" s="31"/>
    </x:row>
    <x:row r="892" ht="15" hidden="0" customHeight="1">
      <x:c r="A892" s="31" t="str">
        <x:v>Anjoman accounting - refined.xlsx</x:v>
      </x:c>
      <x:c r="B892" s="31" t="str">
        <x:v>اسناد و شواهد</x:v>
      </x:c>
      <x:c r="C892" s="31" t="str">
        <x:v>F11</x:v>
      </x:c>
      <x:c r="D892" s="31" t="str">
        <x:v>تصویر 1280x714; OCR محلی در دسترس نیست؛ ورود دستی لازم است.</x:v>
      </x:c>
      <x:c r="E892" s="31"/>
    </x:row>
    <x:row r="893" ht="15" hidden="0" customHeight="1">
      <x:c r="A893" s="31" t="str">
        <x:v>Anjoman accounting - refined.xlsx</x:v>
      </x:c>
      <x:c r="B893" s="31" t="str">
        <x:v>اسناد و شواهد</x:v>
      </x:c>
      <x:c r="C893" s="31" t="str">
        <x:v>A12</x:v>
      </x:c>
      <x:c r="D893" s="31" t="str">
        <x:v>E-0009</x:v>
      </x:c>
      <x:c r="E893" s="31"/>
    </x:row>
    <x:row r="894" ht="15" hidden="0" customHeight="1">
      <x:c r="A894" s="31" t="str">
        <x:v>Anjoman accounting - refined.xlsx</x:v>
      </x:c>
      <x:c r="B894" s="31" t="str">
        <x:v>اسناد و شواهد</x:v>
      </x:c>
      <x:c r="C894" s="31" t="str">
        <x:v>B12</x:v>
      </x:c>
      <x:c r="D894" s="31" t="str">
        <x:v>recipts\photo_2026-10-10_12-16-28.jpg</x:v>
      </x:c>
      <x:c r="E894" s="31"/>
    </x:row>
    <x:row r="895" ht="15" hidden="0" customHeight="1">
      <x:c r="A895" s="31" t="str">
        <x:v>Anjoman accounting - refined.xlsx</x:v>
      </x:c>
      <x:c r="B895" s="31" t="str">
        <x:v>اسناد و شواهد</x:v>
      </x:c>
      <x:c r="C895" s="31" t="str">
        <x:v>C12</x:v>
      </x:c>
      <x:c r="D895" s="31" t="str">
        <x:v>jpg</x:v>
      </x:c>
      <x:c r="E895" s="31"/>
    </x:row>
    <x:row r="896" ht="15" hidden="0" customHeight="1">
      <x:c r="A896" s="31" t="str">
        <x:v>Anjoman accounting - refined.xlsx</x:v>
      </x:c>
      <x:c r="B896" s="31" t="str">
        <x:v>اسناد و شواهد</x:v>
      </x:c>
      <x:c r="C896" s="31" t="str">
        <x:v>D12</x:v>
      </x:c>
      <x:c r="D896" s="31" t="str">
        <x:v>160143</x:v>
      </x:c>
      <x:c r="E896" s="31"/>
    </x:row>
    <x:row r="897" ht="15" hidden="0" customHeight="1">
      <x:c r="A897" s="31" t="str">
        <x:v>Anjoman accounting - refined.xlsx</x:v>
      </x:c>
      <x:c r="B897" s="31" t="str">
        <x:v>اسناد و شواهد</x:v>
      </x:c>
      <x:c r="C897" s="31" t="str">
        <x:v>E12</x:v>
      </x:c>
      <x:c r="D897" s="31" t="str">
        <x:v>99a77eab001c2f3c72a639a7ec75b0a97bb90c5e5e244a8cf575d61107bedcc9</x:v>
      </x:c>
      <x:c r="E897" s="31"/>
    </x:row>
    <x:row r="898" ht="15" hidden="0" customHeight="1">
      <x:c r="A898" s="31" t="str">
        <x:v>Anjoman accounting - refined.xlsx</x:v>
      </x:c>
      <x:c r="B898" s="31" t="str">
        <x:v>اسناد و شواهد</x:v>
      </x:c>
      <x:c r="C898" s="31" t="str">
        <x:v>F12</x:v>
      </x:c>
      <x:c r="D898" s="31" t="str">
        <x:v>تصویر 578x1280; OCR محلی در دسترس نیست؛ ورود دستی لازم است.</x:v>
      </x:c>
      <x:c r="E898" s="31"/>
    </x:row>
    <x:row r="899" ht="15" hidden="0" customHeight="1">
      <x:c r="A899" s="31" t="str">
        <x:v>Anjoman accounting - refined.xlsx</x:v>
      </x:c>
      <x:c r="B899" s="31" t="str">
        <x:v>اسناد و شواهد</x:v>
      </x:c>
      <x:c r="C899" s="31" t="str">
        <x:v>A13</x:v>
      </x:c>
      <x:c r="D899" s="31" t="str">
        <x:v>E-0010</x:v>
      </x:c>
      <x:c r="E899" s="31"/>
    </x:row>
    <x:row r="900" ht="15" hidden="0" customHeight="1">
      <x:c r="A900" s="31" t="str">
        <x:v>Anjoman accounting - refined.xlsx</x:v>
      </x:c>
      <x:c r="B900" s="31" t="str">
        <x:v>اسناد و شواهد</x:v>
      </x:c>
      <x:c r="C900" s="31" t="str">
        <x:v>B13</x:v>
      </x:c>
      <x:c r="D900" s="31" t="str">
        <x:v>recipts\photo_2_2026-10-10_11-09-04.jpg</x:v>
      </x:c>
      <x:c r="E900" s="31"/>
    </x:row>
    <x:row r="901" ht="15" hidden="0" customHeight="1">
      <x:c r="A901" s="31" t="str">
        <x:v>Anjoman accounting - refined.xlsx</x:v>
      </x:c>
      <x:c r="B901" s="31" t="str">
        <x:v>اسناد و شواهد</x:v>
      </x:c>
      <x:c r="C901" s="31" t="str">
        <x:v>C13</x:v>
      </x:c>
      <x:c r="D901" s="31" t="str">
        <x:v>jpg</x:v>
      </x:c>
      <x:c r="E901" s="31"/>
    </x:row>
    <x:row r="902" ht="15" hidden="0" customHeight="1">
      <x:c r="A902" s="31" t="str">
        <x:v>Anjoman accounting - refined.xlsx</x:v>
      </x:c>
      <x:c r="B902" s="31" t="str">
        <x:v>اسناد و شواهد</x:v>
      </x:c>
      <x:c r="C902" s="31" t="str">
        <x:v>D13</x:v>
      </x:c>
      <x:c r="D902" s="31" t="str">
        <x:v>57944</x:v>
      </x:c>
      <x:c r="E902" s="31"/>
    </x:row>
    <x:row r="903" ht="15" hidden="0" customHeight="1">
      <x:c r="A903" s="31" t="str">
        <x:v>Anjoman accounting - refined.xlsx</x:v>
      </x:c>
      <x:c r="B903" s="31" t="str">
        <x:v>اسناد و شواهد</x:v>
      </x:c>
      <x:c r="C903" s="31" t="str">
        <x:v>E13</x:v>
      </x:c>
      <x:c r="D903" s="31" t="str">
        <x:v>5b8abe4d9a9d270a1a5cb0583fbb4ff555d551b16023d63343affe459769150f</x:v>
      </x:c>
      <x:c r="E903" s="31"/>
    </x:row>
    <x:row r="904" ht="15" hidden="0" customHeight="1">
      <x:c r="A904" s="31" t="str">
        <x:v>Anjoman accounting - refined.xlsx</x:v>
      </x:c>
      <x:c r="B904" s="31" t="str">
        <x:v>اسناد و شواهد</x:v>
      </x:c>
      <x:c r="C904" s="31" t="str">
        <x:v>F13</x:v>
      </x:c>
      <x:c r="D904" s="31" t="str">
        <x:v>تصویر 1200x1163; OCR محلی در دسترس نیست؛ ورود دستی لازم است.</x:v>
      </x:c>
      <x:c r="E904" s="31"/>
    </x:row>
    <x:row r="905" ht="15" hidden="0" customHeight="1">
      <x:c r="A905" s="31" t="str">
        <x:v>Anjoman accounting - refined.xlsx</x:v>
      </x:c>
      <x:c r="B905" s="31" t="str">
        <x:v>اسناد و شواهد</x:v>
      </x:c>
      <x:c r="C905" s="31" t="str">
        <x:v>A14</x:v>
      </x:c>
      <x:c r="D905" s="31" t="str">
        <x:v>E-0011</x:v>
      </x:c>
      <x:c r="E905" s="31"/>
    </x:row>
    <x:row r="906" ht="15" hidden="0" customHeight="1">
      <x:c r="A906" s="31" t="str">
        <x:v>Anjoman accounting - refined.xlsx</x:v>
      </x:c>
      <x:c r="B906" s="31" t="str">
        <x:v>اسناد و شواهد</x:v>
      </x:c>
      <x:c r="C906" s="31" t="str">
        <x:v>B14</x:v>
      </x:c>
      <x:c r="D906" s="31" t="str">
        <x:v>recipts\photo_2_2026-10-10_14-07-27.jpg</x:v>
      </x:c>
      <x:c r="E906" s="31"/>
    </x:row>
    <x:row r="907" ht="15" hidden="0" customHeight="1">
      <x:c r="A907" s="31" t="str">
        <x:v>Anjoman accounting - refined.xlsx</x:v>
      </x:c>
      <x:c r="B907" s="31" t="str">
        <x:v>اسناد و شواهد</x:v>
      </x:c>
      <x:c r="C907" s="31" t="str">
        <x:v>C14</x:v>
      </x:c>
      <x:c r="D907" s="31" t="str">
        <x:v>jpg</x:v>
      </x:c>
      <x:c r="E907" s="31"/>
    </x:row>
    <x:row r="908" ht="15" hidden="0" customHeight="1">
      <x:c r="A908" s="31" t="str">
        <x:v>Anjoman accounting - refined.xlsx</x:v>
      </x:c>
      <x:c r="B908" s="31" t="str">
        <x:v>اسناد و شواهد</x:v>
      </x:c>
      <x:c r="C908" s="31" t="str">
        <x:v>D14</x:v>
      </x:c>
      <x:c r="D908" s="31" t="str">
        <x:v>39945</x:v>
      </x:c>
      <x:c r="E908" s="31"/>
    </x:row>
    <x:row r="909" ht="15" hidden="0" customHeight="1">
      <x:c r="A909" s="31" t="str">
        <x:v>Anjoman accounting - refined.xlsx</x:v>
      </x:c>
      <x:c r="B909" s="31" t="str">
        <x:v>اسناد و شواهد</x:v>
      </x:c>
      <x:c r="C909" s="31" t="str">
        <x:v>E14</x:v>
      </x:c>
      <x:c r="D909" s="31" t="str">
        <x:v>6f9a6e2d264b36faa78b41d76c6a1448122e4a243a95c361fd1281ae2bc47e4a</x:v>
      </x:c>
      <x:c r="E909" s="31"/>
    </x:row>
    <x:row r="910" ht="15" hidden="0" customHeight="1">
      <x:c r="A910" s="31" t="str">
        <x:v>Anjoman accounting - refined.xlsx</x:v>
      </x:c>
      <x:c r="B910" s="31" t="str">
        <x:v>اسناد و شواهد</x:v>
      </x:c>
      <x:c r="C910" s="31" t="str">
        <x:v>F14</x:v>
      </x:c>
      <x:c r="D910" s="31" t="str">
        <x:v>تصویر 1280x714; OCR محلی در دسترس نیست؛ ورود دستی لازم است.</x:v>
      </x:c>
      <x:c r="E910" s="31"/>
    </x:row>
    <x:row r="911" ht="15" hidden="0" customHeight="1">
      <x:c r="A911" s="31" t="str">
        <x:v>Anjoman accounting - refined.xlsx</x:v>
      </x:c>
      <x:c r="B911" s="31" t="str">
        <x:v>اسناد و شواهد</x:v>
      </x:c>
      <x:c r="C911" s="31" t="str">
        <x:v>A15</x:v>
      </x:c>
      <x:c r="D911" s="31" t="str">
        <x:v>E-0012</x:v>
      </x:c>
      <x:c r="E911" s="31"/>
    </x:row>
    <x:row r="912" ht="15" hidden="0" customHeight="1">
      <x:c r="A912" s="31" t="str">
        <x:v>Anjoman accounting - refined.xlsx</x:v>
      </x:c>
      <x:c r="B912" s="31" t="str">
        <x:v>اسناد و شواهد</x:v>
      </x:c>
      <x:c r="C912" s="31" t="str">
        <x:v>B15</x:v>
      </x:c>
      <x:c r="D912" s="31" t="str">
        <x:v>recipts\photo_3_2026-10-10_11-09-04.jpg</x:v>
      </x:c>
      <x:c r="E912" s="31"/>
    </x:row>
    <x:row r="913" ht="15" hidden="0" customHeight="1">
      <x:c r="A913" s="31" t="str">
        <x:v>Anjoman accounting - refined.xlsx</x:v>
      </x:c>
      <x:c r="B913" s="31" t="str">
        <x:v>اسناد و شواهد</x:v>
      </x:c>
      <x:c r="C913" s="31" t="str">
        <x:v>C15</x:v>
      </x:c>
      <x:c r="D913" s="31" t="str">
        <x:v>jpg</x:v>
      </x:c>
      <x:c r="E913" s="31"/>
    </x:row>
    <x:row r="914" ht="15" hidden="0" customHeight="1">
      <x:c r="A914" s="31" t="str">
        <x:v>Anjoman accounting - refined.xlsx</x:v>
      </x:c>
      <x:c r="B914" s="31" t="str">
        <x:v>اسناد و شواهد</x:v>
      </x:c>
      <x:c r="C914" s="31" t="str">
        <x:v>D15</x:v>
      </x:c>
      <x:c r="D914" s="31" t="str">
        <x:v>48603</x:v>
      </x:c>
      <x:c r="E914" s="31"/>
    </x:row>
    <x:row r="915" ht="15" hidden="0" customHeight="1">
      <x:c r="A915" s="31" t="str">
        <x:v>Anjoman accounting - refined.xlsx</x:v>
      </x:c>
      <x:c r="B915" s="31" t="str">
        <x:v>اسناد و شواهد</x:v>
      </x:c>
      <x:c r="C915" s="31" t="str">
        <x:v>E15</x:v>
      </x:c>
      <x:c r="D915" s="31" t="str">
        <x:v>5e9f3828411eb9b655e40edf6506756897d37de7bd8a35ea38c9eee80d9742c0</x:v>
      </x:c>
      <x:c r="E915" s="31"/>
    </x:row>
    <x:row r="916" ht="15" hidden="0" customHeight="1">
      <x:c r="A916" s="31" t="str">
        <x:v>Anjoman accounting - refined.xlsx</x:v>
      </x:c>
      <x:c r="B916" s="31" t="str">
        <x:v>اسناد و شواهد</x:v>
      </x:c>
      <x:c r="C916" s="31" t="str">
        <x:v>F15</x:v>
      </x:c>
      <x:c r="D916" s="31" t="str">
        <x:v>تصویر 1200x1078; OCR محلی در دسترس نیست؛ ورود دستی لازم است.</x:v>
      </x:c>
      <x:c r="E916" s="31"/>
    </x:row>
    <x:row r="917" ht="15" hidden="0" customHeight="1">
      <x:c r="A917" s="31" t="str">
        <x:v>Anjoman accounting - refined.xlsx</x:v>
      </x:c>
      <x:c r="B917" s="31" t="str">
        <x:v>اسناد و شواهد</x:v>
      </x:c>
      <x:c r="C917" s="31" t="str">
        <x:v>A16</x:v>
      </x:c>
      <x:c r="D917" s="31" t="str">
        <x:v>E-0013</x:v>
      </x:c>
      <x:c r="E917" s="31"/>
    </x:row>
    <x:row r="918" ht="15" hidden="0" customHeight="1">
      <x:c r="A918" s="31" t="str">
        <x:v>Anjoman accounting - refined.xlsx</x:v>
      </x:c>
      <x:c r="B918" s="31" t="str">
        <x:v>اسناد و شواهد</x:v>
      </x:c>
      <x:c r="C918" s="31" t="str">
        <x:v>B16</x:v>
      </x:c>
      <x:c r="D918" s="31" t="str">
        <x:v>recipts\photo_3_2026-10-10_14-07-27.jpg</x:v>
      </x:c>
      <x:c r="E918" s="31"/>
    </x:row>
    <x:row r="919" ht="15" hidden="0" customHeight="1">
      <x:c r="A919" s="31" t="str">
        <x:v>Anjoman accounting - refined.xlsx</x:v>
      </x:c>
      <x:c r="B919" s="31" t="str">
        <x:v>اسناد و شواهد</x:v>
      </x:c>
      <x:c r="C919" s="31" t="str">
        <x:v>C16</x:v>
      </x:c>
      <x:c r="D919" s="31" t="str">
        <x:v>jpg</x:v>
      </x:c>
      <x:c r="E919" s="31"/>
    </x:row>
    <x:row r="920" ht="15" hidden="0" customHeight="1">
      <x:c r="A920" s="31" t="str">
        <x:v>Anjoman accounting - refined.xlsx</x:v>
      </x:c>
      <x:c r="B920" s="31" t="str">
        <x:v>اسناد و شواهد</x:v>
      </x:c>
      <x:c r="C920" s="31" t="str">
        <x:v>D16</x:v>
      </x:c>
      <x:c r="D920" s="31" t="str">
        <x:v>45037</x:v>
      </x:c>
      <x:c r="E920" s="31"/>
    </x:row>
    <x:row r="921" ht="15" hidden="0" customHeight="1">
      <x:c r="A921" s="31" t="str">
        <x:v>Anjoman accounting - refined.xlsx</x:v>
      </x:c>
      <x:c r="B921" s="31" t="str">
        <x:v>اسناد و شواهد</x:v>
      </x:c>
      <x:c r="C921" s="31" t="str">
        <x:v>E16</x:v>
      </x:c>
      <x:c r="D921" s="31" t="str">
        <x:v>89cfe54d6ab70d44461da04c4318c4b7a11f78947d9a61bda0e7266fbcc3bdab</x:v>
      </x:c>
      <x:c r="E921" s="31"/>
    </x:row>
    <x:row r="922" ht="15" hidden="0" customHeight="1">
      <x:c r="A922" s="31" t="str">
        <x:v>Anjoman accounting - refined.xlsx</x:v>
      </x:c>
      <x:c r="B922" s="31" t="str">
        <x:v>اسناد و شواهد</x:v>
      </x:c>
      <x:c r="C922" s="31" t="str">
        <x:v>F16</x:v>
      </x:c>
      <x:c r="D922" s="31" t="str">
        <x:v>تصویر 1280x714; OCR محلی در دسترس نیست؛ ورود دستی لازم است.</x:v>
      </x:c>
      <x:c r="E922" s="31"/>
    </x:row>
    <x:row r="923" ht="15" hidden="0" customHeight="1">
      <x:c r="A923" s="31" t="str">
        <x:v>Anjoman accounting - refined.xlsx</x:v>
      </x:c>
      <x:c r="B923" s="31" t="str">
        <x:v>اسناد و شواهد</x:v>
      </x:c>
      <x:c r="C923" s="31" t="str">
        <x:v>A17</x:v>
      </x:c>
      <x:c r="D923" s="31" t="str">
        <x:v>E-0014</x:v>
      </x:c>
      <x:c r="E923" s="31"/>
    </x:row>
    <x:row r="924" ht="15" hidden="0" customHeight="1">
      <x:c r="A924" s="31" t="str">
        <x:v>Anjoman accounting - refined.xlsx</x:v>
      </x:c>
      <x:c r="B924" s="31" t="str">
        <x:v>اسناد و شواهد</x:v>
      </x:c>
      <x:c r="C924" s="31" t="str">
        <x:v>B17</x:v>
      </x:c>
      <x:c r="D924" s="31" t="str">
        <x:v>recipts\photo_4_2026-10-10_11-09-04.jpg</x:v>
      </x:c>
      <x:c r="E924" s="31"/>
    </x:row>
    <x:row r="925" ht="15" hidden="0" customHeight="1">
      <x:c r="A925" s="31" t="str">
        <x:v>Anjoman accounting - refined.xlsx</x:v>
      </x:c>
      <x:c r="B925" s="31" t="str">
        <x:v>اسناد و شواهد</x:v>
      </x:c>
      <x:c r="C925" s="31" t="str">
        <x:v>C17</x:v>
      </x:c>
      <x:c r="D925" s="31" t="str">
        <x:v>jpg</x:v>
      </x:c>
      <x:c r="E925" s="31"/>
    </x:row>
    <x:row r="926" ht="15" hidden="0" customHeight="1">
      <x:c r="A926" s="31" t="str">
        <x:v>Anjoman accounting - refined.xlsx</x:v>
      </x:c>
      <x:c r="B926" s="31" t="str">
        <x:v>اسناد و شواهد</x:v>
      </x:c>
      <x:c r="C926" s="31" t="str">
        <x:v>D17</x:v>
      </x:c>
      <x:c r="D926" s="31" t="str">
        <x:v>49704</x:v>
      </x:c>
      <x:c r="E926" s="31"/>
    </x:row>
    <x:row r="927" ht="15" hidden="0" customHeight="1">
      <x:c r="A927" s="31" t="str">
        <x:v>Anjoman accounting - refined.xlsx</x:v>
      </x:c>
      <x:c r="B927" s="31" t="str">
        <x:v>اسناد و شواهد</x:v>
      </x:c>
      <x:c r="C927" s="31" t="str">
        <x:v>E17</x:v>
      </x:c>
      <x:c r="D927" s="31" t="str">
        <x:v>da2ff247cc7b5f3f295635d3052d3d599eebc0806a657613e584d1cce0639769</x:v>
      </x:c>
      <x:c r="E927" s="31"/>
    </x:row>
    <x:row r="928" ht="15" hidden="0" customHeight="1">
      <x:c r="A928" s="31" t="str">
        <x:v>Anjoman accounting - refined.xlsx</x:v>
      </x:c>
      <x:c r="B928" s="31" t="str">
        <x:v>اسناد و شواهد</x:v>
      </x:c>
      <x:c r="C928" s="31" t="str">
        <x:v>F17</x:v>
      </x:c>
      <x:c r="D928" s="31" t="str">
        <x:v>تصویر 1200x1224; OCR محلی در دسترس نیست؛ ورود دستی لازم است.</x:v>
      </x:c>
      <x:c r="E928" s="31"/>
    </x:row>
    <x:row r="929" ht="15" hidden="0" customHeight="1">
      <x:c r="A929" s="31" t="str">
        <x:v>Anjoman accounting - refined.xlsx</x:v>
      </x:c>
      <x:c r="B929" s="31" t="str">
        <x:v>اسناد و شواهد</x:v>
      </x:c>
      <x:c r="C929" s="31" t="str">
        <x:v>A18</x:v>
      </x:c>
      <x:c r="D929" s="31" t="str">
        <x:v>E-0015</x:v>
      </x:c>
      <x:c r="E929" s="31"/>
    </x:row>
    <x:row r="930" ht="15" hidden="0" customHeight="1">
      <x:c r="A930" s="31" t="str">
        <x:v>Anjoman accounting - refined.xlsx</x:v>
      </x:c>
      <x:c r="B930" s="31" t="str">
        <x:v>اسناد و شواهد</x:v>
      </x:c>
      <x:c r="C930" s="31" t="str">
        <x:v>B18</x:v>
      </x:c>
      <x:c r="D930" s="31" t="str">
        <x:v>recipts\photo_4_2026-10-10_14-07-27.jpg</x:v>
      </x:c>
      <x:c r="E930" s="31"/>
    </x:row>
    <x:row r="931" ht="15" hidden="0" customHeight="1">
      <x:c r="A931" s="31" t="str">
        <x:v>Anjoman accounting - refined.xlsx</x:v>
      </x:c>
      <x:c r="B931" s="31" t="str">
        <x:v>اسناد و شواهد</x:v>
      </x:c>
      <x:c r="C931" s="31" t="str">
        <x:v>C18</x:v>
      </x:c>
      <x:c r="D931" s="31" t="str">
        <x:v>jpg</x:v>
      </x:c>
      <x:c r="E931" s="31"/>
    </x:row>
    <x:row r="932" ht="15" hidden="0" customHeight="1">
      <x:c r="A932" s="31" t="str">
        <x:v>Anjoman accounting - refined.xlsx</x:v>
      </x:c>
      <x:c r="B932" s="31" t="str">
        <x:v>اسناد و شواهد</x:v>
      </x:c>
      <x:c r="C932" s="31" t="str">
        <x:v>D18</x:v>
      </x:c>
      <x:c r="D932" s="31" t="str">
        <x:v>44990</x:v>
      </x:c>
      <x:c r="E932" s="31"/>
    </x:row>
    <x:row r="933" ht="15" hidden="0" customHeight="1">
      <x:c r="A933" s="31" t="str">
        <x:v>Anjoman accounting - refined.xlsx</x:v>
      </x:c>
      <x:c r="B933" s="31" t="str">
        <x:v>اسناد و شواهد</x:v>
      </x:c>
      <x:c r="C933" s="31" t="str">
        <x:v>E18</x:v>
      </x:c>
      <x:c r="D933" s="31" t="str">
        <x:v>44a438cc79650702edcbab92c8d1b6d5bc74008f068089c928f463f0657d2162</x:v>
      </x:c>
      <x:c r="E933" s="31"/>
    </x:row>
    <x:row r="934" ht="15" hidden="0" customHeight="1">
      <x:c r="A934" s="31" t="str">
        <x:v>Anjoman accounting - refined.xlsx</x:v>
      </x:c>
      <x:c r="B934" s="31" t="str">
        <x:v>اسناد و شواهد</x:v>
      </x:c>
      <x:c r="C934" s="31" t="str">
        <x:v>F18</x:v>
      </x:c>
      <x:c r="D934" s="31" t="str">
        <x:v>تصویر 1280x714; OCR محلی در دسترس نیست؛ ورود دستی لازم است.</x:v>
      </x:c>
      <x:c r="E934" s="31"/>
    </x:row>
    <x:row r="935" ht="15" hidden="0" customHeight="1">
      <x:c r="A935" s="31" t="str">
        <x:v>Anjoman accounting - refined.xlsx</x:v>
      </x:c>
      <x:c r="B935" s="31" t="str">
        <x:v>اسناد و شواهد</x:v>
      </x:c>
      <x:c r="C935" s="31" t="str">
        <x:v>A19</x:v>
      </x:c>
      <x:c r="D935" s="31" t="str">
        <x:v>E-0016</x:v>
      </x:c>
      <x:c r="E935" s="31"/>
    </x:row>
    <x:row r="936" ht="15" hidden="0" customHeight="1">
      <x:c r="A936" s="31" t="str">
        <x:v>Anjoman accounting - refined.xlsx</x:v>
      </x:c>
      <x:c r="B936" s="31" t="str">
        <x:v>اسناد و شواهد</x:v>
      </x:c>
      <x:c r="C936" s="31" t="str">
        <x:v>B19</x:v>
      </x:c>
      <x:c r="D936" s="31" t="str">
        <x:v>recipts\photo_5_2026-10-10_11-09-04.jpg</x:v>
      </x:c>
      <x:c r="E936" s="31"/>
    </x:row>
    <x:row r="937" ht="15" hidden="0" customHeight="1">
      <x:c r="A937" s="31" t="str">
        <x:v>Anjoman accounting - refined.xlsx</x:v>
      </x:c>
      <x:c r="B937" s="31" t="str">
        <x:v>اسناد و شواهد</x:v>
      </x:c>
      <x:c r="C937" s="31" t="str">
        <x:v>C19</x:v>
      </x:c>
      <x:c r="D937" s="31" t="str">
        <x:v>jpg</x:v>
      </x:c>
      <x:c r="E937" s="31"/>
    </x:row>
    <x:row r="938" ht="15" hidden="0" customHeight="1">
      <x:c r="A938" s="31" t="str">
        <x:v>Anjoman accounting - refined.xlsx</x:v>
      </x:c>
      <x:c r="B938" s="31" t="str">
        <x:v>اسناد و شواهد</x:v>
      </x:c>
      <x:c r="C938" s="31" t="str">
        <x:v>D19</x:v>
      </x:c>
      <x:c r="D938" s="31" t="str">
        <x:v>49513</x:v>
      </x:c>
      <x:c r="E938" s="31"/>
    </x:row>
    <x:row r="939" ht="15" hidden="0" customHeight="1">
      <x:c r="A939" s="31" t="str">
        <x:v>Anjoman accounting - refined.xlsx</x:v>
      </x:c>
      <x:c r="B939" s="31" t="str">
        <x:v>اسناد و شواهد</x:v>
      </x:c>
      <x:c r="C939" s="31" t="str">
        <x:v>E19</x:v>
      </x:c>
      <x:c r="D939" s="31" t="str">
        <x:v>556c6c35f9ce9e0fb5845f3b0d5b9a1b2696d7e1377af7f4c39d6a23e4360af2</x:v>
      </x:c>
      <x:c r="E939" s="31"/>
    </x:row>
    <x:row r="940" ht="15" hidden="0" customHeight="1">
      <x:c r="A940" s="31" t="str">
        <x:v>Anjoman accounting - refined.xlsx</x:v>
      </x:c>
      <x:c r="B940" s="31" t="str">
        <x:v>اسناد و شواهد</x:v>
      </x:c>
      <x:c r="C940" s="31" t="str">
        <x:v>F19</x:v>
      </x:c>
      <x:c r="D940" s="31" t="str">
        <x:v>تصویر 1200x1145; OCR محلی در دسترس نیست؛ ورود دستی لازم است.</x:v>
      </x:c>
      <x:c r="E940" s="31"/>
    </x:row>
    <x:row r="941" ht="15" hidden="0" customHeight="1">
      <x:c r="A941" s="31" t="str">
        <x:v>Anjoman accounting - refined.xlsx</x:v>
      </x:c>
      <x:c r="B941" s="31" t="str">
        <x:v>اسناد و شواهد</x:v>
      </x:c>
      <x:c r="C941" s="31" t="str">
        <x:v>A20</x:v>
      </x:c>
      <x:c r="D941" s="31" t="str">
        <x:v>E-0017</x:v>
      </x:c>
      <x:c r="E941" s="31"/>
    </x:row>
    <x:row r="942" ht="15" hidden="0" customHeight="1">
      <x:c r="A942" s="31" t="str">
        <x:v>Anjoman accounting - refined.xlsx</x:v>
      </x:c>
      <x:c r="B942" s="31" t="str">
        <x:v>اسناد و شواهد</x:v>
      </x:c>
      <x:c r="C942" s="31" t="str">
        <x:v>B20</x:v>
      </x:c>
      <x:c r="D942" s="31" t="str">
        <x:v>recipts\photo_5_2026-10-10_14-07-27.jpg</x:v>
      </x:c>
      <x:c r="E942" s="31"/>
    </x:row>
    <x:row r="943" ht="15" hidden="0" customHeight="1">
      <x:c r="A943" s="31" t="str">
        <x:v>Anjoman accounting - refined.xlsx</x:v>
      </x:c>
      <x:c r="B943" s="31" t="str">
        <x:v>اسناد و شواهد</x:v>
      </x:c>
      <x:c r="C943" s="31" t="str">
        <x:v>C20</x:v>
      </x:c>
      <x:c r="D943" s="31" t="str">
        <x:v>jpg</x:v>
      </x:c>
      <x:c r="E943" s="31"/>
    </x:row>
    <x:row r="944" ht="15" hidden="0" customHeight="1">
      <x:c r="A944" s="31" t="str">
        <x:v>Anjoman accounting - refined.xlsx</x:v>
      </x:c>
      <x:c r="B944" s="31" t="str">
        <x:v>اسناد و شواهد</x:v>
      </x:c>
      <x:c r="C944" s="31" t="str">
        <x:v>D20</x:v>
      </x:c>
      <x:c r="D944" s="31" t="str">
        <x:v>39739</x:v>
      </x:c>
      <x:c r="E944" s="31"/>
    </x:row>
    <x:row r="945" ht="15" hidden="0" customHeight="1">
      <x:c r="A945" s="31" t="str">
        <x:v>Anjoman accounting - refined.xlsx</x:v>
      </x:c>
      <x:c r="B945" s="31" t="str">
        <x:v>اسناد و شواهد</x:v>
      </x:c>
      <x:c r="C945" s="31" t="str">
        <x:v>E20</x:v>
      </x:c>
      <x:c r="D945" s="31" t="str">
        <x:v>63f59a169b5a2bb5dd1bc0587d75173d88da586a0b9b30cbe7effcd5b676c67c</x:v>
      </x:c>
      <x:c r="E945" s="31"/>
    </x:row>
    <x:row r="946" ht="15" hidden="0" customHeight="1">
      <x:c r="A946" s="31" t="str">
        <x:v>Anjoman accounting - refined.xlsx</x:v>
      </x:c>
      <x:c r="B946" s="31" t="str">
        <x:v>اسناد و شواهد</x:v>
      </x:c>
      <x:c r="C946" s="31" t="str">
        <x:v>F20</x:v>
      </x:c>
      <x:c r="D946" s="31" t="str">
        <x:v>تصویر 1280x714; OCR محلی در دسترس نیست؛ ورود دستی لازم است.</x:v>
      </x:c>
      <x:c r="E946" s="31"/>
    </x:row>
    <x:row r="947" ht="15" hidden="0" customHeight="1">
      <x:c r="A947" s="31" t="str">
        <x:v>Anjoman accounting - refined.xlsx</x:v>
      </x:c>
      <x:c r="B947" s="31" t="str">
        <x:v>اسناد و شواهد</x:v>
      </x:c>
      <x:c r="C947" s="31" t="str">
        <x:v>A21</x:v>
      </x:c>
      <x:c r="D947" s="31" t="str">
        <x:v>E-0018</x:v>
      </x:c>
      <x:c r="E947" s="31"/>
    </x:row>
    <x:row r="948" ht="15" hidden="0" customHeight="1">
      <x:c r="A948" s="31" t="str">
        <x:v>Anjoman accounting - refined.xlsx</x:v>
      </x:c>
      <x:c r="B948" s="31" t="str">
        <x:v>اسناد و شواهد</x:v>
      </x:c>
      <x:c r="C948" s="31" t="str">
        <x:v>B21</x:v>
      </x:c>
      <x:c r="D948" s="31" t="str">
        <x:v>recipts\photo_6_2026-10-10_11-09-04.jpg</x:v>
      </x:c>
      <x:c r="E948" s="31"/>
    </x:row>
    <x:row r="949" ht="15" hidden="0" customHeight="1">
      <x:c r="A949" s="31" t="str">
        <x:v>Anjoman accounting - refined.xlsx</x:v>
      </x:c>
      <x:c r="B949" s="31" t="str">
        <x:v>اسناد و شواهد</x:v>
      </x:c>
      <x:c r="C949" s="31" t="str">
        <x:v>C21</x:v>
      </x:c>
      <x:c r="D949" s="31" t="str">
        <x:v>jpg</x:v>
      </x:c>
      <x:c r="E949" s="31"/>
    </x:row>
    <x:row r="950" ht="15" hidden="0" customHeight="1">
      <x:c r="A950" s="31" t="str">
        <x:v>Anjoman accounting - refined.xlsx</x:v>
      </x:c>
      <x:c r="B950" s="31" t="str">
        <x:v>اسناد و شواهد</x:v>
      </x:c>
      <x:c r="C950" s="31" t="str">
        <x:v>D21</x:v>
      </x:c>
      <x:c r="D950" s="31" t="str">
        <x:v>57246</x:v>
      </x:c>
      <x:c r="E950" s="31"/>
    </x:row>
    <x:row r="951" ht="15" hidden="0" customHeight="1">
      <x:c r="A951" s="31" t="str">
        <x:v>Anjoman accounting - refined.xlsx</x:v>
      </x:c>
      <x:c r="B951" s="31" t="str">
        <x:v>اسناد و شواهد</x:v>
      </x:c>
      <x:c r="C951" s="31" t="str">
        <x:v>E21</x:v>
      </x:c>
      <x:c r="D951" s="31" t="str">
        <x:v>3e2419ef0ccbe67c3e775ffb4f32e97152e3923bab3c3760071727253938e142</x:v>
      </x:c>
      <x:c r="E951" s="31"/>
    </x:row>
    <x:row r="952" ht="15" hidden="0" customHeight="1">
      <x:c r="A952" s="31" t="str">
        <x:v>Anjoman accounting - refined.xlsx</x:v>
      </x:c>
      <x:c r="B952" s="31" t="str">
        <x:v>اسناد و شواهد</x:v>
      </x:c>
      <x:c r="C952" s="31" t="str">
        <x:v>F21</x:v>
      </x:c>
      <x:c r="D952" s="31" t="str">
        <x:v>تصویر 1200x1163; OCR محلی در دسترس نیست؛ ورود دستی لازم است.</x:v>
      </x:c>
      <x:c r="E952" s="31"/>
    </x:row>
    <x:row r="953" ht="15" hidden="0" customHeight="1">
      <x:c r="A953" s="31" t="str">
        <x:v>Anjoman accounting - refined.xlsx</x:v>
      </x:c>
      <x:c r="B953" s="31" t="str">
        <x:v>اسناد و شواهد</x:v>
      </x:c>
      <x:c r="C953" s="31" t="str">
        <x:v>A22</x:v>
      </x:c>
      <x:c r="D953" s="31" t="str">
        <x:v>E-0019</x:v>
      </x:c>
      <x:c r="E953" s="31"/>
    </x:row>
    <x:row r="954" ht="15" hidden="0" customHeight="1">
      <x:c r="A954" s="31" t="str">
        <x:v>Anjoman accounting - refined.xlsx</x:v>
      </x:c>
      <x:c r="B954" s="31" t="str">
        <x:v>اسناد و شواهد</x:v>
      </x:c>
      <x:c r="C954" s="31" t="str">
        <x:v>B22</x:v>
      </x:c>
      <x:c r="D954" s="31" t="str">
        <x:v>recipts\photo_6_2026-10-10_14-07-27.jpg</x:v>
      </x:c>
      <x:c r="E954" s="31"/>
    </x:row>
    <x:row r="955" ht="15" hidden="0" customHeight="1">
      <x:c r="A955" s="31" t="str">
        <x:v>Anjoman accounting - refined.xlsx</x:v>
      </x:c>
      <x:c r="B955" s="31" t="str">
        <x:v>اسناد و شواهد</x:v>
      </x:c>
      <x:c r="C955" s="31" t="str">
        <x:v>C22</x:v>
      </x:c>
      <x:c r="D955" s="31" t="str">
        <x:v>jpg</x:v>
      </x:c>
      <x:c r="E955" s="31"/>
    </x:row>
    <x:row r="956" ht="15" hidden="0" customHeight="1">
      <x:c r="A956" s="31" t="str">
        <x:v>Anjoman accounting - refined.xlsx</x:v>
      </x:c>
      <x:c r="B956" s="31" t="str">
        <x:v>اسناد و شواهد</x:v>
      </x:c>
      <x:c r="C956" s="31" t="str">
        <x:v>D22</x:v>
      </x:c>
      <x:c r="D956" s="31" t="str">
        <x:v>41211</x:v>
      </x:c>
      <x:c r="E956" s="31"/>
    </x:row>
    <x:row r="957" ht="15" hidden="0" customHeight="1">
      <x:c r="A957" s="31" t="str">
        <x:v>Anjoman accounting - refined.xlsx</x:v>
      </x:c>
      <x:c r="B957" s="31" t="str">
        <x:v>اسناد و شواهد</x:v>
      </x:c>
      <x:c r="C957" s="31" t="str">
        <x:v>E22</x:v>
      </x:c>
      <x:c r="D957" s="31" t="str">
        <x:v>2a51ef05147371b78e220f491a2c3e82578cb8a9cc8a65128cd503f3f2eaf183</x:v>
      </x:c>
      <x:c r="E957" s="31"/>
    </x:row>
    <x:row r="958" ht="15" hidden="0" customHeight="1">
      <x:c r="A958" s="31" t="str">
        <x:v>Anjoman accounting - refined.xlsx</x:v>
      </x:c>
      <x:c r="B958" s="31" t="str">
        <x:v>اسناد و شواهد</x:v>
      </x:c>
      <x:c r="C958" s="31" t="str">
        <x:v>F22</x:v>
      </x:c>
      <x:c r="D958" s="31" t="str">
        <x:v>تصویر 1280x714; OCR محلی در دسترس نیست؛ ورود دستی لازم است.</x:v>
      </x:c>
      <x:c r="E958" s="31"/>
    </x:row>
    <x:row r="959" ht="15" hidden="0" customHeight="1">
      <x:c r="A959" s="31" t="str">
        <x:v>Anjoman accounting - refined.xlsx</x:v>
      </x:c>
      <x:c r="B959" s="31" t="str">
        <x:v>اسناد و شواهد</x:v>
      </x:c>
      <x:c r="C959" s="31" t="str">
        <x:v>A23</x:v>
      </x:c>
      <x:c r="D959" s="31" t="str">
        <x:v>E-0020</x:v>
      </x:c>
      <x:c r="E959" s="31"/>
    </x:row>
    <x:row r="960" ht="15" hidden="0" customHeight="1">
      <x:c r="A960" s="31" t="str">
        <x:v>Anjoman accounting - refined.xlsx</x:v>
      </x:c>
      <x:c r="B960" s="31" t="str">
        <x:v>اسناد و شواهد</x:v>
      </x:c>
      <x:c r="C960" s="31" t="str">
        <x:v>B23</x:v>
      </x:c>
      <x:c r="D960" s="31" t="str">
        <x:v>recipts\photo_7_2026-10-10_11-09-04.jpg</x:v>
      </x:c>
      <x:c r="E960" s="31"/>
    </x:row>
    <x:row r="961" ht="15" hidden="0" customHeight="1">
      <x:c r="A961" s="31" t="str">
        <x:v>Anjoman accounting - refined.xlsx</x:v>
      </x:c>
      <x:c r="B961" s="31" t="str">
        <x:v>اسناد و شواهد</x:v>
      </x:c>
      <x:c r="C961" s="31" t="str">
        <x:v>C23</x:v>
      </x:c>
      <x:c r="D961" s="31" t="str">
        <x:v>jpg</x:v>
      </x:c>
      <x:c r="E961" s="31"/>
    </x:row>
    <x:row r="962" ht="15" hidden="0" customHeight="1">
      <x:c r="A962" s="31" t="str">
        <x:v>Anjoman accounting - refined.xlsx</x:v>
      </x:c>
      <x:c r="B962" s="31" t="str">
        <x:v>اسناد و شواهد</x:v>
      </x:c>
      <x:c r="C962" s="31" t="str">
        <x:v>D23</x:v>
      </x:c>
      <x:c r="D962" s="31" t="str">
        <x:v>49510</x:v>
      </x:c>
      <x:c r="E962" s="31"/>
    </x:row>
    <x:row r="963" ht="15" hidden="0" customHeight="1">
      <x:c r="A963" s="31" t="str">
        <x:v>Anjoman accounting - refined.xlsx</x:v>
      </x:c>
      <x:c r="B963" s="31" t="str">
        <x:v>اسناد و شواهد</x:v>
      </x:c>
      <x:c r="C963" s="31" t="str">
        <x:v>E23</x:v>
      </x:c>
      <x:c r="D963" s="31" t="str">
        <x:v>805ebbd2b231c7cf1c2858b5a056938b59dd5c7ccaed44d74c4edc20f4b57ce2</x:v>
      </x:c>
      <x:c r="E963" s="31"/>
    </x:row>
    <x:row r="964" ht="15" hidden="0" customHeight="1">
      <x:c r="A964" s="31" t="str">
        <x:v>Anjoman accounting - refined.xlsx</x:v>
      </x:c>
      <x:c r="B964" s="31" t="str">
        <x:v>اسناد و شواهد</x:v>
      </x:c>
      <x:c r="C964" s="31" t="str">
        <x:v>F23</x:v>
      </x:c>
      <x:c r="D964" s="31" t="str">
        <x:v>تصویر 1200x1145; OCR محلی در دسترس نیست؛ ورود دستی لازم است.</x:v>
      </x:c>
      <x:c r="E964" s="31"/>
    </x:row>
    <x:row r="965" ht="15" hidden="0" customHeight="1">
      <x:c r="A965" s="31" t="str">
        <x:v>Anjoman accounting - refined.xlsx</x:v>
      </x:c>
      <x:c r="B965" s="31" t="str">
        <x:v>اسناد و شواهد</x:v>
      </x:c>
      <x:c r="C965" s="31" t="str">
        <x:v>A24</x:v>
      </x:c>
      <x:c r="D965" s="31" t="str">
        <x:v>E-0021</x:v>
      </x:c>
      <x:c r="E965" s="31"/>
    </x:row>
    <x:row r="966" ht="15" hidden="0" customHeight="1">
      <x:c r="A966" s="31" t="str">
        <x:v>Anjoman accounting - refined.xlsx</x:v>
      </x:c>
      <x:c r="B966" s="31" t="str">
        <x:v>اسناد و شواهد</x:v>
      </x:c>
      <x:c r="C966" s="31" t="str">
        <x:v>B24</x:v>
      </x:c>
      <x:c r="D966" s="31" t="str">
        <x:v>recipts\photo_7_2026-10-10_14-07-27.jpg</x:v>
      </x:c>
      <x:c r="E966" s="31"/>
    </x:row>
    <x:row r="967" ht="15" hidden="0" customHeight="1">
      <x:c r="A967" s="31" t="str">
        <x:v>Anjoman accounting - refined.xlsx</x:v>
      </x:c>
      <x:c r="B967" s="31" t="str">
        <x:v>اسناد و شواهد</x:v>
      </x:c>
      <x:c r="C967" s="31" t="str">
        <x:v>C24</x:v>
      </x:c>
      <x:c r="D967" s="31" t="str">
        <x:v>jpg</x:v>
      </x:c>
      <x:c r="E967" s="31"/>
    </x:row>
    <x:row r="968" ht="15" hidden="0" customHeight="1">
      <x:c r="A968" s="31" t="str">
        <x:v>Anjoman accounting - refined.xlsx</x:v>
      </x:c>
      <x:c r="B968" s="31" t="str">
        <x:v>اسناد و شواهد</x:v>
      </x:c>
      <x:c r="C968" s="31" t="str">
        <x:v>D24</x:v>
      </x:c>
      <x:c r="D968" s="31" t="str">
        <x:v>44918</x:v>
      </x:c>
      <x:c r="E968" s="31"/>
    </x:row>
    <x:row r="969" ht="15" hidden="0" customHeight="1">
      <x:c r="A969" s="31" t="str">
        <x:v>Anjoman accounting - refined.xlsx</x:v>
      </x:c>
      <x:c r="B969" s="31" t="str">
        <x:v>اسناد و شواهد</x:v>
      </x:c>
      <x:c r="C969" s="31" t="str">
        <x:v>E24</x:v>
      </x:c>
      <x:c r="D969" s="31" t="str">
        <x:v>1bfe3e9b9076ece14313b068bc35b4b58c247e5b9fbf0c8ac9d9161c5a1eab10</x:v>
      </x:c>
      <x:c r="E969" s="31"/>
    </x:row>
    <x:row r="970" ht="15" hidden="0" customHeight="1">
      <x:c r="A970" s="31" t="str">
        <x:v>Anjoman accounting - refined.xlsx</x:v>
      </x:c>
      <x:c r="B970" s="31" t="str">
        <x:v>اسناد و شواهد</x:v>
      </x:c>
      <x:c r="C970" s="31" t="str">
        <x:v>F24</x:v>
      </x:c>
      <x:c r="D970" s="31" t="str">
        <x:v>تصویر 1280x714; OCR محلی در دسترس نیست؛ ورود دستی لازم است.</x:v>
      </x:c>
      <x:c r="E970" s="31"/>
    </x:row>
    <x:row r="971" ht="15" hidden="0" customHeight="1">
      <x:c r="A971" s="31" t="str">
        <x:v>Anjoman accounting - refined.xlsx</x:v>
      </x:c>
      <x:c r="B971" s="31" t="str">
        <x:v>اسناد و شواهد</x:v>
      </x:c>
      <x:c r="C971" s="31" t="str">
        <x:v>A25</x:v>
      </x:c>
      <x:c r="D971" s="31" t="str">
        <x:v>E-0022</x:v>
      </x:c>
      <x:c r="E971" s="31"/>
    </x:row>
    <x:row r="972" ht="15" hidden="0" customHeight="1">
      <x:c r="A972" s="31" t="str">
        <x:v>Anjoman accounting - refined.xlsx</x:v>
      </x:c>
      <x:c r="B972" s="31" t="str">
        <x:v>اسناد و شواهد</x:v>
      </x:c>
      <x:c r="C972" s="31" t="str">
        <x:v>B25</x:v>
      </x:c>
      <x:c r="D972" s="31" t="str">
        <x:v>recipts\photo_8_2026-10-10_11-09-04.jpg</x:v>
      </x:c>
      <x:c r="E972" s="31"/>
    </x:row>
    <x:row r="973" ht="15" hidden="0" customHeight="1">
      <x:c r="A973" s="31" t="str">
        <x:v>Anjoman accounting - refined.xlsx</x:v>
      </x:c>
      <x:c r="B973" s="31" t="str">
        <x:v>اسناد و شواهد</x:v>
      </x:c>
      <x:c r="C973" s="31" t="str">
        <x:v>C25</x:v>
      </x:c>
      <x:c r="D973" s="31" t="str">
        <x:v>jpg</x:v>
      </x:c>
      <x:c r="E973" s="31"/>
    </x:row>
    <x:row r="974" ht="15" hidden="0" customHeight="1">
      <x:c r="A974" s="31" t="str">
        <x:v>Anjoman accounting - refined.xlsx</x:v>
      </x:c>
      <x:c r="B974" s="31" t="str">
        <x:v>اسناد و شواهد</x:v>
      </x:c>
      <x:c r="C974" s="31" t="str">
        <x:v>D25</x:v>
      </x:c>
      <x:c r="D974" s="31" t="str">
        <x:v>48893</x:v>
      </x:c>
      <x:c r="E974" s="31"/>
    </x:row>
    <x:row r="975" ht="15" hidden="0" customHeight="1">
      <x:c r="A975" s="31" t="str">
        <x:v>Anjoman accounting - refined.xlsx</x:v>
      </x:c>
      <x:c r="B975" s="31" t="str">
        <x:v>اسناد و شواهد</x:v>
      </x:c>
      <x:c r="C975" s="31" t="str">
        <x:v>E25</x:v>
      </x:c>
      <x:c r="D975" s="31" t="str">
        <x:v>75fee797d13ddb85ea935721b36fb145c6c9fe6b2ea11406f10a551c57acac32</x:v>
      </x:c>
      <x:c r="E975" s="31"/>
    </x:row>
    <x:row r="976" ht="15" hidden="0" customHeight="1">
      <x:c r="A976" s="31" t="str">
        <x:v>Anjoman accounting - refined.xlsx</x:v>
      </x:c>
      <x:c r="B976" s="31" t="str">
        <x:v>اسناد و شواهد</x:v>
      </x:c>
      <x:c r="C976" s="31" t="str">
        <x:v>F25</x:v>
      </x:c>
      <x:c r="D976" s="31" t="str">
        <x:v>تصویر 1200x1145; OCR محلی در دسترس نیست؛ ورود دستی لازم است.</x:v>
      </x:c>
      <x:c r="E976" s="31"/>
    </x:row>
    <x:row r="977" ht="15" hidden="0" customHeight="1">
      <x:c r="A977" s="31" t="str">
        <x:v>Anjoman accounting - refined.xlsx</x:v>
      </x:c>
      <x:c r="B977" s="31" t="str">
        <x:v>اسناد و شواهد</x:v>
      </x:c>
      <x:c r="C977" s="31" t="str">
        <x:v>A26</x:v>
      </x:c>
      <x:c r="D977" s="31" t="str">
        <x:v>E-0023</x:v>
      </x:c>
      <x:c r="E977" s="31"/>
    </x:row>
    <x:row r="978" ht="15" hidden="0" customHeight="1">
      <x:c r="A978" s="31" t="str">
        <x:v>Anjoman accounting - refined.xlsx</x:v>
      </x:c>
      <x:c r="B978" s="31" t="str">
        <x:v>اسناد و شواهد</x:v>
      </x:c>
      <x:c r="C978" s="31" t="str">
        <x:v>B26</x:v>
      </x:c>
      <x:c r="D978" s="31" t="str">
        <x:v>recipts\photo_8_2026-10-10_14-07-27.jpg</x:v>
      </x:c>
      <x:c r="E978" s="31"/>
    </x:row>
    <x:row r="979" ht="15" hidden="0" customHeight="1">
      <x:c r="A979" s="31" t="str">
        <x:v>Anjoman accounting - refined.xlsx</x:v>
      </x:c>
      <x:c r="B979" s="31" t="str">
        <x:v>اسناد و شواهد</x:v>
      </x:c>
      <x:c r="C979" s="31" t="str">
        <x:v>C26</x:v>
      </x:c>
      <x:c r="D979" s="31" t="str">
        <x:v>jpg</x:v>
      </x:c>
      <x:c r="E979" s="31"/>
    </x:row>
    <x:row r="980" ht="15" hidden="0" customHeight="1">
      <x:c r="A980" s="31" t="str">
        <x:v>Anjoman accounting - refined.xlsx</x:v>
      </x:c>
      <x:c r="B980" s="31" t="str">
        <x:v>اسناد و شواهد</x:v>
      </x:c>
      <x:c r="C980" s="31" t="str">
        <x:v>D26</x:v>
      </x:c>
      <x:c r="D980" s="31" t="str">
        <x:v>39907</x:v>
      </x:c>
      <x:c r="E980" s="31"/>
    </x:row>
    <x:row r="981" ht="15" hidden="0" customHeight="1">
      <x:c r="A981" s="31" t="str">
        <x:v>Anjoman accounting - refined.xlsx</x:v>
      </x:c>
      <x:c r="B981" s="31" t="str">
        <x:v>اسناد و شواهد</x:v>
      </x:c>
      <x:c r="C981" s="31" t="str">
        <x:v>E26</x:v>
      </x:c>
      <x:c r="D981" s="31" t="str">
        <x:v>ae9fe7eccdae6bf86a1de9ecb8dc330494dec3835c76a1f55a0dd695297689b8</x:v>
      </x:c>
      <x:c r="E981" s="31"/>
    </x:row>
    <x:row r="982" ht="15" hidden="0" customHeight="1">
      <x:c r="A982" s="31" t="str">
        <x:v>Anjoman accounting - refined.xlsx</x:v>
      </x:c>
      <x:c r="B982" s="31" t="str">
        <x:v>اسناد و شواهد</x:v>
      </x:c>
      <x:c r="C982" s="31" t="str">
        <x:v>F26</x:v>
      </x:c>
      <x:c r="D982" s="31" t="str">
        <x:v>تصویر 1280x714; OCR محلی در دسترس نیست؛ ورود دستی لازم است.</x:v>
      </x:c>
      <x:c r="E982" s="31"/>
    </x:row>
    <x:row r="983" ht="15" hidden="0" customHeight="1">
      <x:c r="A983" s="31" t="str">
        <x:v>Anjoman accounting - refined.xlsx</x:v>
      </x:c>
      <x:c r="B983" s="31" t="str">
        <x:v>اسناد و شواهد</x:v>
      </x:c>
      <x:c r="C983" s="31" t="str">
        <x:v>A27</x:v>
      </x:c>
      <x:c r="D983" s="31" t="str">
        <x:v>E-0024</x:v>
      </x:c>
      <x:c r="E983" s="31"/>
    </x:row>
    <x:row r="984" ht="15" hidden="0" customHeight="1">
      <x:c r="A984" s="31" t="str">
        <x:v>Anjoman accounting - refined.xlsx</x:v>
      </x:c>
      <x:c r="B984" s="31" t="str">
        <x:v>اسناد و شواهد</x:v>
      </x:c>
      <x:c r="C984" s="31" t="str">
        <x:v>B27</x:v>
      </x:c>
      <x:c r="D984" s="31" t="str">
        <x:v>telegram export\css\style.css</x:v>
      </x:c>
      <x:c r="E984" s="31"/>
    </x:row>
    <x:row r="985" ht="15" hidden="0" customHeight="1">
      <x:c r="A985" s="31" t="str">
        <x:v>Anjoman accounting - refined.xlsx</x:v>
      </x:c>
      <x:c r="B985" s="31" t="str">
        <x:v>اسناد و شواهد</x:v>
      </x:c>
      <x:c r="C985" s="31" t="str">
        <x:v>C27</x:v>
      </x:c>
      <x:c r="D985" s="31" t="str">
        <x:v>css</x:v>
      </x:c>
      <x:c r="E985" s="31"/>
    </x:row>
    <x:row r="986" ht="15" hidden="0" customHeight="1">
      <x:c r="A986" s="31" t="str">
        <x:v>Anjoman accounting - refined.xlsx</x:v>
      </x:c>
      <x:c r="B986" s="31" t="str">
        <x:v>اسناد و شواهد</x:v>
      </x:c>
      <x:c r="C986" s="31" t="str">
        <x:v>D27</x:v>
      </x:c>
      <x:c r="D986" s="31" t="str">
        <x:v>44158</x:v>
      </x:c>
      <x:c r="E986" s="31"/>
    </x:row>
    <x:row r="987" ht="15" hidden="0" customHeight="1">
      <x:c r="A987" s="31" t="str">
        <x:v>Anjoman accounting - refined.xlsx</x:v>
      </x:c>
      <x:c r="B987" s="31" t="str">
        <x:v>اسناد و شواهد</x:v>
      </x:c>
      <x:c r="C987" s="31" t="str">
        <x:v>E27</x:v>
      </x:c>
      <x:c r="D987" s="31" t="str">
        <x:v>1d70127586462ce7996aad2749e7994aca9dee615c3d8d38e2acd4d2a00ca611</x:v>
      </x:c>
      <x:c r="E987" s="31"/>
    </x:row>
    <x:row r="988" ht="15" hidden="0" customHeight="1">
      <x:c r="A988" s="31" t="str">
        <x:v>Anjoman accounting - refined.xlsx</x:v>
      </x:c>
      <x:c r="B988" s="31" t="str">
        <x:v>اسناد و شواهد</x:v>
      </x:c>
      <x:c r="C988" s="31" t="str">
        <x:v>A28</x:v>
      </x:c>
      <x:c r="D988" s="31" t="str">
        <x:v>E-0025</x:v>
      </x:c>
      <x:c r="E988" s="31"/>
    </x:row>
    <x:row r="989" ht="15" hidden="0" customHeight="1">
      <x:c r="A989" s="31" t="str">
        <x:v>Anjoman accounting - refined.xlsx</x:v>
      </x:c>
      <x:c r="B989" s="31" t="str">
        <x:v>اسناد و شواهد</x:v>
      </x:c>
      <x:c r="C989" s="31" t="str">
        <x:v>B28</x:v>
      </x:c>
      <x:c r="D989" s="31" t="str">
        <x:v>telegram export\files\CamScanner 13-05-2026 12.43 (1).pdf</x:v>
      </x:c>
      <x:c r="E989" s="31"/>
    </x:row>
    <x:row r="990" ht="15" hidden="0" customHeight="1">
      <x:c r="A990" s="31" t="str">
        <x:v>Anjoman accounting - refined.xlsx</x:v>
      </x:c>
      <x:c r="B990" s="31" t="str">
        <x:v>اسناد و شواهد</x:v>
      </x:c>
      <x:c r="C990" s="31" t="str">
        <x:v>C28</x:v>
      </x:c>
      <x:c r="D990" s="31" t="str">
        <x:v>pdf</x:v>
      </x:c>
      <x:c r="E990" s="31"/>
    </x:row>
    <x:row r="991" ht="15" hidden="0" customHeight="1">
      <x:c r="A991" s="31" t="str">
        <x:v>Anjoman accounting - refined.xlsx</x:v>
      </x:c>
      <x:c r="B991" s="31" t="str">
        <x:v>اسناد و شواهد</x:v>
      </x:c>
      <x:c r="C991" s="31" t="str">
        <x:v>D28</x:v>
      </x:c>
      <x:c r="D991" s="31" t="str">
        <x:v>7377808</x:v>
      </x:c>
      <x:c r="E991" s="31"/>
    </x:row>
    <x:row r="992" ht="15" hidden="0" customHeight="1">
      <x:c r="A992" s="31" t="str">
        <x:v>Anjoman accounting - refined.xlsx</x:v>
      </x:c>
      <x:c r="B992" s="31" t="str">
        <x:v>اسناد و شواهد</x:v>
      </x:c>
      <x:c r="C992" s="31" t="str">
        <x:v>E28</x:v>
      </x:c>
      <x:c r="D992" s="31" t="str">
        <x:v>6710c8248b7f8f3fb3ccc8ef74c9e5f017aa69fcd6c02fb1e5e4f8d33d134b2b</x:v>
      </x:c>
      <x:c r="E992" s="31"/>
    </x:row>
    <x:row r="993" ht="15" hidden="0" customHeight="1">
      <x:c r="A993" s="31" t="str">
        <x:v>Anjoman accounting - refined.xlsx</x:v>
      </x:c>
      <x:c r="B993" s="31" t="str">
        <x:v>اسناد و شواهد</x:v>
      </x:c>
      <x:c r="C993" s="31" t="str">
        <x:v>F28</x:v>
      </x:c>
      <x:c r="D993" s="31" t="str">
        <x:v>PDF؛ متن استخراج‌شده در خام_اسناد نگهداری شده است.</x:v>
      </x:c>
      <x:c r="E993" s="31"/>
    </x:row>
    <x:row r="994" ht="15" hidden="0" customHeight="1">
      <x:c r="A994" s="31" t="str">
        <x:v>Anjoman accounting - refined.xlsx</x:v>
      </x:c>
      <x:c r="B994" s="31" t="str">
        <x:v>اسناد و شواهد</x:v>
      </x:c>
      <x:c r="C994" s="31" t="str">
        <x:v>A29</x:v>
      </x:c>
      <x:c r="D994" s="31" t="str">
        <x:v>E-0026</x:v>
      </x:c>
      <x:c r="E994" s="31"/>
    </x:row>
    <x:row r="995" ht="15" hidden="0" customHeight="1">
      <x:c r="A995" s="31" t="str">
        <x:v>Anjoman accounting - refined.xlsx</x:v>
      </x:c>
      <x:c r="B995" s="31" t="str">
        <x:v>اسناد و شواهد</x:v>
      </x:c>
      <x:c r="C995" s="31" t="str">
        <x:v>B29</x:v>
      </x:c>
      <x:c r="D995" s="31" t="str">
        <x:v>telegram export\files\dk-file-2025-10-16-14-43-08.pdf</x:v>
      </x:c>
      <x:c r="E995" s="31"/>
    </x:row>
    <x:row r="996" ht="15" hidden="0" customHeight="1">
      <x:c r="A996" s="31" t="str">
        <x:v>Anjoman accounting - refined.xlsx</x:v>
      </x:c>
      <x:c r="B996" s="31" t="str">
        <x:v>اسناد و شواهد</x:v>
      </x:c>
      <x:c r="C996" s="31" t="str">
        <x:v>C29</x:v>
      </x:c>
      <x:c r="D996" s="31" t="str">
        <x:v>pdf</x:v>
      </x:c>
      <x:c r="E996" s="31"/>
    </x:row>
    <x:row r="997" ht="15" hidden="0" customHeight="1">
      <x:c r="A997" s="31" t="str">
        <x:v>Anjoman accounting - refined.xlsx</x:v>
      </x:c>
      <x:c r="B997" s="31" t="str">
        <x:v>اسناد و شواهد</x:v>
      </x:c>
      <x:c r="C997" s="31" t="str">
        <x:v>D29</x:v>
      </x:c>
      <x:c r="D997" s="31" t="str">
        <x:v>326283</x:v>
      </x:c>
      <x:c r="E997" s="31"/>
    </x:row>
    <x:row r="998" ht="15" hidden="0" customHeight="1">
      <x:c r="A998" s="31" t="str">
        <x:v>Anjoman accounting - refined.xlsx</x:v>
      </x:c>
      <x:c r="B998" s="31" t="str">
        <x:v>اسناد و شواهد</x:v>
      </x:c>
      <x:c r="C998" s="31" t="str">
        <x:v>E29</x:v>
      </x:c>
      <x:c r="D998" s="31" t="str">
        <x:v>6e8ce528a639e8464eeb696a426eea1e00398cec8ff5e910340153fd01552139</x:v>
      </x:c>
      <x:c r="E998" s="31"/>
    </x:row>
    <x:row r="999" ht="15" hidden="0" customHeight="1">
      <x:c r="A999" s="31" t="str">
        <x:v>Anjoman accounting - refined.xlsx</x:v>
      </x:c>
      <x:c r="B999" s="31" t="str">
        <x:v>اسناد و شواهد</x:v>
      </x:c>
      <x:c r="C999" s="31" t="str">
        <x:v>F29</x:v>
      </x:c>
      <x:c r="D999" s="31" t="str">
        <x:v>PDF؛ متن استخراج‌شده در خام_اسناد نگهداری شده است.</x:v>
      </x:c>
      <x:c r="E999" s="31"/>
    </x:row>
    <x:row r="1000" ht="15" hidden="0" customHeight="1">
      <x:c r="A1000" s="31" t="str">
        <x:v>Anjoman accounting - refined.xlsx</x:v>
      </x:c>
      <x:c r="B1000" s="31" t="str">
        <x:v>اسناد و شواهد</x:v>
      </x:c>
      <x:c r="C1000" s="31" t="str">
        <x:v>A30</x:v>
      </x:c>
      <x:c r="D1000" s="31" t="str">
        <x:v>E-0027</x:v>
      </x:c>
      <x:c r="E1000" s="31"/>
    </x:row>
    <x:row r="1001" ht="15" hidden="0" customHeight="1">
      <x:c r="A1001" s="31" t="str">
        <x:v>Anjoman accounting - refined.xlsx</x:v>
      </x:c>
      <x:c r="B1001" s="31" t="str">
        <x:v>اسناد و شواهد</x:v>
      </x:c>
      <x:c r="C1001" s="31" t="str">
        <x:v>B30</x:v>
      </x:c>
      <x:c r="D1001" s="31" t="str">
        <x:v>telegram export\files\report_LaTeX.txt</x:v>
      </x:c>
      <x:c r="E1001" s="31"/>
    </x:row>
    <x:row r="1002" ht="15" hidden="0" customHeight="1">
      <x:c r="A1002" s="31" t="str">
        <x:v>Anjoman accounting - refined.xlsx</x:v>
      </x:c>
      <x:c r="B1002" s="31" t="str">
        <x:v>اسناد و شواهد</x:v>
      </x:c>
      <x:c r="C1002" s="31" t="str">
        <x:v>C30</x:v>
      </x:c>
      <x:c r="D1002" s="31" t="str">
        <x:v>txt</x:v>
      </x:c>
      <x:c r="E1002" s="31"/>
    </x:row>
    <x:row r="1003" ht="15" hidden="0" customHeight="1">
      <x:c r="A1003" s="31" t="str">
        <x:v>Anjoman accounting - refined.xlsx</x:v>
      </x:c>
      <x:c r="B1003" s="31" t="str">
        <x:v>اسناد و شواهد</x:v>
      </x:c>
      <x:c r="C1003" s="31" t="str">
        <x:v>D30</x:v>
      </x:c>
      <x:c r="D1003" s="31" t="str">
        <x:v>6957</x:v>
      </x:c>
      <x:c r="E1003" s="31"/>
    </x:row>
    <x:row r="1004" ht="15" hidden="0" customHeight="1">
      <x:c r="A1004" s="31" t="str">
        <x:v>Anjoman accounting - refined.xlsx</x:v>
      </x:c>
      <x:c r="B1004" s="31" t="str">
        <x:v>اسناد و شواهد</x:v>
      </x:c>
      <x:c r="C1004" s="31" t="str">
        <x:v>E30</x:v>
      </x:c>
      <x:c r="D1004" s="31" t="str">
        <x:v>6f49e9daa289994ee9c5668ca7835c80fae756e783c6ea3b34f87e867ec5373e</x:v>
      </x:c>
      <x:c r="E1004" s="31"/>
    </x:row>
    <x:row r="1005" ht="15" hidden="0" customHeight="1">
      <x:c r="A1005" s="31" t="str">
        <x:v>Anjoman accounting - refined.xlsx</x:v>
      </x:c>
      <x:c r="B1005" s="31" t="str">
        <x:v>اسناد و شواهد</x:v>
      </x:c>
      <x:c r="C1005" s="31" t="str">
        <x:v>A31</x:v>
      </x:c>
      <x:c r="D1005" s="31" t="str">
        <x:v>E-0028</x:v>
      </x:c>
      <x:c r="E1005" s="31"/>
    </x:row>
    <x:row r="1006" ht="15" hidden="0" customHeight="1">
      <x:c r="A1006" s="31" t="str">
        <x:v>Anjoman accounting - refined.xlsx</x:v>
      </x:c>
      <x:c r="B1006" s="31" t="str">
        <x:v>اسناد و شواهد</x:v>
      </x:c>
      <x:c r="C1006" s="31" t="str">
        <x:v>B31</x:v>
      </x:c>
      <x:c r="D1006" s="31" t="str">
        <x:v>telegram export\files\report_Mathematica.txt</x:v>
      </x:c>
      <x:c r="E1006" s="31"/>
    </x:row>
    <x:row r="1007" ht="15" hidden="0" customHeight="1">
      <x:c r="A1007" s="31" t="str">
        <x:v>Anjoman accounting - refined.xlsx</x:v>
      </x:c>
      <x:c r="B1007" s="31" t="str">
        <x:v>اسناد و شواهد</x:v>
      </x:c>
      <x:c r="C1007" s="31" t="str">
        <x:v>C31</x:v>
      </x:c>
      <x:c r="D1007" s="31" t="str">
        <x:v>txt</x:v>
      </x:c>
      <x:c r="E1007" s="31"/>
    </x:row>
    <x:row r="1008" ht="15" hidden="0" customHeight="1">
      <x:c r="A1008" s="31" t="str">
        <x:v>Anjoman accounting - refined.xlsx</x:v>
      </x:c>
      <x:c r="B1008" s="31" t="str">
        <x:v>اسناد و شواهد</x:v>
      </x:c>
      <x:c r="C1008" s="31" t="str">
        <x:v>D31</x:v>
      </x:c>
      <x:c r="D1008" s="31" t="str">
        <x:v>5794</x:v>
      </x:c>
      <x:c r="E1008" s="31"/>
    </x:row>
    <x:row r="1009" ht="15" hidden="0" customHeight="1">
      <x:c r="A1009" s="31" t="str">
        <x:v>Anjoman accounting - refined.xlsx</x:v>
      </x:c>
      <x:c r="B1009" s="31" t="str">
        <x:v>اسناد و شواهد</x:v>
      </x:c>
      <x:c r="C1009" s="31" t="str">
        <x:v>E31</x:v>
      </x:c>
      <x:c r="D1009" s="31" t="str">
        <x:v>d46de755d6b2fac8a5ee3f3d7ac8dbf6f95fe35527a0d65031da933e6181b1ee</x:v>
      </x:c>
      <x:c r="E1009" s="31"/>
    </x:row>
    <x:row r="1010" ht="15" hidden="0" customHeight="1">
      <x:c r="A1010" s="31" t="str">
        <x:v>Anjoman accounting - refined.xlsx</x:v>
      </x:c>
      <x:c r="B1010" s="31" t="str">
        <x:v>اسناد و شواهد</x:v>
      </x:c>
      <x:c r="C1010" s="31" t="str">
        <x:v>A32</x:v>
      </x:c>
      <x:c r="D1010" s="31" t="str">
        <x:v>E-0029</x:v>
      </x:c>
      <x:c r="E1010" s="31"/>
    </x:row>
    <x:row r="1011" ht="15" hidden="0" customHeight="1">
      <x:c r="A1011" s="31" t="str">
        <x:v>Anjoman accounting - refined.xlsx</x:v>
      </x:c>
      <x:c r="B1011" s="31" t="str">
        <x:v>اسناد و شواهد</x:v>
      </x:c>
      <x:c r="C1011" s="31" t="str">
        <x:v>B32</x:v>
      </x:c>
      <x:c r="D1011" s="31" t="str">
        <x:v>telegram export\files\report_Python.txt</x:v>
      </x:c>
      <x:c r="E1011" s="31"/>
    </x:row>
    <x:row r="1012" ht="15" hidden="0" customHeight="1">
      <x:c r="A1012" s="31" t="str">
        <x:v>Anjoman accounting - refined.xlsx</x:v>
      </x:c>
      <x:c r="B1012" s="31" t="str">
        <x:v>اسناد و شواهد</x:v>
      </x:c>
      <x:c r="C1012" s="31" t="str">
        <x:v>C32</x:v>
      </x:c>
      <x:c r="D1012" s="31" t="str">
        <x:v>txt</x:v>
      </x:c>
      <x:c r="E1012" s="31"/>
    </x:row>
    <x:row r="1013" ht="15" hidden="0" customHeight="1">
      <x:c r="A1013" s="31" t="str">
        <x:v>Anjoman accounting - refined.xlsx</x:v>
      </x:c>
      <x:c r="B1013" s="31" t="str">
        <x:v>اسناد و شواهد</x:v>
      </x:c>
      <x:c r="C1013" s="31" t="str">
        <x:v>D32</x:v>
      </x:c>
      <x:c r="D1013" s="31" t="str">
        <x:v>6376</x:v>
      </x:c>
      <x:c r="E1013" s="31"/>
    </x:row>
    <x:row r="1014" ht="15" hidden="0" customHeight="1">
      <x:c r="A1014" s="31" t="str">
        <x:v>Anjoman accounting - refined.xlsx</x:v>
      </x:c>
      <x:c r="B1014" s="31" t="str">
        <x:v>اسناد و شواهد</x:v>
      </x:c>
      <x:c r="C1014" s="31" t="str">
        <x:v>E32</x:v>
      </x:c>
      <x:c r="D1014" s="31" t="str">
        <x:v>17ae48dee33027148ec54f2d842e17ac16032522c356342f796949ec3f3e24d4</x:v>
      </x:c>
      <x:c r="E1014" s="31"/>
    </x:row>
    <x:row r="1015" ht="15" hidden="0" customHeight="1">
      <x:c r="A1015" s="31" t="str">
        <x:v>Anjoman accounting - refined.xlsx</x:v>
      </x:c>
      <x:c r="B1015" s="31" t="str">
        <x:v>اسناد و شواهد</x:v>
      </x:c>
      <x:c r="C1015" s="31" t="str">
        <x:v>A33</x:v>
      </x:c>
      <x:c r="D1015" s="31" t="str">
        <x:v>E-0030</x:v>
      </x:c>
      <x:c r="E1015" s="31"/>
    </x:row>
    <x:row r="1016" ht="15" hidden="0" customHeight="1">
      <x:c r="A1016" s="31" t="str">
        <x:v>Anjoman accounting - refined.xlsx</x:v>
      </x:c>
      <x:c r="B1016" s="31" t="str">
        <x:v>اسناد و شواهد</x:v>
      </x:c>
      <x:c r="C1016" s="31" t="str">
        <x:v>B33</x:v>
      </x:c>
      <x:c r="D1016" s="31" t="str">
        <x:v>telegram export\images\back.png</x:v>
      </x:c>
      <x:c r="E1016" s="31"/>
    </x:row>
    <x:row r="1017" ht="15" hidden="0" customHeight="1">
      <x:c r="A1017" s="31" t="str">
        <x:v>Anjoman accounting - refined.xlsx</x:v>
      </x:c>
      <x:c r="B1017" s="31" t="str">
        <x:v>اسناد و شواهد</x:v>
      </x:c>
      <x:c r="C1017" s="31" t="str">
        <x:v>C33</x:v>
      </x:c>
      <x:c r="D1017" s="31" t="str">
        <x:v>png</x:v>
      </x:c>
      <x:c r="E1017" s="31"/>
    </x:row>
    <x:row r="1018" ht="15" hidden="0" customHeight="1">
      <x:c r="A1018" s="31" t="str">
        <x:v>Anjoman accounting - refined.xlsx</x:v>
      </x:c>
      <x:c r="B1018" s="31" t="str">
        <x:v>اسناد و شواهد</x:v>
      </x:c>
      <x:c r="C1018" s="31" t="str">
        <x:v>D33</x:v>
      </x:c>
      <x:c r="D1018" s="31" t="str">
        <x:v>312</x:v>
      </x:c>
      <x:c r="E1018" s="31"/>
    </x:row>
    <x:row r="1019" ht="15" hidden="0" customHeight="1">
      <x:c r="A1019" s="31" t="str">
        <x:v>Anjoman accounting - refined.xlsx</x:v>
      </x:c>
      <x:c r="B1019" s="31" t="str">
        <x:v>اسناد و شواهد</x:v>
      </x:c>
      <x:c r="C1019" s="31" t="str">
        <x:v>E33</x:v>
      </x:c>
      <x:c r="D1019" s="31" t="str">
        <x:v>929933067c1d751fed025884b85804818342f7560dd9a36d3a058c36a04676eb</x:v>
      </x:c>
      <x:c r="E1019" s="31"/>
    </x:row>
    <x:row r="1020" ht="15" hidden="0" customHeight="1">
      <x:c r="A1020" s="31" t="str">
        <x:v>Anjoman accounting - refined.xlsx</x:v>
      </x:c>
      <x:c r="B1020" s="31" t="str">
        <x:v>اسناد و شواهد</x:v>
      </x:c>
      <x:c r="C1020" s="31" t="str">
        <x:v>A34</x:v>
      </x:c>
      <x:c r="D1020" s="31" t="str">
        <x:v>E-0031</x:v>
      </x:c>
      <x:c r="E1020" s="31"/>
    </x:row>
    <x:row r="1021" ht="15" hidden="0" customHeight="1">
      <x:c r="A1021" s="31" t="str">
        <x:v>Anjoman accounting - refined.xlsx</x:v>
      </x:c>
      <x:c r="B1021" s="31" t="str">
        <x:v>اسناد و شواهد</x:v>
      </x:c>
      <x:c r="C1021" s="31" t="str">
        <x:v>B34</x:v>
      </x:c>
      <x:c r="D1021" s="31" t="str">
        <x:v>telegram export\images\back@2x.png</x:v>
      </x:c>
      <x:c r="E1021" s="31"/>
    </x:row>
    <x:row r="1022" ht="15" hidden="0" customHeight="1">
      <x:c r="A1022" s="31" t="str">
        <x:v>Anjoman accounting - refined.xlsx</x:v>
      </x:c>
      <x:c r="B1022" s="31" t="str">
        <x:v>اسناد و شواهد</x:v>
      </x:c>
      <x:c r="C1022" s="31" t="str">
        <x:v>C34</x:v>
      </x:c>
      <x:c r="D1022" s="31" t="str">
        <x:v>png</x:v>
      </x:c>
      <x:c r="E1022" s="31"/>
    </x:row>
    <x:row r="1023" ht="15" hidden="0" customHeight="1">
      <x:c r="A1023" s="31" t="str">
        <x:v>Anjoman accounting - refined.xlsx</x:v>
      </x:c>
      <x:c r="B1023" s="31" t="str">
        <x:v>اسناد و شواهد</x:v>
      </x:c>
      <x:c r="C1023" s="31" t="str">
        <x:v>D34</x:v>
      </x:c>
      <x:c r="D1023" s="31" t="str">
        <x:v>518</x:v>
      </x:c>
      <x:c r="E1023" s="31"/>
    </x:row>
    <x:row r="1024" ht="15" hidden="0" customHeight="1">
      <x:c r="A1024" s="31" t="str">
        <x:v>Anjoman accounting - refined.xlsx</x:v>
      </x:c>
      <x:c r="B1024" s="31" t="str">
        <x:v>اسناد و شواهد</x:v>
      </x:c>
      <x:c r="C1024" s="31" t="str">
        <x:v>E34</x:v>
      </x:c>
      <x:c r="D1024" s="31" t="str">
        <x:v>961cfe303deab8f2939257d1b2bb7d0ec14e4f32c3b6a4a673a9fc55ad0053bb</x:v>
      </x:c>
      <x:c r="E1024" s="31"/>
    </x:row>
    <x:row r="1025" ht="15" hidden="0" customHeight="1">
      <x:c r="A1025" s="31" t="str">
        <x:v>Anjoman accounting - refined.xlsx</x:v>
      </x:c>
      <x:c r="B1025" s="31" t="str">
        <x:v>اسناد و شواهد</x:v>
      </x:c>
      <x:c r="C1025" s="31" t="str">
        <x:v>A35</x:v>
      </x:c>
      <x:c r="D1025" s="31" t="str">
        <x:v>E-0032</x:v>
      </x:c>
      <x:c r="E1025" s="31"/>
    </x:row>
    <x:row r="1026" ht="15" hidden="0" customHeight="1">
      <x:c r="A1026" s="31" t="str">
        <x:v>Anjoman accounting - refined.xlsx</x:v>
      </x:c>
      <x:c r="B1026" s="31" t="str">
        <x:v>اسناد و شواهد</x:v>
      </x:c>
      <x:c r="C1026" s="31" t="str">
        <x:v>B35</x:v>
      </x:c>
      <x:c r="D1026" s="31" t="str">
        <x:v>telegram export\images\media_call.png</x:v>
      </x:c>
      <x:c r="E1026" s="31"/>
    </x:row>
    <x:row r="1027" ht="15" hidden="0" customHeight="1">
      <x:c r="A1027" s="31" t="str">
        <x:v>Anjoman accounting - refined.xlsx</x:v>
      </x:c>
      <x:c r="B1027" s="31" t="str">
        <x:v>اسناد و شواهد</x:v>
      </x:c>
      <x:c r="C1027" s="31" t="str">
        <x:v>C35</x:v>
      </x:c>
      <x:c r="D1027" s="31" t="str">
        <x:v>png</x:v>
      </x:c>
      <x:c r="E1027" s="31"/>
    </x:row>
    <x:row r="1028" ht="15" hidden="0" customHeight="1">
      <x:c r="A1028" s="31" t="str">
        <x:v>Anjoman accounting - refined.xlsx</x:v>
      </x:c>
      <x:c r="B1028" s="31" t="str">
        <x:v>اسناد و شواهد</x:v>
      </x:c>
      <x:c r="C1028" s="31" t="str">
        <x:v>D35</x:v>
      </x:c>
      <x:c r="D1028" s="31" t="str">
        <x:v>417</x:v>
      </x:c>
      <x:c r="E1028" s="31"/>
    </x:row>
    <x:row r="1029" ht="15" hidden="0" customHeight="1">
      <x:c r="A1029" s="31" t="str">
        <x:v>Anjoman accounting - refined.xlsx</x:v>
      </x:c>
      <x:c r="B1029" s="31" t="str">
        <x:v>اسناد و شواهد</x:v>
      </x:c>
      <x:c r="C1029" s="31" t="str">
        <x:v>E35</x:v>
      </x:c>
      <x:c r="D1029" s="31" t="str">
        <x:v>83014bb735c810fef0c0bfb6e9dad93e5575a06db20ea0e22e45ab810868a478</x:v>
      </x:c>
      <x:c r="E1029" s="31"/>
    </x:row>
    <x:row r="1030" ht="15" hidden="0" customHeight="1">
      <x:c r="A1030" s="31" t="str">
        <x:v>Anjoman accounting - refined.xlsx</x:v>
      </x:c>
      <x:c r="B1030" s="31" t="str">
        <x:v>اسناد و شواهد</x:v>
      </x:c>
      <x:c r="C1030" s="31" t="str">
        <x:v>A36</x:v>
      </x:c>
      <x:c r="D1030" s="31" t="str">
        <x:v>E-0033</x:v>
      </x:c>
      <x:c r="E1030" s="31"/>
    </x:row>
    <x:row r="1031" ht="15" hidden="0" customHeight="1">
      <x:c r="A1031" s="31" t="str">
        <x:v>Anjoman accounting - refined.xlsx</x:v>
      </x:c>
      <x:c r="B1031" s="31" t="str">
        <x:v>اسناد و شواهد</x:v>
      </x:c>
      <x:c r="C1031" s="31" t="str">
        <x:v>B36</x:v>
      </x:c>
      <x:c r="D1031" s="31" t="str">
        <x:v>telegram export\images\media_call@2x.png</x:v>
      </x:c>
      <x:c r="E1031" s="31"/>
    </x:row>
    <x:row r="1032" ht="15" hidden="0" customHeight="1">
      <x:c r="A1032" s="31" t="str">
        <x:v>Anjoman accounting - refined.xlsx</x:v>
      </x:c>
      <x:c r="B1032" s="31" t="str">
        <x:v>اسناد و شواهد</x:v>
      </x:c>
      <x:c r="C1032" s="31" t="str">
        <x:v>C36</x:v>
      </x:c>
      <x:c r="D1032" s="31" t="str">
        <x:v>png</x:v>
      </x:c>
      <x:c r="E1032" s="31"/>
    </x:row>
    <x:row r="1033" ht="15" hidden="0" customHeight="1">
      <x:c r="A1033" s="31" t="str">
        <x:v>Anjoman accounting - refined.xlsx</x:v>
      </x:c>
      <x:c r="B1033" s="31" t="str">
        <x:v>اسناد و شواهد</x:v>
      </x:c>
      <x:c r="C1033" s="31" t="str">
        <x:v>D36</x:v>
      </x:c>
      <x:c r="D1033" s="31" t="str">
        <x:v>815</x:v>
      </x:c>
      <x:c r="E1033" s="31"/>
    </x:row>
    <x:row r="1034" ht="15" hidden="0" customHeight="1">
      <x:c r="A1034" s="31" t="str">
        <x:v>Anjoman accounting - refined.xlsx</x:v>
      </x:c>
      <x:c r="B1034" s="31" t="str">
        <x:v>اسناد و شواهد</x:v>
      </x:c>
      <x:c r="C1034" s="31" t="str">
        <x:v>E36</x:v>
      </x:c>
      <x:c r="D1034" s="31" t="str">
        <x:v>6f23d3955f028037ac038d21adbec952537b1c7a4862dcc9478615d2977147b5</x:v>
      </x:c>
      <x:c r="E1034" s="31"/>
    </x:row>
    <x:row r="1035" ht="15" hidden="0" customHeight="1">
      <x:c r="A1035" s="31" t="str">
        <x:v>Anjoman accounting - refined.xlsx</x:v>
      </x:c>
      <x:c r="B1035" s="31" t="str">
        <x:v>اسناد و شواهد</x:v>
      </x:c>
      <x:c r="C1035" s="31" t="str">
        <x:v>A37</x:v>
      </x:c>
      <x:c r="D1035" s="31" t="str">
        <x:v>E-0034</x:v>
      </x:c>
      <x:c r="E1035" s="31"/>
    </x:row>
    <x:row r="1036" ht="15" hidden="0" customHeight="1">
      <x:c r="A1036" s="31" t="str">
        <x:v>Anjoman accounting - refined.xlsx</x:v>
      </x:c>
      <x:c r="B1036" s="31" t="str">
        <x:v>اسناد و شواهد</x:v>
      </x:c>
      <x:c r="C1036" s="31" t="str">
        <x:v>B37</x:v>
      </x:c>
      <x:c r="D1036" s="31" t="str">
        <x:v>telegram export\images\media_contact.png</x:v>
      </x:c>
      <x:c r="E1036" s="31"/>
    </x:row>
    <x:row r="1037" ht="15" hidden="0" customHeight="1">
      <x:c r="A1037" s="31" t="str">
        <x:v>Anjoman accounting - refined.xlsx</x:v>
      </x:c>
      <x:c r="B1037" s="31" t="str">
        <x:v>اسناد و شواهد</x:v>
      </x:c>
      <x:c r="C1037" s="31" t="str">
        <x:v>C37</x:v>
      </x:c>
      <x:c r="D1037" s="31" t="str">
        <x:v>png</x:v>
      </x:c>
      <x:c r="E1037" s="31"/>
    </x:row>
    <x:row r="1038" ht="15" hidden="0" customHeight="1">
      <x:c r="A1038" s="31" t="str">
        <x:v>Anjoman accounting - refined.xlsx</x:v>
      </x:c>
      <x:c r="B1038" s="31" t="str">
        <x:v>اسناد و شواهد</x:v>
      </x:c>
      <x:c r="C1038" s="31" t="str">
        <x:v>D37</x:v>
      </x:c>
      <x:c r="D1038" s="31" t="str">
        <x:v>323</x:v>
      </x:c>
      <x:c r="E1038" s="31"/>
    </x:row>
    <x:row r="1039" ht="15" hidden="0" customHeight="1">
      <x:c r="A1039" s="31" t="str">
        <x:v>Anjoman accounting - refined.xlsx</x:v>
      </x:c>
      <x:c r="B1039" s="31" t="str">
        <x:v>اسناد و شواهد</x:v>
      </x:c>
      <x:c r="C1039" s="31" t="str">
        <x:v>E37</x:v>
      </x:c>
      <x:c r="D1039" s="31" t="str">
        <x:v>37462001aa3f02db4821532e4a62bdf5747987f9d0c479d3fddc7dc1e8e0c6a7</x:v>
      </x:c>
      <x:c r="E1039" s="31"/>
    </x:row>
    <x:row r="1040" ht="15" hidden="0" customHeight="1">
      <x:c r="A1040" s="31" t="str">
        <x:v>Anjoman accounting - refined.xlsx</x:v>
      </x:c>
      <x:c r="B1040" s="31" t="str">
        <x:v>اسناد و شواهد</x:v>
      </x:c>
      <x:c r="C1040" s="31" t="str">
        <x:v>A38</x:v>
      </x:c>
      <x:c r="D1040" s="31" t="str">
        <x:v>E-0035</x:v>
      </x:c>
      <x:c r="E1040" s="31"/>
    </x:row>
    <x:row r="1041" ht="15" hidden="0" customHeight="1">
      <x:c r="A1041" s="31" t="str">
        <x:v>Anjoman accounting - refined.xlsx</x:v>
      </x:c>
      <x:c r="B1041" s="31" t="str">
        <x:v>اسناد و شواهد</x:v>
      </x:c>
      <x:c r="C1041" s="31" t="str">
        <x:v>B38</x:v>
      </x:c>
      <x:c r="D1041" s="31" t="str">
        <x:v>telegram export\images\media_contact@2x.png</x:v>
      </x:c>
      <x:c r="E1041" s="31"/>
    </x:row>
    <x:row r="1042" ht="15" hidden="0" customHeight="1">
      <x:c r="A1042" s="31" t="str">
        <x:v>Anjoman accounting - refined.xlsx</x:v>
      </x:c>
      <x:c r="B1042" s="31" t="str">
        <x:v>اسناد و شواهد</x:v>
      </x:c>
      <x:c r="C1042" s="31" t="str">
        <x:v>C38</x:v>
      </x:c>
      <x:c r="D1042" s="31" t="str">
        <x:v>png</x:v>
      </x:c>
      <x:c r="E1042" s="31"/>
    </x:row>
    <x:row r="1043" ht="15" hidden="0" customHeight="1">
      <x:c r="A1043" s="31" t="str">
        <x:v>Anjoman accounting - refined.xlsx</x:v>
      </x:c>
      <x:c r="B1043" s="31" t="str">
        <x:v>اسناد و شواهد</x:v>
      </x:c>
      <x:c r="C1043" s="31" t="str">
        <x:v>D38</x:v>
      </x:c>
      <x:c r="D1043" s="31" t="str">
        <x:v>600</x:v>
      </x:c>
      <x:c r="E1043" s="31"/>
    </x:row>
    <x:row r="1044" ht="15" hidden="0" customHeight="1">
      <x:c r="A1044" s="31" t="str">
        <x:v>Anjoman accounting - refined.xlsx</x:v>
      </x:c>
      <x:c r="B1044" s="31" t="str">
        <x:v>اسناد و شواهد</x:v>
      </x:c>
      <x:c r="C1044" s="31" t="str">
        <x:v>E38</x:v>
      </x:c>
      <x:c r="D1044" s="31" t="str">
        <x:v>ece7f7e5485a4b2bcf50ed758ec9748501b231b7558078d15c3e1f69b55d0cba</x:v>
      </x:c>
      <x:c r="E1044" s="31"/>
    </x:row>
    <x:row r="1045" ht="15" hidden="0" customHeight="1">
      <x:c r="A1045" s="31" t="str">
        <x:v>Anjoman accounting - refined.xlsx</x:v>
      </x:c>
      <x:c r="B1045" s="31" t="str">
        <x:v>اسناد و شواهد</x:v>
      </x:c>
      <x:c r="C1045" s="31" t="str">
        <x:v>A39</x:v>
      </x:c>
      <x:c r="D1045" s="31" t="str">
        <x:v>E-0036</x:v>
      </x:c>
      <x:c r="E1045" s="31"/>
    </x:row>
    <x:row r="1046" ht="15" hidden="0" customHeight="1">
      <x:c r="A1046" s="31" t="str">
        <x:v>Anjoman accounting - refined.xlsx</x:v>
      </x:c>
      <x:c r="B1046" s="31" t="str">
        <x:v>اسناد و شواهد</x:v>
      </x:c>
      <x:c r="C1046" s="31" t="str">
        <x:v>B39</x:v>
      </x:c>
      <x:c r="D1046" s="31" t="str">
        <x:v>telegram export\images\media_file.png</x:v>
      </x:c>
      <x:c r="E1046" s="31"/>
    </x:row>
    <x:row r="1047" ht="15" hidden="0" customHeight="1">
      <x:c r="A1047" s="31" t="str">
        <x:v>Anjoman accounting - refined.xlsx</x:v>
      </x:c>
      <x:c r="B1047" s="31" t="str">
        <x:v>اسناد و شواهد</x:v>
      </x:c>
      <x:c r="C1047" s="31" t="str">
        <x:v>C39</x:v>
      </x:c>
      <x:c r="D1047" s="31" t="str">
        <x:v>png</x:v>
      </x:c>
      <x:c r="E1047" s="31"/>
    </x:row>
    <x:row r="1048" ht="15" hidden="0" customHeight="1">
      <x:c r="A1048" s="31" t="str">
        <x:v>Anjoman accounting - refined.xlsx</x:v>
      </x:c>
      <x:c r="B1048" s="31" t="str">
        <x:v>اسناد و شواهد</x:v>
      </x:c>
      <x:c r="C1048" s="31" t="str">
        <x:v>D39</x:v>
      </x:c>
      <x:c r="D1048" s="31" t="str">
        <x:v>236</x:v>
      </x:c>
      <x:c r="E1048" s="31"/>
    </x:row>
    <x:row r="1049" ht="15" hidden="0" customHeight="1">
      <x:c r="A1049" s="31" t="str">
        <x:v>Anjoman accounting - refined.xlsx</x:v>
      </x:c>
      <x:c r="B1049" s="31" t="str">
        <x:v>اسناد و شواهد</x:v>
      </x:c>
      <x:c r="C1049" s="31" t="str">
        <x:v>E39</x:v>
      </x:c>
      <x:c r="D1049" s="31" t="str">
        <x:v>da791938383c24ccc7ac7bba638470e53753df256609e1bfa5c3c7bb4e241f6b</x:v>
      </x:c>
      <x:c r="E1049" s="31"/>
    </x:row>
    <x:row r="1050" ht="15" hidden="0" customHeight="1">
      <x:c r="A1050" s="31" t="str">
        <x:v>Anjoman accounting - refined.xlsx</x:v>
      </x:c>
      <x:c r="B1050" s="31" t="str">
        <x:v>اسناد و شواهد</x:v>
      </x:c>
      <x:c r="C1050" s="31" t="str">
        <x:v>A40</x:v>
      </x:c>
      <x:c r="D1050" s="31" t="str">
        <x:v>E-0037</x:v>
      </x:c>
      <x:c r="E1050" s="31"/>
    </x:row>
    <x:row r="1051" ht="15" hidden="0" customHeight="1">
      <x:c r="A1051" s="31" t="str">
        <x:v>Anjoman accounting - refined.xlsx</x:v>
      </x:c>
      <x:c r="B1051" s="31" t="str">
        <x:v>اسناد و شواهد</x:v>
      </x:c>
      <x:c r="C1051" s="31" t="str">
        <x:v>B40</x:v>
      </x:c>
      <x:c r="D1051" s="31" t="str">
        <x:v>telegram export\images\media_file@2x.png</x:v>
      </x:c>
      <x:c r="E1051" s="31"/>
    </x:row>
    <x:row r="1052" ht="15" hidden="0" customHeight="1">
      <x:c r="A1052" s="31" t="str">
        <x:v>Anjoman accounting - refined.xlsx</x:v>
      </x:c>
      <x:c r="B1052" s="31" t="str">
        <x:v>اسناد و شواهد</x:v>
      </x:c>
      <x:c r="C1052" s="31" t="str">
        <x:v>C40</x:v>
      </x:c>
      <x:c r="D1052" s="31" t="str">
        <x:v>png</x:v>
      </x:c>
      <x:c r="E1052" s="31"/>
    </x:row>
    <x:row r="1053" ht="15" hidden="0" customHeight="1">
      <x:c r="A1053" s="31" t="str">
        <x:v>Anjoman accounting - refined.xlsx</x:v>
      </x:c>
      <x:c r="B1053" s="31" t="str">
        <x:v>اسناد و شواهد</x:v>
      </x:c>
      <x:c r="C1053" s="31" t="str">
        <x:v>D40</x:v>
      </x:c>
      <x:c r="D1053" s="31" t="str">
        <x:v>408</x:v>
      </x:c>
      <x:c r="E1053" s="31"/>
    </x:row>
    <x:row r="1054" ht="15" hidden="0" customHeight="1">
      <x:c r="A1054" s="31" t="str">
        <x:v>Anjoman accounting - refined.xlsx</x:v>
      </x:c>
      <x:c r="B1054" s="31" t="str">
        <x:v>اسناد و شواهد</x:v>
      </x:c>
      <x:c r="C1054" s="31" t="str">
        <x:v>E40</x:v>
      </x:c>
      <x:c r="D1054" s="31" t="str">
        <x:v>2fc5b871d9e40d8dfbd2eacc27300c98bd7f3205d57b1b4cb59b86e6a176087e</x:v>
      </x:c>
      <x:c r="E1054" s="31"/>
    </x:row>
    <x:row r="1055" ht="15" hidden="0" customHeight="1">
      <x:c r="A1055" s="31" t="str">
        <x:v>Anjoman accounting - refined.xlsx</x:v>
      </x:c>
      <x:c r="B1055" s="31" t="str">
        <x:v>اسناد و شواهد</x:v>
      </x:c>
      <x:c r="C1055" s="31" t="str">
        <x:v>A41</x:v>
      </x:c>
      <x:c r="D1055" s="31" t="str">
        <x:v>E-0038</x:v>
      </x:c>
      <x:c r="E1055" s="31"/>
    </x:row>
    <x:row r="1056" ht="15" hidden="0" customHeight="1">
      <x:c r="A1056" s="31" t="str">
        <x:v>Anjoman accounting - refined.xlsx</x:v>
      </x:c>
      <x:c r="B1056" s="31" t="str">
        <x:v>اسناد و شواهد</x:v>
      </x:c>
      <x:c r="C1056" s="31" t="str">
        <x:v>B41</x:v>
      </x:c>
      <x:c r="D1056" s="31" t="str">
        <x:v>telegram export\images\media_game.png</x:v>
      </x:c>
      <x:c r="E1056" s="31"/>
    </x:row>
    <x:row r="1057" ht="15" hidden="0" customHeight="1">
      <x:c r="A1057" s="31" t="str">
        <x:v>Anjoman accounting - refined.xlsx</x:v>
      </x:c>
      <x:c r="B1057" s="31" t="str">
        <x:v>اسناد و شواهد</x:v>
      </x:c>
      <x:c r="C1057" s="31" t="str">
        <x:v>C41</x:v>
      </x:c>
      <x:c r="D1057" s="31" t="str">
        <x:v>png</x:v>
      </x:c>
      <x:c r="E1057" s="31"/>
    </x:row>
    <x:row r="1058" ht="15" hidden="0" customHeight="1">
      <x:c r="A1058" s="31" t="str">
        <x:v>Anjoman accounting - refined.xlsx</x:v>
      </x:c>
      <x:c r="B1058" s="31" t="str">
        <x:v>اسناد و شواهد</x:v>
      </x:c>
      <x:c r="C1058" s="31" t="str">
        <x:v>D41</x:v>
      </x:c>
      <x:c r="D1058" s="31" t="str">
        <x:v>271</x:v>
      </x:c>
      <x:c r="E1058" s="31"/>
    </x:row>
    <x:row r="1059" ht="15" hidden="0" customHeight="1">
      <x:c r="A1059" s="31" t="str">
        <x:v>Anjoman accounting - refined.xlsx</x:v>
      </x:c>
      <x:c r="B1059" s="31" t="str">
        <x:v>اسناد و شواهد</x:v>
      </x:c>
      <x:c r="C1059" s="31" t="str">
        <x:v>E41</x:v>
      </x:c>
      <x:c r="D1059" s="31" t="str">
        <x:v>36354c347f0cad06dae45bc6451ea875714bcf33f7b3175394d16a64faa225c7</x:v>
      </x:c>
      <x:c r="E1059" s="31"/>
    </x:row>
    <x:row r="1060" ht="15" hidden="0" customHeight="1">
      <x:c r="A1060" s="31" t="str">
        <x:v>Anjoman accounting - refined.xlsx</x:v>
      </x:c>
      <x:c r="B1060" s="31" t="str">
        <x:v>اسناد و شواهد</x:v>
      </x:c>
      <x:c r="C1060" s="31" t="str">
        <x:v>A42</x:v>
      </x:c>
      <x:c r="D1060" s="31" t="str">
        <x:v>E-0039</x:v>
      </x:c>
      <x:c r="E1060" s="31"/>
    </x:row>
    <x:row r="1061" ht="15" hidden="0" customHeight="1">
      <x:c r="A1061" s="31" t="str">
        <x:v>Anjoman accounting - refined.xlsx</x:v>
      </x:c>
      <x:c r="B1061" s="31" t="str">
        <x:v>اسناد و شواهد</x:v>
      </x:c>
      <x:c r="C1061" s="31" t="str">
        <x:v>B42</x:v>
      </x:c>
      <x:c r="D1061" s="31" t="str">
        <x:v>telegram export\images\media_game@2x.png</x:v>
      </x:c>
      <x:c r="E1061" s="31"/>
    </x:row>
    <x:row r="1062" ht="15" hidden="0" customHeight="1">
      <x:c r="A1062" s="31" t="str">
        <x:v>Anjoman accounting - refined.xlsx</x:v>
      </x:c>
      <x:c r="B1062" s="31" t="str">
        <x:v>اسناد و شواهد</x:v>
      </x:c>
      <x:c r="C1062" s="31" t="str">
        <x:v>C42</x:v>
      </x:c>
      <x:c r="D1062" s="31" t="str">
        <x:v>png</x:v>
      </x:c>
      <x:c r="E1062" s="31"/>
    </x:row>
    <x:row r="1063" ht="15" hidden="0" customHeight="1">
      <x:c r="A1063" s="31" t="str">
        <x:v>Anjoman accounting - refined.xlsx</x:v>
      </x:c>
      <x:c r="B1063" s="31" t="str">
        <x:v>اسناد و شواهد</x:v>
      </x:c>
      <x:c r="C1063" s="31" t="str">
        <x:v>D42</x:v>
      </x:c>
      <x:c r="D1063" s="31" t="str">
        <x:v>510</x:v>
      </x:c>
      <x:c r="E1063" s="31"/>
    </x:row>
    <x:row r="1064" ht="15" hidden="0" customHeight="1">
      <x:c r="A1064" s="31" t="str">
        <x:v>Anjoman accounting - refined.xlsx</x:v>
      </x:c>
      <x:c r="B1064" s="31" t="str">
        <x:v>اسناد و شواهد</x:v>
      </x:c>
      <x:c r="C1064" s="31" t="str">
        <x:v>E42</x:v>
      </x:c>
      <x:c r="D1064" s="31" t="str">
        <x:v>521b1874fd20c0c05619342d9fb11c0f24d9f7dbc6a6bbec28b5b09c17b8c12f</x:v>
      </x:c>
      <x:c r="E1064" s="31"/>
    </x:row>
    <x:row r="1065" ht="15" hidden="0" customHeight="1">
      <x:c r="A1065" s="31" t="str">
        <x:v>Anjoman accounting - refined.xlsx</x:v>
      </x:c>
      <x:c r="B1065" s="31" t="str">
        <x:v>اسناد و شواهد</x:v>
      </x:c>
      <x:c r="C1065" s="31" t="str">
        <x:v>A43</x:v>
      </x:c>
      <x:c r="D1065" s="31" t="str">
        <x:v>E-0040</x:v>
      </x:c>
      <x:c r="E1065" s="31"/>
    </x:row>
    <x:row r="1066" ht="15" hidden="0" customHeight="1">
      <x:c r="A1066" s="31" t="str">
        <x:v>Anjoman accounting - refined.xlsx</x:v>
      </x:c>
      <x:c r="B1066" s="31" t="str">
        <x:v>اسناد و شواهد</x:v>
      </x:c>
      <x:c r="C1066" s="31" t="str">
        <x:v>B43</x:v>
      </x:c>
      <x:c r="D1066" s="31" t="str">
        <x:v>telegram export\images\media_location.png</x:v>
      </x:c>
      <x:c r="E1066" s="31"/>
    </x:row>
    <x:row r="1067" ht="15" hidden="0" customHeight="1">
      <x:c r="A1067" s="31" t="str">
        <x:v>Anjoman accounting - refined.xlsx</x:v>
      </x:c>
      <x:c r="B1067" s="31" t="str">
        <x:v>اسناد و شواهد</x:v>
      </x:c>
      <x:c r="C1067" s="31" t="str">
        <x:v>C43</x:v>
      </x:c>
      <x:c r="D1067" s="31" t="str">
        <x:v>png</x:v>
      </x:c>
      <x:c r="E1067" s="31"/>
    </x:row>
    <x:row r="1068" ht="15" hidden="0" customHeight="1">
      <x:c r="A1068" s="31" t="str">
        <x:v>Anjoman accounting - refined.xlsx</x:v>
      </x:c>
      <x:c r="B1068" s="31" t="str">
        <x:v>اسناد و شواهد</x:v>
      </x:c>
      <x:c r="C1068" s="31" t="str">
        <x:v>D43</x:v>
      </x:c>
      <x:c r="D1068" s="31" t="str">
        <x:v>480</x:v>
      </x:c>
      <x:c r="E1068" s="31"/>
    </x:row>
    <x:row r="1069" ht="15" hidden="0" customHeight="1">
      <x:c r="A1069" s="31" t="str">
        <x:v>Anjoman accounting - refined.xlsx</x:v>
      </x:c>
      <x:c r="B1069" s="31" t="str">
        <x:v>اسناد و شواهد</x:v>
      </x:c>
      <x:c r="C1069" s="31" t="str">
        <x:v>E43</x:v>
      </x:c>
      <x:c r="D1069" s="31" t="str">
        <x:v>17ac2dfdbb87f3b53010eaad731bbdf8a619eabd6df87e33e4c06df06959bdc5</x:v>
      </x:c>
      <x:c r="E1069" s="31"/>
    </x:row>
    <x:row r="1070" ht="15" hidden="0" customHeight="1">
      <x:c r="A1070" s="31" t="str">
        <x:v>Anjoman accounting - refined.xlsx</x:v>
      </x:c>
      <x:c r="B1070" s="31" t="str">
        <x:v>اسناد و شواهد</x:v>
      </x:c>
      <x:c r="C1070" s="31" t="str">
        <x:v>A44</x:v>
      </x:c>
      <x:c r="D1070" s="31" t="str">
        <x:v>E-0041</x:v>
      </x:c>
      <x:c r="E1070" s="31"/>
    </x:row>
    <x:row r="1071" ht="15" hidden="0" customHeight="1">
      <x:c r="A1071" s="31" t="str">
        <x:v>Anjoman accounting - refined.xlsx</x:v>
      </x:c>
      <x:c r="B1071" s="31" t="str">
        <x:v>اسناد و شواهد</x:v>
      </x:c>
      <x:c r="C1071" s="31" t="str">
        <x:v>B44</x:v>
      </x:c>
      <x:c r="D1071" s="31" t="str">
        <x:v>telegram export\images\media_location@2x.png</x:v>
      </x:c>
      <x:c r="E1071" s="31"/>
    </x:row>
    <x:row r="1072" ht="15" hidden="0" customHeight="1">
      <x:c r="A1072" s="31" t="str">
        <x:v>Anjoman accounting - refined.xlsx</x:v>
      </x:c>
      <x:c r="B1072" s="31" t="str">
        <x:v>اسناد و شواهد</x:v>
      </x:c>
      <x:c r="C1072" s="31" t="str">
        <x:v>C44</x:v>
      </x:c>
      <x:c r="D1072" s="31" t="str">
        <x:v>png</x:v>
      </x:c>
      <x:c r="E1072" s="31"/>
    </x:row>
    <x:row r="1073" ht="15" hidden="0" customHeight="1">
      <x:c r="A1073" s="31" t="str">
        <x:v>Anjoman accounting - refined.xlsx</x:v>
      </x:c>
      <x:c r="B1073" s="31" t="str">
        <x:v>اسناد و شواهد</x:v>
      </x:c>
      <x:c r="C1073" s="31" t="str">
        <x:v>D44</x:v>
      </x:c>
      <x:c r="D1073" s="31" t="str">
        <x:v>991</x:v>
      </x:c>
      <x:c r="E1073" s="31"/>
    </x:row>
    <x:row r="1074" ht="15" hidden="0" customHeight="1">
      <x:c r="A1074" s="31" t="str">
        <x:v>Anjoman accounting - refined.xlsx</x:v>
      </x:c>
      <x:c r="B1074" s="31" t="str">
        <x:v>اسناد و شواهد</x:v>
      </x:c>
      <x:c r="C1074" s="31" t="str">
        <x:v>E44</x:v>
      </x:c>
      <x:c r="D1074" s="31" t="str">
        <x:v>5d67983d47374ada4eb55697a8cc2abf93743b9f22866a6a6ba26f75f28b3582</x:v>
      </x:c>
      <x:c r="E1074" s="31"/>
    </x:row>
    <x:row r="1075" ht="15" hidden="0" customHeight="1">
      <x:c r="A1075" s="31" t="str">
        <x:v>Anjoman accounting - refined.xlsx</x:v>
      </x:c>
      <x:c r="B1075" s="31" t="str">
        <x:v>اسناد و شواهد</x:v>
      </x:c>
      <x:c r="C1075" s="31" t="str">
        <x:v>A45</x:v>
      </x:c>
      <x:c r="D1075" s="31" t="str">
        <x:v>E-0042</x:v>
      </x:c>
      <x:c r="E1075" s="31"/>
    </x:row>
    <x:row r="1076" ht="15" hidden="0" customHeight="1">
      <x:c r="A1076" s="31" t="str">
        <x:v>Anjoman accounting - refined.xlsx</x:v>
      </x:c>
      <x:c r="B1076" s="31" t="str">
        <x:v>اسناد و شواهد</x:v>
      </x:c>
      <x:c r="C1076" s="31" t="str">
        <x:v>B45</x:v>
      </x:c>
      <x:c r="D1076" s="31" t="str">
        <x:v>telegram export\images\media_music.png</x:v>
      </x:c>
      <x:c r="E1076" s="31"/>
    </x:row>
    <x:row r="1077" ht="15" hidden="0" customHeight="1">
      <x:c r="A1077" s="31" t="str">
        <x:v>Anjoman accounting - refined.xlsx</x:v>
      </x:c>
      <x:c r="B1077" s="31" t="str">
        <x:v>اسناد و شواهد</x:v>
      </x:c>
      <x:c r="C1077" s="31" t="str">
        <x:v>C45</x:v>
      </x:c>
      <x:c r="D1077" s="31" t="str">
        <x:v>png</x:v>
      </x:c>
      <x:c r="E1077" s="31"/>
    </x:row>
    <x:row r="1078" ht="15" hidden="0" customHeight="1">
      <x:c r="A1078" s="31" t="str">
        <x:v>Anjoman accounting - refined.xlsx</x:v>
      </x:c>
      <x:c r="B1078" s="31" t="str">
        <x:v>اسناد و شواهد</x:v>
      </x:c>
      <x:c r="C1078" s="31" t="str">
        <x:v>D45</x:v>
      </x:c>
      <x:c r="D1078" s="31" t="str">
        <x:v>275</x:v>
      </x:c>
      <x:c r="E1078" s="31"/>
    </x:row>
    <x:row r="1079" ht="15" hidden="0" customHeight="1">
      <x:c r="A1079" s="31" t="str">
        <x:v>Anjoman accounting - refined.xlsx</x:v>
      </x:c>
      <x:c r="B1079" s="31" t="str">
        <x:v>اسناد و شواهد</x:v>
      </x:c>
      <x:c r="C1079" s="31" t="str">
        <x:v>E45</x:v>
      </x:c>
      <x:c r="D1079" s="31" t="str">
        <x:v>6779336f0362a73da8b7ea33dce0e73fe83bce17597378445c117e07dd6020b3</x:v>
      </x:c>
      <x:c r="E1079" s="31"/>
    </x:row>
    <x:row r="1080" ht="15" hidden="0" customHeight="1">
      <x:c r="A1080" s="31" t="str">
        <x:v>Anjoman accounting - refined.xlsx</x:v>
      </x:c>
      <x:c r="B1080" s="31" t="str">
        <x:v>اسناد و شواهد</x:v>
      </x:c>
      <x:c r="C1080" s="31" t="str">
        <x:v>A46</x:v>
      </x:c>
      <x:c r="D1080" s="31" t="str">
        <x:v>E-0043</x:v>
      </x:c>
      <x:c r="E1080" s="31"/>
    </x:row>
    <x:row r="1081" ht="15" hidden="0" customHeight="1">
      <x:c r="A1081" s="31" t="str">
        <x:v>Anjoman accounting - refined.xlsx</x:v>
      </x:c>
      <x:c r="B1081" s="31" t="str">
        <x:v>اسناد و شواهد</x:v>
      </x:c>
      <x:c r="C1081" s="31" t="str">
        <x:v>B46</x:v>
      </x:c>
      <x:c r="D1081" s="31" t="str">
        <x:v>telegram export\images\media_music@2x.png</x:v>
      </x:c>
      <x:c r="E1081" s="31"/>
    </x:row>
    <x:row r="1082" ht="15" hidden="0" customHeight="1">
      <x:c r="A1082" s="31" t="str">
        <x:v>Anjoman accounting - refined.xlsx</x:v>
      </x:c>
      <x:c r="B1082" s="31" t="str">
        <x:v>اسناد و شواهد</x:v>
      </x:c>
      <x:c r="C1082" s="31" t="str">
        <x:v>C46</x:v>
      </x:c>
      <x:c r="D1082" s="31" t="str">
        <x:v>png</x:v>
      </x:c>
      <x:c r="E1082" s="31"/>
    </x:row>
    <x:row r="1083" ht="15" hidden="0" customHeight="1">
      <x:c r="A1083" s="31" t="str">
        <x:v>Anjoman accounting - refined.xlsx</x:v>
      </x:c>
      <x:c r="B1083" s="31" t="str">
        <x:v>اسناد و شواهد</x:v>
      </x:c>
      <x:c r="C1083" s="31" t="str">
        <x:v>D46</x:v>
      </x:c>
      <x:c r="D1083" s="31" t="str">
        <x:v>464</x:v>
      </x:c>
      <x:c r="E1083" s="31"/>
    </x:row>
    <x:row r="1084" ht="15" hidden="0" customHeight="1">
      <x:c r="A1084" s="31" t="str">
        <x:v>Anjoman accounting - refined.xlsx</x:v>
      </x:c>
      <x:c r="B1084" s="31" t="str">
        <x:v>اسناد و شواهد</x:v>
      </x:c>
      <x:c r="C1084" s="31" t="str">
        <x:v>E46</x:v>
      </x:c>
      <x:c r="D1084" s="31" t="str">
        <x:v>f6b15ff44a9d49e72c1ca58ce297e514eb686a724c1792a13b877cc25647151a</x:v>
      </x:c>
      <x:c r="E1084" s="31"/>
    </x:row>
    <x:row r="1085" ht="15" hidden="0" customHeight="1">
      <x:c r="A1085" s="31" t="str">
        <x:v>Anjoman accounting - refined.xlsx</x:v>
      </x:c>
      <x:c r="B1085" s="31" t="str">
        <x:v>اسناد و شواهد</x:v>
      </x:c>
      <x:c r="C1085" s="31" t="str">
        <x:v>A47</x:v>
      </x:c>
      <x:c r="D1085" s="31" t="str">
        <x:v>E-0044</x:v>
      </x:c>
      <x:c r="E1085" s="31"/>
    </x:row>
    <x:row r="1086" ht="15" hidden="0" customHeight="1">
      <x:c r="A1086" s="31" t="str">
        <x:v>Anjoman accounting - refined.xlsx</x:v>
      </x:c>
      <x:c r="B1086" s="31" t="str">
        <x:v>اسناد و شواهد</x:v>
      </x:c>
      <x:c r="C1086" s="31" t="str">
        <x:v>B47</x:v>
      </x:c>
      <x:c r="D1086" s="31" t="str">
        <x:v>telegram export\images\media_photo.png</x:v>
      </x:c>
      <x:c r="E1086" s="31"/>
    </x:row>
    <x:row r="1087" ht="15" hidden="0" customHeight="1">
      <x:c r="A1087" s="31" t="str">
        <x:v>Anjoman accounting - refined.xlsx</x:v>
      </x:c>
      <x:c r="B1087" s="31" t="str">
        <x:v>اسناد و شواهد</x:v>
      </x:c>
      <x:c r="C1087" s="31" t="str">
        <x:v>C47</x:v>
      </x:c>
      <x:c r="D1087" s="31" t="str">
        <x:v>png</x:v>
      </x:c>
      <x:c r="E1087" s="31"/>
    </x:row>
    <x:row r="1088" ht="15" hidden="0" customHeight="1">
      <x:c r="A1088" s="31" t="str">
        <x:v>Anjoman accounting - refined.xlsx</x:v>
      </x:c>
      <x:c r="B1088" s="31" t="str">
        <x:v>اسناد و شواهد</x:v>
      </x:c>
      <x:c r="C1088" s="31" t="str">
        <x:v>D47</x:v>
      </x:c>
      <x:c r="D1088" s="31" t="str">
        <x:v>243</x:v>
      </x:c>
      <x:c r="E1088" s="31"/>
    </x:row>
    <x:row r="1089" ht="15" hidden="0" customHeight="1">
      <x:c r="A1089" s="31" t="str">
        <x:v>Anjoman accounting - refined.xlsx</x:v>
      </x:c>
      <x:c r="B1089" s="31" t="str">
        <x:v>اسناد و شواهد</x:v>
      </x:c>
      <x:c r="C1089" s="31" t="str">
        <x:v>E47</x:v>
      </x:c>
      <x:c r="D1089" s="31" t="str">
        <x:v>68c3ad119b7f075c74fb1297ed6f81309dba5262274c98cc99da9c3a2d2accff</x:v>
      </x:c>
      <x:c r="E1089" s="31"/>
    </x:row>
    <x:row r="1090" ht="15" hidden="0" customHeight="1">
      <x:c r="A1090" s="31" t="str">
        <x:v>Anjoman accounting - refined.xlsx</x:v>
      </x:c>
      <x:c r="B1090" s="31" t="str">
        <x:v>اسناد و شواهد</x:v>
      </x:c>
      <x:c r="C1090" s="31" t="str">
        <x:v>A48</x:v>
      </x:c>
      <x:c r="D1090" s="31" t="str">
        <x:v>E-0045</x:v>
      </x:c>
      <x:c r="E1090" s="31"/>
    </x:row>
    <x:row r="1091" ht="15" hidden="0" customHeight="1">
      <x:c r="A1091" s="31" t="str">
        <x:v>Anjoman accounting - refined.xlsx</x:v>
      </x:c>
      <x:c r="B1091" s="31" t="str">
        <x:v>اسناد و شواهد</x:v>
      </x:c>
      <x:c r="C1091" s="31" t="str">
        <x:v>B48</x:v>
      </x:c>
      <x:c r="D1091" s="31" t="str">
        <x:v>telegram export\images\media_photo@2x.png</x:v>
      </x:c>
      <x:c r="E1091" s="31"/>
    </x:row>
    <x:row r="1092" ht="15" hidden="0" customHeight="1">
      <x:c r="A1092" s="31" t="str">
        <x:v>Anjoman accounting - refined.xlsx</x:v>
      </x:c>
      <x:c r="B1092" s="31" t="str">
        <x:v>اسناد و شواهد</x:v>
      </x:c>
      <x:c r="C1092" s="31" t="str">
        <x:v>C48</x:v>
      </x:c>
      <x:c r="D1092" s="31" t="str">
        <x:v>png</x:v>
      </x:c>
      <x:c r="E1092" s="31"/>
    </x:row>
    <x:row r="1093" ht="15" hidden="0" customHeight="1">
      <x:c r="A1093" s="31" t="str">
        <x:v>Anjoman accounting - refined.xlsx</x:v>
      </x:c>
      <x:c r="B1093" s="31" t="str">
        <x:v>اسناد و شواهد</x:v>
      </x:c>
      <x:c r="C1093" s="31" t="str">
        <x:v>D48</x:v>
      </x:c>
      <x:c r="D1093" s="31" t="str">
        <x:v>458</x:v>
      </x:c>
      <x:c r="E1093" s="31"/>
    </x:row>
    <x:row r="1094" ht="15" hidden="0" customHeight="1">
      <x:c r="A1094" s="31" t="str">
        <x:v>Anjoman accounting - refined.xlsx</x:v>
      </x:c>
      <x:c r="B1094" s="31" t="str">
        <x:v>اسناد و شواهد</x:v>
      </x:c>
      <x:c r="C1094" s="31" t="str">
        <x:v>E48</x:v>
      </x:c>
      <x:c r="D1094" s="31" t="str">
        <x:v>a995f172ad5eea6fcd6d4357eec864cead122642eeef3aa86b01a9026085bdb5</x:v>
      </x:c>
      <x:c r="E1094" s="31"/>
    </x:row>
    <x:row r="1095" ht="15" hidden="0" customHeight="1">
      <x:c r="A1095" s="31" t="str">
        <x:v>Anjoman accounting - refined.xlsx</x:v>
      </x:c>
      <x:c r="B1095" s="31" t="str">
        <x:v>اسناد و شواهد</x:v>
      </x:c>
      <x:c r="C1095" s="31" t="str">
        <x:v>A49</x:v>
      </x:c>
      <x:c r="D1095" s="31" t="str">
        <x:v>E-0046</x:v>
      </x:c>
      <x:c r="E1095" s="31"/>
    </x:row>
    <x:row r="1096" ht="15" hidden="0" customHeight="1">
      <x:c r="A1096" s="31" t="str">
        <x:v>Anjoman accounting - refined.xlsx</x:v>
      </x:c>
      <x:c r="B1096" s="31" t="str">
        <x:v>اسناد و شواهد</x:v>
      </x:c>
      <x:c r="C1096" s="31" t="str">
        <x:v>B49</x:v>
      </x:c>
      <x:c r="D1096" s="31" t="str">
        <x:v>telegram export\images\media_shop.png</x:v>
      </x:c>
      <x:c r="E1096" s="31"/>
    </x:row>
    <x:row r="1097" ht="15" hidden="0" customHeight="1">
      <x:c r="A1097" s="31" t="str">
        <x:v>Anjoman accounting - refined.xlsx</x:v>
      </x:c>
      <x:c r="B1097" s="31" t="str">
        <x:v>اسناد و شواهد</x:v>
      </x:c>
      <x:c r="C1097" s="31" t="str">
        <x:v>C49</x:v>
      </x:c>
      <x:c r="D1097" s="31" t="str">
        <x:v>png</x:v>
      </x:c>
      <x:c r="E1097" s="31"/>
    </x:row>
    <x:row r="1098" ht="15" hidden="0" customHeight="1">
      <x:c r="A1098" s="31" t="str">
        <x:v>Anjoman accounting - refined.xlsx</x:v>
      </x:c>
      <x:c r="B1098" s="31" t="str">
        <x:v>اسناد و شواهد</x:v>
      </x:c>
      <x:c r="C1098" s="31" t="str">
        <x:v>D49</x:v>
      </x:c>
      <x:c r="D1098" s="31" t="str">
        <x:v>377</x:v>
      </x:c>
      <x:c r="E1098" s="31"/>
    </x:row>
    <x:row r="1099" ht="15" hidden="0" customHeight="1">
      <x:c r="A1099" s="31" t="str">
        <x:v>Anjoman accounting - refined.xlsx</x:v>
      </x:c>
      <x:c r="B1099" s="31" t="str">
        <x:v>اسناد و شواهد</x:v>
      </x:c>
      <x:c r="C1099" s="31" t="str">
        <x:v>E49</x:v>
      </x:c>
      <x:c r="D1099" s="31" t="str">
        <x:v>950a9f3eb7e7ced0467702565e682cc8c72d9808c2a1b0c14fb585ba5e388d2f</x:v>
      </x:c>
      <x:c r="E1099" s="31"/>
    </x:row>
    <x:row r="1100" ht="15" hidden="0" customHeight="1">
      <x:c r="A1100" s="31" t="str">
        <x:v>Anjoman accounting - refined.xlsx</x:v>
      </x:c>
      <x:c r="B1100" s="31" t="str">
        <x:v>اسناد و شواهد</x:v>
      </x:c>
      <x:c r="C1100" s="31" t="str">
        <x:v>A50</x:v>
      </x:c>
      <x:c r="D1100" s="31" t="str">
        <x:v>E-0047</x:v>
      </x:c>
      <x:c r="E1100" s="31"/>
    </x:row>
    <x:row r="1101" ht="15" hidden="0" customHeight="1">
      <x:c r="A1101" s="31" t="str">
        <x:v>Anjoman accounting - refined.xlsx</x:v>
      </x:c>
      <x:c r="B1101" s="31" t="str">
        <x:v>اسناد و شواهد</x:v>
      </x:c>
      <x:c r="C1101" s="31" t="str">
        <x:v>B50</x:v>
      </x:c>
      <x:c r="D1101" s="31" t="str">
        <x:v>telegram export\images\media_shop@2x.png</x:v>
      </x:c>
      <x:c r="E1101" s="31"/>
    </x:row>
    <x:row r="1102" ht="15" hidden="0" customHeight="1">
      <x:c r="A1102" s="31" t="str">
        <x:v>Anjoman accounting - refined.xlsx</x:v>
      </x:c>
      <x:c r="B1102" s="31" t="str">
        <x:v>اسناد و شواهد</x:v>
      </x:c>
      <x:c r="C1102" s="31" t="str">
        <x:v>C50</x:v>
      </x:c>
      <x:c r="D1102" s="31" t="str">
        <x:v>png</x:v>
      </x:c>
      <x:c r="E1102" s="31"/>
    </x:row>
    <x:row r="1103" ht="15" hidden="0" customHeight="1">
      <x:c r="A1103" s="31" t="str">
        <x:v>Anjoman accounting - refined.xlsx</x:v>
      </x:c>
      <x:c r="B1103" s="31" t="str">
        <x:v>اسناد و شواهد</x:v>
      </x:c>
      <x:c r="C1103" s="31" t="str">
        <x:v>D50</x:v>
      </x:c>
      <x:c r="D1103" s="31" t="str">
        <x:v>790</x:v>
      </x:c>
      <x:c r="E1103" s="31"/>
    </x:row>
    <x:row r="1104" ht="15" hidden="0" customHeight="1">
      <x:c r="A1104" s="31" t="str">
        <x:v>Anjoman accounting - refined.xlsx</x:v>
      </x:c>
      <x:c r="B1104" s="31" t="str">
        <x:v>اسناد و شواهد</x:v>
      </x:c>
      <x:c r="C1104" s="31" t="str">
        <x:v>E50</x:v>
      </x:c>
      <x:c r="D1104" s="31" t="str">
        <x:v>ddb88b92f1bd8f6b04f561ac52afd54ab5f4840381afd0809251d8d85b58a200</x:v>
      </x:c>
      <x:c r="E1104" s="31"/>
    </x:row>
    <x:row r="1105" ht="15" hidden="0" customHeight="1">
      <x:c r="A1105" s="31" t="str">
        <x:v>Anjoman accounting - refined.xlsx</x:v>
      </x:c>
      <x:c r="B1105" s="31" t="str">
        <x:v>اسناد و شواهد</x:v>
      </x:c>
      <x:c r="C1105" s="31" t="str">
        <x:v>A51</x:v>
      </x:c>
      <x:c r="D1105" s="31" t="str">
        <x:v>E-0048</x:v>
      </x:c>
      <x:c r="E1105" s="31"/>
    </x:row>
    <x:row r="1106" ht="15" hidden="0" customHeight="1">
      <x:c r="A1106" s="31" t="str">
        <x:v>Anjoman accounting - refined.xlsx</x:v>
      </x:c>
      <x:c r="B1106" s="31" t="str">
        <x:v>اسناد و شواهد</x:v>
      </x:c>
      <x:c r="C1106" s="31" t="str">
        <x:v>B51</x:v>
      </x:c>
      <x:c r="D1106" s="31" t="str">
        <x:v>telegram export\images\media_video.png</x:v>
      </x:c>
      <x:c r="E1106" s="31"/>
    </x:row>
    <x:row r="1107" ht="15" hidden="0" customHeight="1">
      <x:c r="A1107" s="31" t="str">
        <x:v>Anjoman accounting - refined.xlsx</x:v>
      </x:c>
      <x:c r="B1107" s="31" t="str">
        <x:v>اسناد و شواهد</x:v>
      </x:c>
      <x:c r="C1107" s="31" t="str">
        <x:v>C51</x:v>
      </x:c>
      <x:c r="D1107" s="31" t="str">
        <x:v>png</x:v>
      </x:c>
      <x:c r="E1107" s="31"/>
    </x:row>
    <x:row r="1108" ht="15" hidden="0" customHeight="1">
      <x:c r="A1108" s="31" t="str">
        <x:v>Anjoman accounting - refined.xlsx</x:v>
      </x:c>
      <x:c r="B1108" s="31" t="str">
        <x:v>اسناد و شواهد</x:v>
      </x:c>
      <x:c r="C1108" s="31" t="str">
        <x:v>D51</x:v>
      </x:c>
      <x:c r="D1108" s="31" t="str">
        <x:v>235</x:v>
      </x:c>
      <x:c r="E1108" s="31"/>
    </x:row>
    <x:row r="1109" ht="15" hidden="0" customHeight="1">
      <x:c r="A1109" s="31" t="str">
        <x:v>Anjoman accounting - refined.xlsx</x:v>
      </x:c>
      <x:c r="B1109" s="31" t="str">
        <x:v>اسناد و شواهد</x:v>
      </x:c>
      <x:c r="C1109" s="31" t="str">
        <x:v>E51</x:v>
      </x:c>
      <x:c r="D1109" s="31" t="str">
        <x:v>6053dad4203b7c611298c91f7db337b24dd9e520f2f139ed02d6141553de12c3</x:v>
      </x:c>
      <x:c r="E1109" s="31"/>
    </x:row>
    <x:row r="1110" ht="15" hidden="0" customHeight="1">
      <x:c r="A1110" s="31" t="str">
        <x:v>Anjoman accounting - refined.xlsx</x:v>
      </x:c>
      <x:c r="B1110" s="31" t="str">
        <x:v>اسناد و شواهد</x:v>
      </x:c>
      <x:c r="C1110" s="31" t="str">
        <x:v>A52</x:v>
      </x:c>
      <x:c r="D1110" s="31" t="str">
        <x:v>E-0049</x:v>
      </x:c>
      <x:c r="E1110" s="31"/>
    </x:row>
    <x:row r="1111" ht="15" hidden="0" customHeight="1">
      <x:c r="A1111" s="31" t="str">
        <x:v>Anjoman accounting - refined.xlsx</x:v>
      </x:c>
      <x:c r="B1111" s="31" t="str">
        <x:v>اسناد و شواهد</x:v>
      </x:c>
      <x:c r="C1111" s="31" t="str">
        <x:v>B52</x:v>
      </x:c>
      <x:c r="D1111" s="31" t="str">
        <x:v>telegram export\images\media_video@2x.png</x:v>
      </x:c>
      <x:c r="E1111" s="31"/>
    </x:row>
    <x:row r="1112" ht="15" hidden="0" customHeight="1">
      <x:c r="A1112" s="31" t="str">
        <x:v>Anjoman accounting - refined.xlsx</x:v>
      </x:c>
      <x:c r="B1112" s="31" t="str">
        <x:v>اسناد و شواهد</x:v>
      </x:c>
      <x:c r="C1112" s="31" t="str">
        <x:v>C52</x:v>
      </x:c>
      <x:c r="D1112" s="31" t="str">
        <x:v>png</x:v>
      </x:c>
      <x:c r="E1112" s="31"/>
    </x:row>
    <x:row r="1113" ht="15" hidden="0" customHeight="1">
      <x:c r="A1113" s="31" t="str">
        <x:v>Anjoman accounting - refined.xlsx</x:v>
      </x:c>
      <x:c r="B1113" s="31" t="str">
        <x:v>اسناد و شواهد</x:v>
      </x:c>
      <x:c r="C1113" s="31" t="str">
        <x:v>D52</x:v>
      </x:c>
      <x:c r="D1113" s="31" t="str">
        <x:v>411</x:v>
      </x:c>
      <x:c r="E1113" s="31"/>
    </x:row>
    <x:row r="1114" ht="15" hidden="0" customHeight="1">
      <x:c r="A1114" s="31" t="str">
        <x:v>Anjoman accounting - refined.xlsx</x:v>
      </x:c>
      <x:c r="B1114" s="31" t="str">
        <x:v>اسناد و شواهد</x:v>
      </x:c>
      <x:c r="C1114" s="31" t="str">
        <x:v>E52</x:v>
      </x:c>
      <x:c r="D1114" s="31" t="str">
        <x:v>1e67c221afa14b6ad28cb747fe919227f6b842059c65bc191269263afbc7c529</x:v>
      </x:c>
      <x:c r="E1114" s="31"/>
    </x:row>
    <x:row r="1115" ht="15" hidden="0" customHeight="1">
      <x:c r="A1115" s="31" t="str">
        <x:v>Anjoman accounting - refined.xlsx</x:v>
      </x:c>
      <x:c r="B1115" s="31" t="str">
        <x:v>اسناد و شواهد</x:v>
      </x:c>
      <x:c r="C1115" s="31" t="str">
        <x:v>A53</x:v>
      </x:c>
      <x:c r="D1115" s="31" t="str">
        <x:v>E-0050</x:v>
      </x:c>
      <x:c r="E1115" s="31"/>
    </x:row>
    <x:row r="1116" ht="15" hidden="0" customHeight="1">
      <x:c r="A1116" s="31" t="str">
        <x:v>Anjoman accounting - refined.xlsx</x:v>
      </x:c>
      <x:c r="B1116" s="31" t="str">
        <x:v>اسناد و شواهد</x:v>
      </x:c>
      <x:c r="C1116" s="31" t="str">
        <x:v>B53</x:v>
      </x:c>
      <x:c r="D1116" s="31" t="str">
        <x:v>telegram export\images\media_voice.png</x:v>
      </x:c>
      <x:c r="E1116" s="31"/>
    </x:row>
    <x:row r="1117" ht="15" hidden="0" customHeight="1">
      <x:c r="A1117" s="31" t="str">
        <x:v>Anjoman accounting - refined.xlsx</x:v>
      </x:c>
      <x:c r="B1117" s="31" t="str">
        <x:v>اسناد و شواهد</x:v>
      </x:c>
      <x:c r="C1117" s="31" t="str">
        <x:v>C53</x:v>
      </x:c>
      <x:c r="D1117" s="31" t="str">
        <x:v>png</x:v>
      </x:c>
      <x:c r="E1117" s="31"/>
    </x:row>
    <x:row r="1118" ht="15" hidden="0" customHeight="1">
      <x:c r="A1118" s="31" t="str">
        <x:v>Anjoman accounting - refined.xlsx</x:v>
      </x:c>
      <x:c r="B1118" s="31" t="str">
        <x:v>اسناد و شواهد</x:v>
      </x:c>
      <x:c r="C1118" s="31" t="str">
        <x:v>D53</x:v>
      </x:c>
      <x:c r="D1118" s="31" t="str">
        <x:v>328</x:v>
      </x:c>
      <x:c r="E1118" s="31"/>
    </x:row>
    <x:row r="1119" ht="15" hidden="0" customHeight="1">
      <x:c r="A1119" s="31" t="str">
        <x:v>Anjoman accounting - refined.xlsx</x:v>
      </x:c>
      <x:c r="B1119" s="31" t="str">
        <x:v>اسناد و شواهد</x:v>
      </x:c>
      <x:c r="C1119" s="31" t="str">
        <x:v>E53</x:v>
      </x:c>
      <x:c r="D1119" s="31" t="str">
        <x:v>531d7e79c2ff8260f99f48e197ed4ff105fb3d395bd6e4be22dca048f698df4b</x:v>
      </x:c>
      <x:c r="E1119" s="31"/>
    </x:row>
    <x:row r="1120" ht="15" hidden="0" customHeight="1">
      <x:c r="A1120" s="31" t="str">
        <x:v>Anjoman accounting - refined.xlsx</x:v>
      </x:c>
      <x:c r="B1120" s="31" t="str">
        <x:v>اسناد و شواهد</x:v>
      </x:c>
      <x:c r="C1120" s="31" t="str">
        <x:v>A54</x:v>
      </x:c>
      <x:c r="D1120" s="31" t="str">
        <x:v>E-0051</x:v>
      </x:c>
      <x:c r="E1120" s="31"/>
    </x:row>
    <x:row r="1121" ht="15" hidden="0" customHeight="1">
      <x:c r="A1121" s="31" t="str">
        <x:v>Anjoman accounting - refined.xlsx</x:v>
      </x:c>
      <x:c r="B1121" s="31" t="str">
        <x:v>اسناد و شواهد</x:v>
      </x:c>
      <x:c r="C1121" s="31" t="str">
        <x:v>B54</x:v>
      </x:c>
      <x:c r="D1121" s="31" t="str">
        <x:v>telegram export\images\media_voice@2x.png</x:v>
      </x:c>
      <x:c r="E1121" s="31"/>
    </x:row>
    <x:row r="1122" ht="15" hidden="0" customHeight="1">
      <x:c r="A1122" s="31" t="str">
        <x:v>Anjoman accounting - refined.xlsx</x:v>
      </x:c>
      <x:c r="B1122" s="31" t="str">
        <x:v>اسناد و شواهد</x:v>
      </x:c>
      <x:c r="C1122" s="31" t="str">
        <x:v>C54</x:v>
      </x:c>
      <x:c r="D1122" s="31" t="str">
        <x:v>png</x:v>
      </x:c>
      <x:c r="E1122" s="31"/>
    </x:row>
    <x:row r="1123" ht="15" hidden="0" customHeight="1">
      <x:c r="A1123" s="31" t="str">
        <x:v>Anjoman accounting - refined.xlsx</x:v>
      </x:c>
      <x:c r="B1123" s="31" t="str">
        <x:v>اسناد و شواهد</x:v>
      </x:c>
      <x:c r="C1123" s="31" t="str">
        <x:v>D54</x:v>
      </x:c>
      <x:c r="D1123" s="31" t="str">
        <x:v>660</x:v>
      </x:c>
      <x:c r="E1123" s="31"/>
    </x:row>
    <x:row r="1124" ht="15" hidden="0" customHeight="1">
      <x:c r="A1124" s="31" t="str">
        <x:v>Anjoman accounting - refined.xlsx</x:v>
      </x:c>
      <x:c r="B1124" s="31" t="str">
        <x:v>اسناد و شواهد</x:v>
      </x:c>
      <x:c r="C1124" s="31" t="str">
        <x:v>E54</x:v>
      </x:c>
      <x:c r="D1124" s="31" t="str">
        <x:v>b37c63673d99d3a9167bcfe7045c27dfea29970d8aa5ce4f80083646dcb59ac6</x:v>
      </x:c>
      <x:c r="E1124" s="31"/>
    </x:row>
    <x:row r="1125" ht="15" hidden="0" customHeight="1">
      <x:c r="A1125" s="31" t="str">
        <x:v>Anjoman accounting - refined.xlsx</x:v>
      </x:c>
      <x:c r="B1125" s="31" t="str">
        <x:v>اسناد و شواهد</x:v>
      </x:c>
      <x:c r="C1125" s="31" t="str">
        <x:v>A55</x:v>
      </x:c>
      <x:c r="D1125" s="31" t="str">
        <x:v>E-0052</x:v>
      </x:c>
      <x:c r="E1125" s="31"/>
    </x:row>
    <x:row r="1126" ht="15" hidden="0" customHeight="1">
      <x:c r="A1126" s="31" t="str">
        <x:v>Anjoman accounting - refined.xlsx</x:v>
      </x:c>
      <x:c r="B1126" s="31" t="str">
        <x:v>اسناد و شواهد</x:v>
      </x:c>
      <x:c r="C1126" s="31" t="str">
        <x:v>B55</x:v>
      </x:c>
      <x:c r="D1126" s="31" t="str">
        <x:v>telegram export\images\section_calls.png</x:v>
      </x:c>
      <x:c r="E1126" s="31"/>
    </x:row>
    <x:row r="1127" ht="15" hidden="0" customHeight="1">
      <x:c r="A1127" s="31" t="str">
        <x:v>Anjoman accounting - refined.xlsx</x:v>
      </x:c>
      <x:c r="B1127" s="31" t="str">
        <x:v>اسناد و شواهد</x:v>
      </x:c>
      <x:c r="C1127" s="31" t="str">
        <x:v>C55</x:v>
      </x:c>
      <x:c r="D1127" s="31" t="str">
        <x:v>png</x:v>
      </x:c>
      <x:c r="E1127" s="31"/>
    </x:row>
    <x:row r="1128" ht="15" hidden="0" customHeight="1">
      <x:c r="A1128" s="31" t="str">
        <x:v>Anjoman accounting - refined.xlsx</x:v>
      </x:c>
      <x:c r="B1128" s="31" t="str">
        <x:v>اسناد و شواهد</x:v>
      </x:c>
      <x:c r="C1128" s="31" t="str">
        <x:v>D55</x:v>
      </x:c>
      <x:c r="D1128" s="31" t="str">
        <x:v>656</x:v>
      </x:c>
      <x:c r="E1128" s="31"/>
    </x:row>
    <x:row r="1129" ht="15" hidden="0" customHeight="1">
      <x:c r="A1129" s="31" t="str">
        <x:v>Anjoman accounting - refined.xlsx</x:v>
      </x:c>
      <x:c r="B1129" s="31" t="str">
        <x:v>اسناد و شواهد</x:v>
      </x:c>
      <x:c r="C1129" s="31" t="str">
        <x:v>E55</x:v>
      </x:c>
      <x:c r="D1129" s="31" t="str">
        <x:v>b347d0bb33954aac124506d9ce9a0e556f235cb579ab853ebfd562617ce9a7c3</x:v>
      </x:c>
      <x:c r="E1129" s="31"/>
    </x:row>
    <x:row r="1130" ht="15" hidden="0" customHeight="1">
      <x:c r="A1130" s="31" t="str">
        <x:v>Anjoman accounting - refined.xlsx</x:v>
      </x:c>
      <x:c r="B1130" s="31" t="str">
        <x:v>اسناد و شواهد</x:v>
      </x:c>
      <x:c r="C1130" s="31" t="str">
        <x:v>A56</x:v>
      </x:c>
      <x:c r="D1130" s="31" t="str">
        <x:v>E-0053</x:v>
      </x:c>
      <x:c r="E1130" s="31"/>
    </x:row>
    <x:row r="1131" ht="15" hidden="0" customHeight="1">
      <x:c r="A1131" s="31" t="str">
        <x:v>Anjoman accounting - refined.xlsx</x:v>
      </x:c>
      <x:c r="B1131" s="31" t="str">
        <x:v>اسناد و شواهد</x:v>
      </x:c>
      <x:c r="C1131" s="31" t="str">
        <x:v>B56</x:v>
      </x:c>
      <x:c r="D1131" s="31" t="str">
        <x:v>telegram export\images\section_calls@2x.png</x:v>
      </x:c>
      <x:c r="E1131" s="31"/>
    </x:row>
    <x:row r="1132" ht="15" hidden="0" customHeight="1">
      <x:c r="A1132" s="31" t="str">
        <x:v>Anjoman accounting - refined.xlsx</x:v>
      </x:c>
      <x:c r="B1132" s="31" t="str">
        <x:v>اسناد و شواهد</x:v>
      </x:c>
      <x:c r="C1132" s="31" t="str">
        <x:v>C56</x:v>
      </x:c>
      <x:c r="D1132" s="31" t="str">
        <x:v>png</x:v>
      </x:c>
      <x:c r="E1132" s="31"/>
    </x:row>
    <x:row r="1133" ht="15" hidden="0" customHeight="1">
      <x:c r="A1133" s="31" t="str">
        <x:v>Anjoman accounting - refined.xlsx</x:v>
      </x:c>
      <x:c r="B1133" s="31" t="str">
        <x:v>اسناد و شواهد</x:v>
      </x:c>
      <x:c r="C1133" s="31" t="str">
        <x:v>D56</x:v>
      </x:c>
      <x:c r="D1133" s="31" t="str">
        <x:v>1300</x:v>
      </x:c>
      <x:c r="E1133" s="31"/>
    </x:row>
    <x:row r="1134" ht="15" hidden="0" customHeight="1">
      <x:c r="A1134" s="31" t="str">
        <x:v>Anjoman accounting - refined.xlsx</x:v>
      </x:c>
      <x:c r="B1134" s="31" t="str">
        <x:v>اسناد و شواهد</x:v>
      </x:c>
      <x:c r="C1134" s="31" t="str">
        <x:v>E56</x:v>
      </x:c>
      <x:c r="D1134" s="31" t="str">
        <x:v>decd35472a556fe7ec6a1f2dbe3a9442d125e0922854b785476227a376d02cf8</x:v>
      </x:c>
      <x:c r="E1134" s="31"/>
    </x:row>
    <x:row r="1135" ht="15" hidden="0" customHeight="1">
      <x:c r="A1135" s="31" t="str">
        <x:v>Anjoman accounting - refined.xlsx</x:v>
      </x:c>
      <x:c r="B1135" s="31" t="str">
        <x:v>اسناد و شواهد</x:v>
      </x:c>
      <x:c r="C1135" s="31" t="str">
        <x:v>A57</x:v>
      </x:c>
      <x:c r="D1135" s="31" t="str">
        <x:v>E-0054</x:v>
      </x:c>
      <x:c r="E1135" s="31"/>
    </x:row>
    <x:row r="1136" ht="15" hidden="0" customHeight="1">
      <x:c r="A1136" s="31" t="str">
        <x:v>Anjoman accounting - refined.xlsx</x:v>
      </x:c>
      <x:c r="B1136" s="31" t="str">
        <x:v>اسناد و شواهد</x:v>
      </x:c>
      <x:c r="C1136" s="31" t="str">
        <x:v>B57</x:v>
      </x:c>
      <x:c r="D1136" s="31" t="str">
        <x:v>telegram export\images\section_chats.png</x:v>
      </x:c>
      <x:c r="E1136" s="31"/>
    </x:row>
    <x:row r="1137" ht="15" hidden="0" customHeight="1">
      <x:c r="A1137" s="31" t="str">
        <x:v>Anjoman accounting - refined.xlsx</x:v>
      </x:c>
      <x:c r="B1137" s="31" t="str">
        <x:v>اسناد و شواهد</x:v>
      </x:c>
      <x:c r="C1137" s="31" t="str">
        <x:v>C57</x:v>
      </x:c>
      <x:c r="D1137" s="31" t="str">
        <x:v>png</x:v>
      </x:c>
      <x:c r="E1137" s="31"/>
    </x:row>
    <x:row r="1138" ht="15" hidden="0" customHeight="1">
      <x:c r="A1138" s="31" t="str">
        <x:v>Anjoman accounting - refined.xlsx</x:v>
      </x:c>
      <x:c r="B1138" s="31" t="str">
        <x:v>اسناد و شواهد</x:v>
      </x:c>
      <x:c r="C1138" s="31" t="str">
        <x:v>D57</x:v>
      </x:c>
      <x:c r="D1138" s="31" t="str">
        <x:v>283</x:v>
      </x:c>
      <x:c r="E1138" s="31"/>
    </x:row>
    <x:row r="1139" ht="15" hidden="0" customHeight="1">
      <x:c r="A1139" s="31" t="str">
        <x:v>Anjoman accounting - refined.xlsx</x:v>
      </x:c>
      <x:c r="B1139" s="31" t="str">
        <x:v>اسناد و شواهد</x:v>
      </x:c>
      <x:c r="C1139" s="31" t="str">
        <x:v>E57</x:v>
      </x:c>
      <x:c r="D1139" s="31" t="str">
        <x:v>ca9e5266de6dc1c49dead1e1a1686f52c89b94c9904d0952fac607d1e3ed16b8</x:v>
      </x:c>
      <x:c r="E1139" s="31"/>
    </x:row>
    <x:row r="1140" ht="15" hidden="0" customHeight="1">
      <x:c r="A1140" s="31" t="str">
        <x:v>Anjoman accounting - refined.xlsx</x:v>
      </x:c>
      <x:c r="B1140" s="31" t="str">
        <x:v>اسناد و شواهد</x:v>
      </x:c>
      <x:c r="C1140" s="31" t="str">
        <x:v>A58</x:v>
      </x:c>
      <x:c r="D1140" s="31" t="str">
        <x:v>E-0055</x:v>
      </x:c>
      <x:c r="E1140" s="31"/>
    </x:row>
    <x:row r="1141" ht="15" hidden="0" customHeight="1">
      <x:c r="A1141" s="31" t="str">
        <x:v>Anjoman accounting - refined.xlsx</x:v>
      </x:c>
      <x:c r="B1141" s="31" t="str">
        <x:v>اسناد و شواهد</x:v>
      </x:c>
      <x:c r="C1141" s="31" t="str">
        <x:v>B58</x:v>
      </x:c>
      <x:c r="D1141" s="31" t="str">
        <x:v>telegram export\images\section_chats@2x.png</x:v>
      </x:c>
      <x:c r="E1141" s="31"/>
    </x:row>
    <x:row r="1142" ht="15" hidden="0" customHeight="1">
      <x:c r="A1142" s="31" t="str">
        <x:v>Anjoman accounting - refined.xlsx</x:v>
      </x:c>
      <x:c r="B1142" s="31" t="str">
        <x:v>اسناد و شواهد</x:v>
      </x:c>
      <x:c r="C1142" s="31" t="str">
        <x:v>C58</x:v>
      </x:c>
      <x:c r="D1142" s="31" t="str">
        <x:v>png</x:v>
      </x:c>
      <x:c r="E1142" s="31"/>
    </x:row>
    <x:row r="1143" ht="15" hidden="0" customHeight="1">
      <x:c r="A1143" s="31" t="str">
        <x:v>Anjoman accounting - refined.xlsx</x:v>
      </x:c>
      <x:c r="B1143" s="31" t="str">
        <x:v>اسناد و شواهد</x:v>
      </x:c>
      <x:c r="C1143" s="31" t="str">
        <x:v>D58</x:v>
      </x:c>
      <x:c r="D1143" s="31" t="str">
        <x:v>454</x:v>
      </x:c>
      <x:c r="E1143" s="31"/>
    </x:row>
    <x:row r="1144" ht="15" hidden="0" customHeight="1">
      <x:c r="A1144" s="31" t="str">
        <x:v>Anjoman accounting - refined.xlsx</x:v>
      </x:c>
      <x:c r="B1144" s="31" t="str">
        <x:v>اسناد و شواهد</x:v>
      </x:c>
      <x:c r="C1144" s="31" t="str">
        <x:v>E58</x:v>
      </x:c>
      <x:c r="D1144" s="31" t="str">
        <x:v>929d283917cce08418ca2ee8f6355ca431f4877aa8804bd3819676b8343fb2a9</x:v>
      </x:c>
      <x:c r="E1144" s="31"/>
    </x:row>
    <x:row r="1145" ht="15" hidden="0" customHeight="1">
      <x:c r="A1145" s="31" t="str">
        <x:v>Anjoman accounting - refined.xlsx</x:v>
      </x:c>
      <x:c r="B1145" s="31" t="str">
        <x:v>اسناد و شواهد</x:v>
      </x:c>
      <x:c r="C1145" s="31" t="str">
        <x:v>A59</x:v>
      </x:c>
      <x:c r="D1145" s="31" t="str">
        <x:v>E-0056</x:v>
      </x:c>
      <x:c r="E1145" s="31"/>
    </x:row>
    <x:row r="1146" ht="15" hidden="0" customHeight="1">
      <x:c r="A1146" s="31" t="str">
        <x:v>Anjoman accounting - refined.xlsx</x:v>
      </x:c>
      <x:c r="B1146" s="31" t="str">
        <x:v>اسناد و شواهد</x:v>
      </x:c>
      <x:c r="C1146" s="31" t="str">
        <x:v>B59</x:v>
      </x:c>
      <x:c r="D1146" s="31" t="str">
        <x:v>telegram export\images\section_contacts.png</x:v>
      </x:c>
      <x:c r="E1146" s="31"/>
    </x:row>
    <x:row r="1147" ht="15" hidden="0" customHeight="1">
      <x:c r="A1147" s="31" t="str">
        <x:v>Anjoman accounting - refined.xlsx</x:v>
      </x:c>
      <x:c r="B1147" s="31" t="str">
        <x:v>اسناد و شواهد</x:v>
      </x:c>
      <x:c r="C1147" s="31" t="str">
        <x:v>C59</x:v>
      </x:c>
      <x:c r="D1147" s="31" t="str">
        <x:v>png</x:v>
      </x:c>
      <x:c r="E1147" s="31"/>
    </x:row>
    <x:row r="1148" ht="15" hidden="0" customHeight="1">
      <x:c r="A1148" s="31" t="str">
        <x:v>Anjoman accounting - refined.xlsx</x:v>
      </x:c>
      <x:c r="B1148" s="31" t="str">
        <x:v>اسناد و شواهد</x:v>
      </x:c>
      <x:c r="C1148" s="31" t="str">
        <x:v>D59</x:v>
      </x:c>
      <x:c r="D1148" s="31" t="str">
        <x:v>508</x:v>
      </x:c>
      <x:c r="E1148" s="31"/>
    </x:row>
    <x:row r="1149" ht="15" hidden="0" customHeight="1">
      <x:c r="A1149" s="31" t="str">
        <x:v>Anjoman accounting - refined.xlsx</x:v>
      </x:c>
      <x:c r="B1149" s="31" t="str">
        <x:v>اسناد و شواهد</x:v>
      </x:c>
      <x:c r="C1149" s="31" t="str">
        <x:v>E59</x:v>
      </x:c>
      <x:c r="D1149" s="31" t="str">
        <x:v>47245024ccc91fad0f56df360abf699e84df2c45b3b866c3f25d0bae422752b8</x:v>
      </x:c>
      <x:c r="E1149" s="31"/>
    </x:row>
    <x:row r="1150" ht="15" hidden="0" customHeight="1">
      <x:c r="A1150" s="31" t="str">
        <x:v>Anjoman accounting - refined.xlsx</x:v>
      </x:c>
      <x:c r="B1150" s="31" t="str">
        <x:v>اسناد و شواهد</x:v>
      </x:c>
      <x:c r="C1150" s="31" t="str">
        <x:v>A60</x:v>
      </x:c>
      <x:c r="D1150" s="31" t="str">
        <x:v>E-0057</x:v>
      </x:c>
      <x:c r="E1150" s="31"/>
    </x:row>
    <x:row r="1151" ht="15" hidden="0" customHeight="1">
      <x:c r="A1151" s="31" t="str">
        <x:v>Anjoman accounting - refined.xlsx</x:v>
      </x:c>
      <x:c r="B1151" s="31" t="str">
        <x:v>اسناد و شواهد</x:v>
      </x:c>
      <x:c r="C1151" s="31" t="str">
        <x:v>B60</x:v>
      </x:c>
      <x:c r="D1151" s="31" t="str">
        <x:v>telegram export\images\section_contacts@2x.png</x:v>
      </x:c>
      <x:c r="E1151" s="31"/>
    </x:row>
    <x:row r="1152" ht="15" hidden="0" customHeight="1">
      <x:c r="A1152" s="31" t="str">
        <x:v>Anjoman accounting - refined.xlsx</x:v>
      </x:c>
      <x:c r="B1152" s="31" t="str">
        <x:v>اسناد و شواهد</x:v>
      </x:c>
      <x:c r="C1152" s="31" t="str">
        <x:v>C60</x:v>
      </x:c>
      <x:c r="D1152" s="31" t="str">
        <x:v>png</x:v>
      </x:c>
      <x:c r="E1152" s="31"/>
    </x:row>
    <x:row r="1153" ht="15" hidden="0" customHeight="1">
      <x:c r="A1153" s="31" t="str">
        <x:v>Anjoman accounting - refined.xlsx</x:v>
      </x:c>
      <x:c r="B1153" s="31" t="str">
        <x:v>اسناد و شواهد</x:v>
      </x:c>
      <x:c r="C1153" s="31" t="str">
        <x:v>D60</x:v>
      </x:c>
      <x:c r="D1153" s="31" t="str">
        <x:v>1023</x:v>
      </x:c>
      <x:c r="E1153" s="31"/>
    </x:row>
    <x:row r="1154" ht="15" hidden="0" customHeight="1">
      <x:c r="A1154" s="31" t="str">
        <x:v>Anjoman accounting - refined.xlsx</x:v>
      </x:c>
      <x:c r="B1154" s="31" t="str">
        <x:v>اسناد و شواهد</x:v>
      </x:c>
      <x:c r="C1154" s="31" t="str">
        <x:v>E60</x:v>
      </x:c>
      <x:c r="D1154" s="31" t="str">
        <x:v>5281f4cf58c26149509e649e490a949941ac494b41e66dffc94e535cb2f57fc8</x:v>
      </x:c>
      <x:c r="E1154" s="31"/>
    </x:row>
    <x:row r="1155" ht="15" hidden="0" customHeight="1">
      <x:c r="A1155" s="31" t="str">
        <x:v>Anjoman accounting - refined.xlsx</x:v>
      </x:c>
      <x:c r="B1155" s="31" t="str">
        <x:v>اسناد و شواهد</x:v>
      </x:c>
      <x:c r="C1155" s="31" t="str">
        <x:v>A61</x:v>
      </x:c>
      <x:c r="D1155" s="31" t="str">
        <x:v>E-0058</x:v>
      </x:c>
      <x:c r="E1155" s="31"/>
    </x:row>
    <x:row r="1156" ht="15" hidden="0" customHeight="1">
      <x:c r="A1156" s="31" t="str">
        <x:v>Anjoman accounting - refined.xlsx</x:v>
      </x:c>
      <x:c r="B1156" s="31" t="str">
        <x:v>اسناد و شواهد</x:v>
      </x:c>
      <x:c r="C1156" s="31" t="str">
        <x:v>B61</x:v>
      </x:c>
      <x:c r="D1156" s="31" t="str">
        <x:v>telegram export\images\section_frequent.png</x:v>
      </x:c>
      <x:c r="E1156" s="31"/>
    </x:row>
    <x:row r="1157" ht="15" hidden="0" customHeight="1">
      <x:c r="A1157" s="31" t="str">
        <x:v>Anjoman accounting - refined.xlsx</x:v>
      </x:c>
      <x:c r="B1157" s="31" t="str">
        <x:v>اسناد و شواهد</x:v>
      </x:c>
      <x:c r="C1157" s="31" t="str">
        <x:v>C61</x:v>
      </x:c>
      <x:c r="D1157" s="31" t="str">
        <x:v>png</x:v>
      </x:c>
      <x:c r="E1157" s="31"/>
    </x:row>
    <x:row r="1158" ht="15" hidden="0" customHeight="1">
      <x:c r="A1158" s="31" t="str">
        <x:v>Anjoman accounting - refined.xlsx</x:v>
      </x:c>
      <x:c r="B1158" s="31" t="str">
        <x:v>اسناد و شواهد</x:v>
      </x:c>
      <x:c r="C1158" s="31" t="str">
        <x:v>D61</x:v>
      </x:c>
      <x:c r="D1158" s="31" t="str">
        <x:v>771</x:v>
      </x:c>
      <x:c r="E1158" s="31"/>
    </x:row>
    <x:row r="1159" ht="15" hidden="0" customHeight="1">
      <x:c r="A1159" s="31" t="str">
        <x:v>Anjoman accounting - refined.xlsx</x:v>
      </x:c>
      <x:c r="B1159" s="31" t="str">
        <x:v>اسناد و شواهد</x:v>
      </x:c>
      <x:c r="C1159" s="31" t="str">
        <x:v>E61</x:v>
      </x:c>
      <x:c r="D1159" s="31" t="str">
        <x:v>260eee3b8cfc4169a085e4a3e22e699ad30f24fe6a4854655a27da83f6580fd4</x:v>
      </x:c>
      <x:c r="E1159" s="31"/>
    </x:row>
    <x:row r="1160" ht="15" hidden="0" customHeight="1">
      <x:c r="A1160" s="31" t="str">
        <x:v>Anjoman accounting - refined.xlsx</x:v>
      </x:c>
      <x:c r="B1160" s="31" t="str">
        <x:v>اسناد و شواهد</x:v>
      </x:c>
      <x:c r="C1160" s="31" t="str">
        <x:v>A62</x:v>
      </x:c>
      <x:c r="D1160" s="31" t="str">
        <x:v>E-0059</x:v>
      </x:c>
      <x:c r="E1160" s="31"/>
    </x:row>
    <x:row r="1161" ht="15" hidden="0" customHeight="1">
      <x:c r="A1161" s="31" t="str">
        <x:v>Anjoman accounting - refined.xlsx</x:v>
      </x:c>
      <x:c r="B1161" s="31" t="str">
        <x:v>اسناد و شواهد</x:v>
      </x:c>
      <x:c r="C1161" s="31" t="str">
        <x:v>B62</x:v>
      </x:c>
      <x:c r="D1161" s="31" t="str">
        <x:v>telegram export\images\section_frequent@2x.png</x:v>
      </x:c>
      <x:c r="E1161" s="31"/>
    </x:row>
    <x:row r="1162" ht="15" hidden="0" customHeight="1">
      <x:c r="A1162" s="31" t="str">
        <x:v>Anjoman accounting - refined.xlsx</x:v>
      </x:c>
      <x:c r="B1162" s="31" t="str">
        <x:v>اسناد و شواهد</x:v>
      </x:c>
      <x:c r="C1162" s="31" t="str">
        <x:v>C62</x:v>
      </x:c>
      <x:c r="D1162" s="31" t="str">
        <x:v>png</x:v>
      </x:c>
      <x:c r="E1162" s="31"/>
    </x:row>
    <x:row r="1163" ht="15" hidden="0" customHeight="1">
      <x:c r="A1163" s="31" t="str">
        <x:v>Anjoman accounting - refined.xlsx</x:v>
      </x:c>
      <x:c r="B1163" s="31" t="str">
        <x:v>اسناد و شواهد</x:v>
      </x:c>
      <x:c r="C1163" s="31" t="str">
        <x:v>D62</x:v>
      </x:c>
      <x:c r="D1163" s="31" t="str">
        <x:v>1696</x:v>
      </x:c>
      <x:c r="E1163" s="31"/>
    </x:row>
    <x:row r="1164" ht="15" hidden="0" customHeight="1">
      <x:c r="A1164" s="31" t="str">
        <x:v>Anjoman accounting - refined.xlsx</x:v>
      </x:c>
      <x:c r="B1164" s="31" t="str">
        <x:v>اسناد و شواهد</x:v>
      </x:c>
      <x:c r="C1164" s="31" t="str">
        <x:v>E62</x:v>
      </x:c>
      <x:c r="D1164" s="31" t="str">
        <x:v>dd4b5697712bbe2adce7cfc56ca8af2498c07d072b8b7d3fd01bbba30b316101</x:v>
      </x:c>
      <x:c r="E1164" s="31"/>
    </x:row>
    <x:row r="1165" ht="15" hidden="0" customHeight="1">
      <x:c r="A1165" s="31" t="str">
        <x:v>Anjoman accounting - refined.xlsx</x:v>
      </x:c>
      <x:c r="B1165" s="31" t="str">
        <x:v>اسناد و شواهد</x:v>
      </x:c>
      <x:c r="C1165" s="31" t="str">
        <x:v>A63</x:v>
      </x:c>
      <x:c r="D1165" s="31" t="str">
        <x:v>E-0060</x:v>
      </x:c>
      <x:c r="E1165" s="31"/>
    </x:row>
    <x:row r="1166" ht="15" hidden="0" customHeight="1">
      <x:c r="A1166" s="31" t="str">
        <x:v>Anjoman accounting - refined.xlsx</x:v>
      </x:c>
      <x:c r="B1166" s="31" t="str">
        <x:v>اسناد و شواهد</x:v>
      </x:c>
      <x:c r="C1166" s="31" t="str">
        <x:v>B63</x:v>
      </x:c>
      <x:c r="D1166" s="31" t="str">
        <x:v>telegram export\images\section_music.png</x:v>
      </x:c>
      <x:c r="E1166" s="31"/>
    </x:row>
    <x:row r="1167" ht="15" hidden="0" customHeight="1">
      <x:c r="A1167" s="31" t="str">
        <x:v>Anjoman accounting - refined.xlsx</x:v>
      </x:c>
      <x:c r="B1167" s="31" t="str">
        <x:v>اسناد و شواهد</x:v>
      </x:c>
      <x:c r="C1167" s="31" t="str">
        <x:v>C63</x:v>
      </x:c>
      <x:c r="D1167" s="31" t="str">
        <x:v>png</x:v>
      </x:c>
      <x:c r="E1167" s="31"/>
    </x:row>
    <x:row r="1168" ht="15" hidden="0" customHeight="1">
      <x:c r="A1168" s="31" t="str">
        <x:v>Anjoman accounting - refined.xlsx</x:v>
      </x:c>
      <x:c r="B1168" s="31" t="str">
        <x:v>اسناد و شواهد</x:v>
      </x:c>
      <x:c r="C1168" s="31" t="str">
        <x:v>D63</x:v>
      </x:c>
      <x:c r="D1168" s="31" t="str">
        <x:v>446</x:v>
      </x:c>
      <x:c r="E1168" s="31"/>
    </x:row>
    <x:row r="1169" ht="15" hidden="0" customHeight="1">
      <x:c r="A1169" s="31" t="str">
        <x:v>Anjoman accounting - refined.xlsx</x:v>
      </x:c>
      <x:c r="B1169" s="31" t="str">
        <x:v>اسناد و شواهد</x:v>
      </x:c>
      <x:c r="C1169" s="31" t="str">
        <x:v>E63</x:v>
      </x:c>
      <x:c r="D1169" s="31" t="str">
        <x:v>5006eab0a00fb29115c10ff2f5e3d06c1d498bcce18ab42c45b1de1467679a50</x:v>
      </x:c>
      <x:c r="E1169" s="31"/>
    </x:row>
    <x:row r="1170" ht="15" hidden="0" customHeight="1">
      <x:c r="A1170" s="31" t="str">
        <x:v>Anjoman accounting - refined.xlsx</x:v>
      </x:c>
      <x:c r="B1170" s="31" t="str">
        <x:v>اسناد و شواهد</x:v>
      </x:c>
      <x:c r="C1170" s="31" t="str">
        <x:v>A64</x:v>
      </x:c>
      <x:c r="D1170" s="31" t="str">
        <x:v>E-0061</x:v>
      </x:c>
      <x:c r="E1170" s="31"/>
    </x:row>
    <x:row r="1171" ht="15" hidden="0" customHeight="1">
      <x:c r="A1171" s="31" t="str">
        <x:v>Anjoman accounting - refined.xlsx</x:v>
      </x:c>
      <x:c r="B1171" s="31" t="str">
        <x:v>اسناد و شواهد</x:v>
      </x:c>
      <x:c r="C1171" s="31" t="str">
        <x:v>B64</x:v>
      </x:c>
      <x:c r="D1171" s="31" t="str">
        <x:v>telegram export\images\section_music@2x.png</x:v>
      </x:c>
      <x:c r="E1171" s="31"/>
    </x:row>
    <x:row r="1172" ht="15" hidden="0" customHeight="1">
      <x:c r="A1172" s="31" t="str">
        <x:v>Anjoman accounting - refined.xlsx</x:v>
      </x:c>
      <x:c r="B1172" s="31" t="str">
        <x:v>اسناد و شواهد</x:v>
      </x:c>
      <x:c r="C1172" s="31" t="str">
        <x:v>C64</x:v>
      </x:c>
      <x:c r="D1172" s="31" t="str">
        <x:v>png</x:v>
      </x:c>
      <x:c r="E1172" s="31"/>
    </x:row>
    <x:row r="1173" ht="15" hidden="0" customHeight="1">
      <x:c r="A1173" s="31" t="str">
        <x:v>Anjoman accounting - refined.xlsx</x:v>
      </x:c>
      <x:c r="B1173" s="31" t="str">
        <x:v>اسناد و شواهد</x:v>
      </x:c>
      <x:c r="C1173" s="31" t="str">
        <x:v>D64</x:v>
      </x:c>
      <x:c r="D1173" s="31" t="str">
        <x:v>777</x:v>
      </x:c>
      <x:c r="E1173" s="31"/>
    </x:row>
    <x:row r="1174" ht="15" hidden="0" customHeight="1">
      <x:c r="A1174" s="31" t="str">
        <x:v>Anjoman accounting - refined.xlsx</x:v>
      </x:c>
      <x:c r="B1174" s="31" t="str">
        <x:v>اسناد و شواهد</x:v>
      </x:c>
      <x:c r="C1174" s="31" t="str">
        <x:v>E64</x:v>
      </x:c>
      <x:c r="D1174" s="31" t="str">
        <x:v>73fae04760c427ef863edeb1bbe450e2c62a6b03e1ea4562236cb9e12fee13a1</x:v>
      </x:c>
      <x:c r="E1174" s="31"/>
    </x:row>
    <x:row r="1175" ht="15" hidden="0" customHeight="1">
      <x:c r="A1175" s="31" t="str">
        <x:v>Anjoman accounting - refined.xlsx</x:v>
      </x:c>
      <x:c r="B1175" s="31" t="str">
        <x:v>اسناد و شواهد</x:v>
      </x:c>
      <x:c r="C1175" s="31" t="str">
        <x:v>A65</x:v>
      </x:c>
      <x:c r="D1175" s="31" t="str">
        <x:v>E-0062</x:v>
      </x:c>
      <x:c r="E1175" s="31"/>
    </x:row>
    <x:row r="1176" ht="15" hidden="0" customHeight="1">
      <x:c r="A1176" s="31" t="str">
        <x:v>Anjoman accounting - refined.xlsx</x:v>
      </x:c>
      <x:c r="B1176" s="31" t="str">
        <x:v>اسناد و شواهد</x:v>
      </x:c>
      <x:c r="C1176" s="31" t="str">
        <x:v>B65</x:v>
      </x:c>
      <x:c r="D1176" s="31" t="str">
        <x:v>telegram export\images\section_other.png</x:v>
      </x:c>
      <x:c r="E1176" s="31"/>
    </x:row>
    <x:row r="1177" ht="15" hidden="0" customHeight="1">
      <x:c r="A1177" s="31" t="str">
        <x:v>Anjoman accounting - refined.xlsx</x:v>
      </x:c>
      <x:c r="B1177" s="31" t="str">
        <x:v>اسناد و شواهد</x:v>
      </x:c>
      <x:c r="C1177" s="31" t="str">
        <x:v>C65</x:v>
      </x:c>
      <x:c r="D1177" s="31" t="str">
        <x:v>png</x:v>
      </x:c>
      <x:c r="E1177" s="31"/>
    </x:row>
    <x:row r="1178" ht="15" hidden="0" customHeight="1">
      <x:c r="A1178" s="31" t="str">
        <x:v>Anjoman accounting - refined.xlsx</x:v>
      </x:c>
      <x:c r="B1178" s="31" t="str">
        <x:v>اسناد و شواهد</x:v>
      </x:c>
      <x:c r="C1178" s="31" t="str">
        <x:v>D65</x:v>
      </x:c>
      <x:c r="D1178" s="31" t="str">
        <x:v>155</x:v>
      </x:c>
      <x:c r="E1178" s="31"/>
    </x:row>
    <x:row r="1179" ht="15" hidden="0" customHeight="1">
      <x:c r="A1179" s="31" t="str">
        <x:v>Anjoman accounting - refined.xlsx</x:v>
      </x:c>
      <x:c r="B1179" s="31" t="str">
        <x:v>اسناد و شواهد</x:v>
      </x:c>
      <x:c r="C1179" s="31" t="str">
        <x:v>E65</x:v>
      </x:c>
      <x:c r="D1179" s="31" t="str">
        <x:v>3b294027c2b4ac851bdef44311abff17273cae69b2b58aa663fa7ec1ff2d0f53</x:v>
      </x:c>
      <x:c r="E1179" s="31"/>
    </x:row>
    <x:row r="1180" ht="15" hidden="0" customHeight="1">
      <x:c r="A1180" s="31" t="str">
        <x:v>Anjoman accounting - refined.xlsx</x:v>
      </x:c>
      <x:c r="B1180" s="31" t="str">
        <x:v>اسناد و شواهد</x:v>
      </x:c>
      <x:c r="C1180" s="31" t="str">
        <x:v>A66</x:v>
      </x:c>
      <x:c r="D1180" s="31" t="str">
        <x:v>E-0063</x:v>
      </x:c>
      <x:c r="E1180" s="31"/>
    </x:row>
    <x:row r="1181" ht="15" hidden="0" customHeight="1">
      <x:c r="A1181" s="31" t="str">
        <x:v>Anjoman accounting - refined.xlsx</x:v>
      </x:c>
      <x:c r="B1181" s="31" t="str">
        <x:v>اسناد و شواهد</x:v>
      </x:c>
      <x:c r="C1181" s="31" t="str">
        <x:v>B66</x:v>
      </x:c>
      <x:c r="D1181" s="31" t="str">
        <x:v>telegram export\images\section_other@2x.png</x:v>
      </x:c>
      <x:c r="E1181" s="31"/>
    </x:row>
    <x:row r="1182" ht="15" hidden="0" customHeight="1">
      <x:c r="A1182" s="31" t="str">
        <x:v>Anjoman accounting - refined.xlsx</x:v>
      </x:c>
      <x:c r="B1182" s="31" t="str">
        <x:v>اسناد و شواهد</x:v>
      </x:c>
      <x:c r="C1182" s="31" t="str">
        <x:v>C66</x:v>
      </x:c>
      <x:c r="D1182" s="31" t="str">
        <x:v>png</x:v>
      </x:c>
      <x:c r="E1182" s="31"/>
    </x:row>
    <x:row r="1183" ht="15" hidden="0" customHeight="1">
      <x:c r="A1183" s="31" t="str">
        <x:v>Anjoman accounting - refined.xlsx</x:v>
      </x:c>
      <x:c r="B1183" s="31" t="str">
        <x:v>اسناد و شواهد</x:v>
      </x:c>
      <x:c r="C1183" s="31" t="str">
        <x:v>D66</x:v>
      </x:c>
      <x:c r="D1183" s="31" t="str">
        <x:v>269</x:v>
      </x:c>
      <x:c r="E1183" s="31"/>
    </x:row>
    <x:row r="1184" ht="15" hidden="0" customHeight="1">
      <x:c r="A1184" s="31" t="str">
        <x:v>Anjoman accounting - refined.xlsx</x:v>
      </x:c>
      <x:c r="B1184" s="31" t="str">
        <x:v>اسناد و شواهد</x:v>
      </x:c>
      <x:c r="C1184" s="31" t="str">
        <x:v>E66</x:v>
      </x:c>
      <x:c r="D1184" s="31" t="str">
        <x:v>44c9a8fffb338c7d9b8d55a9af0d51dbe2ec0551d0f518126b8f9993034e4c61</x:v>
      </x:c>
      <x:c r="E1184" s="31"/>
    </x:row>
    <x:row r="1185" ht="15" hidden="0" customHeight="1">
      <x:c r="A1185" s="31" t="str">
        <x:v>Anjoman accounting - refined.xlsx</x:v>
      </x:c>
      <x:c r="B1185" s="31" t="str">
        <x:v>اسناد و شواهد</x:v>
      </x:c>
      <x:c r="C1185" s="31" t="str">
        <x:v>A67</x:v>
      </x:c>
      <x:c r="D1185" s="31" t="str">
        <x:v>E-0064</x:v>
      </x:c>
      <x:c r="E1185" s="31"/>
    </x:row>
    <x:row r="1186" ht="15" hidden="0" customHeight="1">
      <x:c r="A1186" s="31" t="str">
        <x:v>Anjoman accounting - refined.xlsx</x:v>
      </x:c>
      <x:c r="B1186" s="31" t="str">
        <x:v>اسناد و شواهد</x:v>
      </x:c>
      <x:c r="C1186" s="31" t="str">
        <x:v>B67</x:v>
      </x:c>
      <x:c r="D1186" s="31" t="str">
        <x:v>telegram export\images\section_photos.png</x:v>
      </x:c>
      <x:c r="E1186" s="31"/>
    </x:row>
    <x:row r="1187" ht="15" hidden="0" customHeight="1">
      <x:c r="A1187" s="31" t="str">
        <x:v>Anjoman accounting - refined.xlsx</x:v>
      </x:c>
      <x:c r="B1187" s="31" t="str">
        <x:v>اسناد و شواهد</x:v>
      </x:c>
      <x:c r="C1187" s="31" t="str">
        <x:v>C67</x:v>
      </x:c>
      <x:c r="D1187" s="31" t="str">
        <x:v>png</x:v>
      </x:c>
      <x:c r="E1187" s="31"/>
    </x:row>
    <x:row r="1188" ht="15" hidden="0" customHeight="1">
      <x:c r="A1188" s="31" t="str">
        <x:v>Anjoman accounting - refined.xlsx</x:v>
      </x:c>
      <x:c r="B1188" s="31" t="str">
        <x:v>اسناد و شواهد</x:v>
      </x:c>
      <x:c r="C1188" s="31" t="str">
        <x:v>D67</x:v>
      </x:c>
      <x:c r="D1188" s="31" t="str">
        <x:v>415</x:v>
      </x:c>
      <x:c r="E1188" s="31"/>
    </x:row>
    <x:row r="1189" ht="15" hidden="0" customHeight="1">
      <x:c r="A1189" s="31" t="str">
        <x:v>Anjoman accounting - refined.xlsx</x:v>
      </x:c>
      <x:c r="B1189" s="31" t="str">
        <x:v>اسناد و شواهد</x:v>
      </x:c>
      <x:c r="C1189" s="31" t="str">
        <x:v>E67</x:v>
      </x:c>
      <x:c r="D1189" s="31" t="str">
        <x:v>c71b8548036a5765377680d679a8f7d422dee5de03caf3580e1faca3ea9e06e5</x:v>
      </x:c>
      <x:c r="E1189" s="31"/>
    </x:row>
    <x:row r="1190" ht="15" hidden="0" customHeight="1">
      <x:c r="A1190" s="31" t="str">
        <x:v>Anjoman accounting - refined.xlsx</x:v>
      </x:c>
      <x:c r="B1190" s="31" t="str">
        <x:v>اسناد و شواهد</x:v>
      </x:c>
      <x:c r="C1190" s="31" t="str">
        <x:v>A68</x:v>
      </x:c>
      <x:c r="D1190" s="31" t="str">
        <x:v>E-0065</x:v>
      </x:c>
      <x:c r="E1190" s="31"/>
    </x:row>
    <x:row r="1191" ht="15" hidden="0" customHeight="1">
      <x:c r="A1191" s="31" t="str">
        <x:v>Anjoman accounting - refined.xlsx</x:v>
      </x:c>
      <x:c r="B1191" s="31" t="str">
        <x:v>اسناد و شواهد</x:v>
      </x:c>
      <x:c r="C1191" s="31" t="str">
        <x:v>B68</x:v>
      </x:c>
      <x:c r="D1191" s="31" t="str">
        <x:v>telegram export\images\section_photos@2x.png</x:v>
      </x:c>
      <x:c r="E1191" s="31"/>
    </x:row>
    <x:row r="1192" ht="15" hidden="0" customHeight="1">
      <x:c r="A1192" s="31" t="str">
        <x:v>Anjoman accounting - refined.xlsx</x:v>
      </x:c>
      <x:c r="B1192" s="31" t="str">
        <x:v>اسناد و شواهد</x:v>
      </x:c>
      <x:c r="C1192" s="31" t="str">
        <x:v>C68</x:v>
      </x:c>
      <x:c r="D1192" s="31" t="str">
        <x:v>png</x:v>
      </x:c>
      <x:c r="E1192" s="31"/>
    </x:row>
    <x:row r="1193" ht="15" hidden="0" customHeight="1">
      <x:c r="A1193" s="31" t="str">
        <x:v>Anjoman accounting - refined.xlsx</x:v>
      </x:c>
      <x:c r="B1193" s="31" t="str">
        <x:v>اسناد و شواهد</x:v>
      </x:c>
      <x:c r="C1193" s="31" t="str">
        <x:v>D68</x:v>
      </x:c>
      <x:c r="D1193" s="31" t="str">
        <x:v>750</x:v>
      </x:c>
      <x:c r="E1193" s="31"/>
    </x:row>
    <x:row r="1194" ht="15" hidden="0" customHeight="1">
      <x:c r="A1194" s="31" t="str">
        <x:v>Anjoman accounting - refined.xlsx</x:v>
      </x:c>
      <x:c r="B1194" s="31" t="str">
        <x:v>اسناد و شواهد</x:v>
      </x:c>
      <x:c r="C1194" s="31" t="str">
        <x:v>E68</x:v>
      </x:c>
      <x:c r="D1194" s="31" t="str">
        <x:v>eea894213dc76077cffdd94155250b7a17562bffe0bfb9ee38651e325468ab33</x:v>
      </x:c>
      <x:c r="E1194" s="31"/>
    </x:row>
    <x:row r="1195" ht="15" hidden="0" customHeight="1">
      <x:c r="A1195" s="31" t="str">
        <x:v>Anjoman accounting - refined.xlsx</x:v>
      </x:c>
      <x:c r="B1195" s="31" t="str">
        <x:v>اسناد و شواهد</x:v>
      </x:c>
      <x:c r="C1195" s="31" t="str">
        <x:v>A69</x:v>
      </x:c>
      <x:c r="D1195" s="31" t="str">
        <x:v>E-0066</x:v>
      </x:c>
      <x:c r="E1195" s="31"/>
    </x:row>
    <x:row r="1196" ht="15" hidden="0" customHeight="1">
      <x:c r="A1196" s="31" t="str">
        <x:v>Anjoman accounting - refined.xlsx</x:v>
      </x:c>
      <x:c r="B1196" s="31" t="str">
        <x:v>اسناد و شواهد</x:v>
      </x:c>
      <x:c r="C1196" s="31" t="str">
        <x:v>B69</x:v>
      </x:c>
      <x:c r="D1196" s="31" t="str">
        <x:v>telegram export\images\section_sessions.png</x:v>
      </x:c>
      <x:c r="E1196" s="31"/>
    </x:row>
    <x:row r="1197" ht="15" hidden="0" customHeight="1">
      <x:c r="A1197" s="31" t="str">
        <x:v>Anjoman accounting - refined.xlsx</x:v>
      </x:c>
      <x:c r="B1197" s="31" t="str">
        <x:v>اسناد و شواهد</x:v>
      </x:c>
      <x:c r="C1197" s="31" t="str">
        <x:v>C69</x:v>
      </x:c>
      <x:c r="D1197" s="31" t="str">
        <x:v>png</x:v>
      </x:c>
      <x:c r="E1197" s="31"/>
    </x:row>
    <x:row r="1198" ht="15" hidden="0" customHeight="1">
      <x:c r="A1198" s="31" t="str">
        <x:v>Anjoman accounting - refined.xlsx</x:v>
      </x:c>
      <x:c r="B1198" s="31" t="str">
        <x:v>اسناد و شواهد</x:v>
      </x:c>
      <x:c r="C1198" s="31" t="str">
        <x:v>D69</x:v>
      </x:c>
      <x:c r="D1198" s="31" t="str">
        <x:v>134</x:v>
      </x:c>
      <x:c r="E1198" s="31"/>
    </x:row>
    <x:row r="1199" ht="15" hidden="0" customHeight="1">
      <x:c r="A1199" s="31" t="str">
        <x:v>Anjoman accounting - refined.xlsx</x:v>
      </x:c>
      <x:c r="B1199" s="31" t="str">
        <x:v>اسناد و شواهد</x:v>
      </x:c>
      <x:c r="C1199" s="31" t="str">
        <x:v>E69</x:v>
      </x:c>
      <x:c r="D1199" s="31" t="str">
        <x:v>16aae7c60f3f52fad87c6483d3af62a01fca63457e06661aa460749e336781de</x:v>
      </x:c>
      <x:c r="E1199" s="31"/>
    </x:row>
    <x:row r="1200" ht="15" hidden="0" customHeight="1">
      <x:c r="A1200" s="31" t="str">
        <x:v>Anjoman accounting - refined.xlsx</x:v>
      </x:c>
      <x:c r="B1200" s="31" t="str">
        <x:v>اسناد و شواهد</x:v>
      </x:c>
      <x:c r="C1200" s="31" t="str">
        <x:v>A70</x:v>
      </x:c>
      <x:c r="D1200" s="31" t="str">
        <x:v>E-0067</x:v>
      </x:c>
      <x:c r="E1200" s="31"/>
    </x:row>
    <x:row r="1201" ht="15" hidden="0" customHeight="1">
      <x:c r="A1201" s="31" t="str">
        <x:v>Anjoman accounting - refined.xlsx</x:v>
      </x:c>
      <x:c r="B1201" s="31" t="str">
        <x:v>اسناد و شواهد</x:v>
      </x:c>
      <x:c r="C1201" s="31" t="str">
        <x:v>B70</x:v>
      </x:c>
      <x:c r="D1201" s="31" t="str">
        <x:v>telegram export\images\section_sessions@2x.png</x:v>
      </x:c>
      <x:c r="E1201" s="31"/>
    </x:row>
    <x:row r="1202" ht="15" hidden="0" customHeight="1">
      <x:c r="A1202" s="31" t="str">
        <x:v>Anjoman accounting - refined.xlsx</x:v>
      </x:c>
      <x:c r="B1202" s="31" t="str">
        <x:v>اسناد و شواهد</x:v>
      </x:c>
      <x:c r="C1202" s="31" t="str">
        <x:v>C70</x:v>
      </x:c>
      <x:c r="D1202" s="31" t="str">
        <x:v>png</x:v>
      </x:c>
      <x:c r="E1202" s="31"/>
    </x:row>
    <x:row r="1203" ht="15" hidden="0" customHeight="1">
      <x:c r="A1203" s="31" t="str">
        <x:v>Anjoman accounting - refined.xlsx</x:v>
      </x:c>
      <x:c r="B1203" s="31" t="str">
        <x:v>اسناد و شواهد</x:v>
      </x:c>
      <x:c r="C1203" s="31" t="str">
        <x:v>D70</x:v>
      </x:c>
      <x:c r="D1203" s="31" t="str">
        <x:v>216</x:v>
      </x:c>
      <x:c r="E1203" s="31"/>
    </x:row>
    <x:row r="1204" ht="15" hidden="0" customHeight="1">
      <x:c r="A1204" s="31" t="str">
        <x:v>Anjoman accounting - refined.xlsx</x:v>
      </x:c>
      <x:c r="B1204" s="31" t="str">
        <x:v>اسناد و شواهد</x:v>
      </x:c>
      <x:c r="C1204" s="31" t="str">
        <x:v>E70</x:v>
      </x:c>
      <x:c r="D1204" s="31" t="str">
        <x:v>ed6f50d210cc6663b8ae3684537de8209dc4115918f7ab7eb6c9abb5d974438f</x:v>
      </x:c>
      <x:c r="E1204" s="31"/>
    </x:row>
    <x:row r="1205" ht="15" hidden="0" customHeight="1">
      <x:c r="A1205" s="31" t="str">
        <x:v>Anjoman accounting - refined.xlsx</x:v>
      </x:c>
      <x:c r="B1205" s="31" t="str">
        <x:v>اسناد و شواهد</x:v>
      </x:c>
      <x:c r="C1205" s="31" t="str">
        <x:v>A71</x:v>
      </x:c>
      <x:c r="D1205" s="31" t="str">
        <x:v>E-0068</x:v>
      </x:c>
      <x:c r="E1205" s="31"/>
    </x:row>
    <x:row r="1206" ht="15" hidden="0" customHeight="1">
      <x:c r="A1206" s="31" t="str">
        <x:v>Anjoman accounting - refined.xlsx</x:v>
      </x:c>
      <x:c r="B1206" s="31" t="str">
        <x:v>اسناد و شواهد</x:v>
      </x:c>
      <x:c r="C1206" s="31" t="str">
        <x:v>B71</x:v>
      </x:c>
      <x:c r="D1206" s="31" t="str">
        <x:v>telegram export\images\section_stories.png</x:v>
      </x:c>
      <x:c r="E1206" s="31"/>
    </x:row>
    <x:row r="1207" ht="15" hidden="0" customHeight="1">
      <x:c r="A1207" s="31" t="str">
        <x:v>Anjoman accounting - refined.xlsx</x:v>
      </x:c>
      <x:c r="B1207" s="31" t="str">
        <x:v>اسناد و شواهد</x:v>
      </x:c>
      <x:c r="C1207" s="31" t="str">
        <x:v>C71</x:v>
      </x:c>
      <x:c r="D1207" s="31" t="str">
        <x:v>png</x:v>
      </x:c>
      <x:c r="E1207" s="31"/>
    </x:row>
    <x:row r="1208" ht="15" hidden="0" customHeight="1">
      <x:c r="A1208" s="31" t="str">
        <x:v>Anjoman accounting - refined.xlsx</x:v>
      </x:c>
      <x:c r="B1208" s="31" t="str">
        <x:v>اسناد و شواهد</x:v>
      </x:c>
      <x:c r="C1208" s="31" t="str">
        <x:v>D71</x:v>
      </x:c>
      <x:c r="D1208" s="31" t="str">
        <x:v>605</x:v>
      </x:c>
      <x:c r="E1208" s="31"/>
    </x:row>
    <x:row r="1209" ht="15" hidden="0" customHeight="1">
      <x:c r="A1209" s="31" t="str">
        <x:v>Anjoman accounting - refined.xlsx</x:v>
      </x:c>
      <x:c r="B1209" s="31" t="str">
        <x:v>اسناد و شواهد</x:v>
      </x:c>
      <x:c r="C1209" s="31" t="str">
        <x:v>E71</x:v>
      </x:c>
      <x:c r="D1209" s="31" t="str">
        <x:v>eb121c176f732f5b41043291044fe594e1760c04d30d029da54af069fd0eef95</x:v>
      </x:c>
      <x:c r="E1209" s="31"/>
    </x:row>
    <x:row r="1210" ht="15" hidden="0" customHeight="1">
      <x:c r="A1210" s="31" t="str">
        <x:v>Anjoman accounting - refined.xlsx</x:v>
      </x:c>
      <x:c r="B1210" s="31" t="str">
        <x:v>اسناد و شواهد</x:v>
      </x:c>
      <x:c r="C1210" s="31" t="str">
        <x:v>A72</x:v>
      </x:c>
      <x:c r="D1210" s="31" t="str">
        <x:v>E-0069</x:v>
      </x:c>
      <x:c r="E1210" s="31"/>
    </x:row>
    <x:row r="1211" ht="15" hidden="0" customHeight="1">
      <x:c r="A1211" s="31" t="str">
        <x:v>Anjoman accounting - refined.xlsx</x:v>
      </x:c>
      <x:c r="B1211" s="31" t="str">
        <x:v>اسناد و شواهد</x:v>
      </x:c>
      <x:c r="C1211" s="31" t="str">
        <x:v>B72</x:v>
      </x:c>
      <x:c r="D1211" s="31" t="str">
        <x:v>telegram export\images\section_stories@2x.png</x:v>
      </x:c>
      <x:c r="E1211" s="31"/>
    </x:row>
    <x:row r="1212" ht="15" hidden="0" customHeight="1">
      <x:c r="A1212" s="31" t="str">
        <x:v>Anjoman accounting - refined.xlsx</x:v>
      </x:c>
      <x:c r="B1212" s="31" t="str">
        <x:v>اسناد و شواهد</x:v>
      </x:c>
      <x:c r="C1212" s="31" t="str">
        <x:v>C72</x:v>
      </x:c>
      <x:c r="D1212" s="31" t="str">
        <x:v>png</x:v>
      </x:c>
      <x:c r="E1212" s="31"/>
    </x:row>
    <x:row r="1213" ht="15" hidden="0" customHeight="1">
      <x:c r="A1213" s="31" t="str">
        <x:v>Anjoman accounting - refined.xlsx</x:v>
      </x:c>
      <x:c r="B1213" s="31" t="str">
        <x:v>اسناد و شواهد</x:v>
      </x:c>
      <x:c r="C1213" s="31" t="str">
        <x:v>D72</x:v>
      </x:c>
      <x:c r="D1213" s="31" t="str">
        <x:v>1120</x:v>
      </x:c>
      <x:c r="E1213" s="31"/>
    </x:row>
    <x:row r="1214" ht="15" hidden="0" customHeight="1">
      <x:c r="A1214" s="31" t="str">
        <x:v>Anjoman accounting - refined.xlsx</x:v>
      </x:c>
      <x:c r="B1214" s="31" t="str">
        <x:v>اسناد و شواهد</x:v>
      </x:c>
      <x:c r="C1214" s="31" t="str">
        <x:v>E72</x:v>
      </x:c>
      <x:c r="D1214" s="31" t="str">
        <x:v>6a17c90b58fd18511e4389422189f7ea860a35ce9bb84e0e4be21a2749718aff</x:v>
      </x:c>
      <x:c r="E1214" s="31"/>
    </x:row>
    <x:row r="1215" ht="15" hidden="0" customHeight="1">
      <x:c r="A1215" s="31" t="str">
        <x:v>Anjoman accounting - refined.xlsx</x:v>
      </x:c>
      <x:c r="B1215" s="31" t="str">
        <x:v>اسناد و شواهد</x:v>
      </x:c>
      <x:c r="C1215" s="31" t="str">
        <x:v>A73</x:v>
      </x:c>
      <x:c r="D1215" s="31" t="str">
        <x:v>E-0070</x:v>
      </x:c>
      <x:c r="E1215" s="31"/>
    </x:row>
    <x:row r="1216" ht="15" hidden="0" customHeight="1">
      <x:c r="A1216" s="31" t="str">
        <x:v>Anjoman accounting - refined.xlsx</x:v>
      </x:c>
      <x:c r="B1216" s="31" t="str">
        <x:v>اسناد و شواهد</x:v>
      </x:c>
      <x:c r="C1216" s="31" t="str">
        <x:v>B73</x:v>
      </x:c>
      <x:c r="D1216" s="31" t="str">
        <x:v>telegram export\images\section_web.png</x:v>
      </x:c>
      <x:c r="E1216" s="31"/>
    </x:row>
    <x:row r="1217" ht="15" hidden="0" customHeight="1">
      <x:c r="A1217" s="31" t="str">
        <x:v>Anjoman accounting - refined.xlsx</x:v>
      </x:c>
      <x:c r="B1217" s="31" t="str">
        <x:v>اسناد و شواهد</x:v>
      </x:c>
      <x:c r="C1217" s="31" t="str">
        <x:v>C73</x:v>
      </x:c>
      <x:c r="D1217" s="31" t="str">
        <x:v>png</x:v>
      </x:c>
      <x:c r="E1217" s="31"/>
    </x:row>
    <x:row r="1218" ht="15" hidden="0" customHeight="1">
      <x:c r="A1218" s="31" t="str">
        <x:v>Anjoman accounting - refined.xlsx</x:v>
      </x:c>
      <x:c r="B1218" s="31" t="str">
        <x:v>اسناد و شواهد</x:v>
      </x:c>
      <x:c r="C1218" s="31" t="str">
        <x:v>D73</x:v>
      </x:c>
      <x:c r="D1218" s="31" t="str">
        <x:v>266</x:v>
      </x:c>
      <x:c r="E1218" s="31"/>
    </x:row>
    <x:row r="1219" ht="15" hidden="0" customHeight="1">
      <x:c r="A1219" s="31" t="str">
        <x:v>Anjoman accounting - refined.xlsx</x:v>
      </x:c>
      <x:c r="B1219" s="31" t="str">
        <x:v>اسناد و شواهد</x:v>
      </x:c>
      <x:c r="C1219" s="31" t="str">
        <x:v>E73</x:v>
      </x:c>
      <x:c r="D1219" s="31" t="str">
        <x:v>7216e849566eecc3ba8830ee80b1a0bda9aa21bad1ab65b204e353d63dbdccd6</x:v>
      </x:c>
      <x:c r="E1219" s="31"/>
    </x:row>
    <x:row r="1220" ht="15" hidden="0" customHeight="1">
      <x:c r="A1220" s="31" t="str">
        <x:v>Anjoman accounting - refined.xlsx</x:v>
      </x:c>
      <x:c r="B1220" s="31" t="str">
        <x:v>اسناد و شواهد</x:v>
      </x:c>
      <x:c r="C1220" s="31" t="str">
        <x:v>A74</x:v>
      </x:c>
      <x:c r="D1220" s="31" t="str">
        <x:v>E-0071</x:v>
      </x:c>
      <x:c r="E1220" s="31"/>
    </x:row>
    <x:row r="1221" ht="15" hidden="0" customHeight="1">
      <x:c r="A1221" s="31" t="str">
        <x:v>Anjoman accounting - refined.xlsx</x:v>
      </x:c>
      <x:c r="B1221" s="31" t="str">
        <x:v>اسناد و شواهد</x:v>
      </x:c>
      <x:c r="C1221" s="31" t="str">
        <x:v>B74</x:v>
      </x:c>
      <x:c r="D1221" s="31" t="str">
        <x:v>telegram export\images\section_web@2x.png</x:v>
      </x:c>
      <x:c r="E1221" s="31"/>
    </x:row>
    <x:row r="1222" ht="15" hidden="0" customHeight="1">
      <x:c r="A1222" s="31" t="str">
        <x:v>Anjoman accounting - refined.xlsx</x:v>
      </x:c>
      <x:c r="B1222" s="31" t="str">
        <x:v>اسناد و شواهد</x:v>
      </x:c>
      <x:c r="C1222" s="31" t="str">
        <x:v>C74</x:v>
      </x:c>
      <x:c r="D1222" s="31" t="str">
        <x:v>png</x:v>
      </x:c>
      <x:c r="E1222" s="31"/>
    </x:row>
    <x:row r="1223" ht="15" hidden="0" customHeight="1">
      <x:c r="A1223" s="31" t="str">
        <x:v>Anjoman accounting - refined.xlsx</x:v>
      </x:c>
      <x:c r="B1223" s="31" t="str">
        <x:v>اسناد و شواهد</x:v>
      </x:c>
      <x:c r="C1223" s="31" t="str">
        <x:v>D74</x:v>
      </x:c>
      <x:c r="D1223" s="31" t="str">
        <x:v>447</x:v>
      </x:c>
      <x:c r="E1223" s="31"/>
    </x:row>
    <x:row r="1224" ht="15" hidden="0" customHeight="1">
      <x:c r="A1224" s="31" t="str">
        <x:v>Anjoman accounting - refined.xlsx</x:v>
      </x:c>
      <x:c r="B1224" s="31" t="str">
        <x:v>اسناد و شواهد</x:v>
      </x:c>
      <x:c r="C1224" s="31" t="str">
        <x:v>E74</x:v>
      </x:c>
      <x:c r="D1224" s="31" t="str">
        <x:v>8eb4e4f0952b60ad6305a46d5580ce4767522bc958cd5847eeec626f2d27d6ff</x:v>
      </x:c>
      <x:c r="E1224" s="31"/>
    </x:row>
    <x:row r="1225" ht="15" hidden="0" customHeight="1">
      <x:c r="A1225" s="31" t="str">
        <x:v>Anjoman accounting - refined.xlsx</x:v>
      </x:c>
      <x:c r="B1225" s="31" t="str">
        <x:v>اسناد و شواهد</x:v>
      </x:c>
      <x:c r="C1225" s="31" t="str">
        <x:v>A75</x:v>
      </x:c>
      <x:c r="D1225" s="31" t="str">
        <x:v>E-0072</x:v>
      </x:c>
      <x:c r="E1225" s="31"/>
    </x:row>
    <x:row r="1226" ht="15" hidden="0" customHeight="1">
      <x:c r="A1226" s="31" t="str">
        <x:v>Anjoman accounting - refined.xlsx</x:v>
      </x:c>
      <x:c r="B1226" s="31" t="str">
        <x:v>اسناد و شواهد</x:v>
      </x:c>
      <x:c r="C1226" s="31" t="str">
        <x:v>B75</x:v>
      </x:c>
      <x:c r="D1226" s="31" t="str">
        <x:v>telegram export\js\script.js</x:v>
      </x:c>
      <x:c r="E1226" s="31"/>
    </x:row>
    <x:row r="1227" ht="15" hidden="0" customHeight="1">
      <x:c r="A1227" s="31" t="str">
        <x:v>Anjoman accounting - refined.xlsx</x:v>
      </x:c>
      <x:c r="B1227" s="31" t="str">
        <x:v>اسناد و شواهد</x:v>
      </x:c>
      <x:c r="C1227" s="31" t="str">
        <x:v>C75</x:v>
      </x:c>
      <x:c r="D1227" s="31" t="str">
        <x:v>js</x:v>
      </x:c>
      <x:c r="E1227" s="31"/>
    </x:row>
    <x:row r="1228" ht="15" hidden="0" customHeight="1">
      <x:c r="A1228" s="31" t="str">
        <x:v>Anjoman accounting - refined.xlsx</x:v>
      </x:c>
      <x:c r="B1228" s="31" t="str">
        <x:v>اسناد و شواهد</x:v>
      </x:c>
      <x:c r="C1228" s="31" t="str">
        <x:v>D75</x:v>
      </x:c>
      <x:c r="D1228" s="31" t="str">
        <x:v>7495</x:v>
      </x:c>
      <x:c r="E1228" s="31"/>
    </x:row>
    <x:row r="1229" ht="15" hidden="0" customHeight="1">
      <x:c r="A1229" s="31" t="str">
        <x:v>Anjoman accounting - refined.xlsx</x:v>
      </x:c>
      <x:c r="B1229" s="31" t="str">
        <x:v>اسناد و شواهد</x:v>
      </x:c>
      <x:c r="C1229" s="31" t="str">
        <x:v>E75</x:v>
      </x:c>
      <x:c r="D1229" s="31" t="str">
        <x:v>93beb620191fcb10db4d129446970d710db08d8c2f1883f6282ead49753b1ce4</x:v>
      </x:c>
      <x:c r="E1229" s="31"/>
    </x:row>
    <x:row r="1230" ht="15" hidden="0" customHeight="1">
      <x:c r="A1230" s="31" t="str">
        <x:v>Anjoman accounting - refined.xlsx</x:v>
      </x:c>
      <x:c r="B1230" s="31" t="str">
        <x:v>اسناد و شواهد</x:v>
      </x:c>
      <x:c r="C1230" s="31" t="str">
        <x:v>A76</x:v>
      </x:c>
      <x:c r="D1230" s="31" t="str">
        <x:v>E-0073</x:v>
      </x:c>
      <x:c r="E1230" s="31"/>
    </x:row>
    <x:row r="1231" ht="15" hidden="0" customHeight="1">
      <x:c r="A1231" s="31" t="str">
        <x:v>Anjoman accounting - refined.xlsx</x:v>
      </x:c>
      <x:c r="B1231" s="31" t="str">
        <x:v>اسناد و شواهد</x:v>
      </x:c>
      <x:c r="C1231" s="31" t="str">
        <x:v>B76</x:v>
      </x:c>
      <x:c r="D1231" s="31" t="str">
        <x:v>telegram export\messages.html</x:v>
      </x:c>
      <x:c r="E1231" s="31"/>
    </x:row>
    <x:row r="1232" ht="15" hidden="0" customHeight="1">
      <x:c r="A1232" s="31" t="str">
        <x:v>Anjoman accounting - refined.xlsx</x:v>
      </x:c>
      <x:c r="B1232" s="31" t="str">
        <x:v>اسناد و شواهد</x:v>
      </x:c>
      <x:c r="C1232" s="31" t="str">
        <x:v>C76</x:v>
      </x:c>
      <x:c r="D1232" s="31" t="str">
        <x:v>html</x:v>
      </x:c>
      <x:c r="E1232" s="31"/>
    </x:row>
    <x:row r="1233" ht="15" hidden="0" customHeight="1">
      <x:c r="A1233" s="31" t="str">
        <x:v>Anjoman accounting - refined.xlsx</x:v>
      </x:c>
      <x:c r="B1233" s="31" t="str">
        <x:v>اسناد و شواهد</x:v>
      </x:c>
      <x:c r="C1233" s="31" t="str">
        <x:v>D76</x:v>
      </x:c>
      <x:c r="D1233" s="31" t="str">
        <x:v>116651</x:v>
      </x:c>
      <x:c r="E1233" s="31"/>
    </x:row>
    <x:row r="1234" ht="15" hidden="0" customHeight="1">
      <x:c r="A1234" s="31" t="str">
        <x:v>Anjoman accounting - refined.xlsx</x:v>
      </x:c>
      <x:c r="B1234" s="31" t="str">
        <x:v>اسناد و شواهد</x:v>
      </x:c>
      <x:c r="C1234" s="31" t="str">
        <x:v>E76</x:v>
      </x:c>
      <x:c r="D1234" s="31" t="str">
        <x:v>4ac19a5c1db97672da0893539fa00e862d2f986c2b12a577bfe816891b24e7e4</x:v>
      </x:c>
      <x:c r="E1234" s="31"/>
    </x:row>
    <x:row r="1235" ht="15" hidden="0" customHeight="1">
      <x:c r="A1235" s="31" t="str">
        <x:v>Anjoman accounting - refined.xlsx</x:v>
      </x:c>
      <x:c r="B1235" s="31" t="str">
        <x:v>اسناد و شواهد</x:v>
      </x:c>
      <x:c r="C1235" s="31" t="str">
        <x:v>F76</x:v>
      </x:c>
      <x:c r="D1235" s="31" t="str">
        <x:v>آرشیو HTML تلگرام؛ 188 پیام.</x:v>
      </x:c>
      <x:c r="E1235" s="31"/>
    </x:row>
    <x:row r="1236" ht="15" hidden="0" customHeight="1">
      <x:c r="A1236" s="31" t="str">
        <x:v>Anjoman accounting - refined.xlsx</x:v>
      </x:c>
      <x:c r="B1236" s="31" t="str">
        <x:v>اسناد و شواهد</x:v>
      </x:c>
      <x:c r="C1236" s="31" t="str">
        <x:v>A77</x:v>
      </x:c>
      <x:c r="D1236" s="31" t="str">
        <x:v>E-0074</x:v>
      </x:c>
      <x:c r="E1236" s="31"/>
    </x:row>
    <x:row r="1237" ht="15" hidden="0" customHeight="1">
      <x:c r="A1237" s="31" t="str">
        <x:v>Anjoman accounting - refined.xlsx</x:v>
      </x:c>
      <x:c r="B1237" s="31" t="str">
        <x:v>اسناد و شواهد</x:v>
      </x:c>
      <x:c r="C1237" s="31" t="str">
        <x:v>B77</x:v>
      </x:c>
      <x:c r="D1237" s="31" t="str">
        <x:v>telegram export\photos\photo_10@15-08-2025_18-28-22.jpg</x:v>
      </x:c>
      <x:c r="E1237" s="31"/>
    </x:row>
    <x:row r="1238" ht="15" hidden="0" customHeight="1">
      <x:c r="A1238" s="31" t="str">
        <x:v>Anjoman accounting - refined.xlsx</x:v>
      </x:c>
      <x:c r="B1238" s="31" t="str">
        <x:v>اسناد و شواهد</x:v>
      </x:c>
      <x:c r="C1238" s="31" t="str">
        <x:v>C77</x:v>
      </x:c>
      <x:c r="D1238" s="31" t="str">
        <x:v>jpg</x:v>
      </x:c>
      <x:c r="E1238" s="31"/>
    </x:row>
    <x:row r="1239" ht="15" hidden="0" customHeight="1">
      <x:c r="A1239" s="31" t="str">
        <x:v>Anjoman accounting - refined.xlsx</x:v>
      </x:c>
      <x:c r="B1239" s="31" t="str">
        <x:v>اسناد و شواهد</x:v>
      </x:c>
      <x:c r="C1239" s="31" t="str">
        <x:v>D77</x:v>
      </x:c>
      <x:c r="D1239" s="31" t="str">
        <x:v>74672</x:v>
      </x:c>
      <x:c r="E1239" s="31"/>
    </x:row>
    <x:row r="1240" ht="15" hidden="0" customHeight="1">
      <x:c r="A1240" s="31" t="str">
        <x:v>Anjoman accounting - refined.xlsx</x:v>
      </x:c>
      <x:c r="B1240" s="31" t="str">
        <x:v>اسناد و شواهد</x:v>
      </x:c>
      <x:c r="C1240" s="31" t="str">
        <x:v>E77</x:v>
      </x:c>
      <x:c r="D1240" s="31" t="str">
        <x:v>28455c00bd0229cddc0b8874a8b025fc25700f4e553b6c67bdfc9082b2cad0b7</x:v>
      </x:c>
      <x:c r="E1240" s="31"/>
    </x:row>
    <x:row r="1241" ht="15" hidden="0" customHeight="1">
      <x:c r="A1241" s="31" t="str">
        <x:v>Anjoman accounting - refined.xlsx</x:v>
      </x:c>
      <x:c r="B1241" s="31" t="str">
        <x:v>اسناد و شواهد</x:v>
      </x:c>
      <x:c r="C1241" s="31" t="str">
        <x:v>A78</x:v>
      </x:c>
      <x:c r="D1241" s="31" t="str">
        <x:v>E-0075</x:v>
      </x:c>
      <x:c r="E1241" s="31"/>
    </x:row>
    <x:row r="1242" ht="15" hidden="0" customHeight="1">
      <x:c r="A1242" s="31" t="str">
        <x:v>Anjoman accounting - refined.xlsx</x:v>
      </x:c>
      <x:c r="B1242" s="31" t="str">
        <x:v>اسناد و شواهد</x:v>
      </x:c>
      <x:c r="C1242" s="31" t="str">
        <x:v>B78</x:v>
      </x:c>
      <x:c r="D1242" s="31" t="str">
        <x:v>telegram export\photos\photo_10@15-08-2025_18-28-22_thumb.jpg</x:v>
      </x:c>
      <x:c r="E1242" s="31"/>
    </x:row>
    <x:row r="1243" ht="15" hidden="0" customHeight="1">
      <x:c r="A1243" s="31" t="str">
        <x:v>Anjoman accounting - refined.xlsx</x:v>
      </x:c>
      <x:c r="B1243" s="31" t="str">
        <x:v>اسناد و شواهد</x:v>
      </x:c>
      <x:c r="C1243" s="31" t="str">
        <x:v>C78</x:v>
      </x:c>
      <x:c r="D1243" s="31" t="str">
        <x:v>jpg</x:v>
      </x:c>
      <x:c r="E1243" s="31"/>
    </x:row>
    <x:row r="1244" ht="15" hidden="0" customHeight="1">
      <x:c r="A1244" s="31" t="str">
        <x:v>Anjoman accounting - refined.xlsx</x:v>
      </x:c>
      <x:c r="B1244" s="31" t="str">
        <x:v>اسناد و شواهد</x:v>
      </x:c>
      <x:c r="C1244" s="31" t="str">
        <x:v>D78</x:v>
      </x:c>
      <x:c r="D1244" s="31" t="str">
        <x:v>19340</x:v>
      </x:c>
      <x:c r="E1244" s="31"/>
    </x:row>
    <x:row r="1245" ht="15" hidden="0" customHeight="1">
      <x:c r="A1245" s="31" t="str">
        <x:v>Anjoman accounting - refined.xlsx</x:v>
      </x:c>
      <x:c r="B1245" s="31" t="str">
        <x:v>اسناد و شواهد</x:v>
      </x:c>
      <x:c r="C1245" s="31" t="str">
        <x:v>E78</x:v>
      </x:c>
      <x:c r="D1245" s="31" t="str">
        <x:v>a58bc000f93a895581fe1d589a7b9a591f161334aac4868bebfcb5d07dbae70e</x:v>
      </x:c>
      <x:c r="E1245" s="31"/>
    </x:row>
    <x:row r="1246" ht="15" hidden="0" customHeight="1">
      <x:c r="A1246" s="31" t="str">
        <x:v>Anjoman accounting - refined.xlsx</x:v>
      </x:c>
      <x:c r="B1246" s="31" t="str">
        <x:v>اسناد و شواهد</x:v>
      </x:c>
      <x:c r="C1246" s="31" t="str">
        <x:v>A79</x:v>
      </x:c>
      <x:c r="D1246" s="31" t="str">
        <x:v>E-0076</x:v>
      </x:c>
      <x:c r="E1246" s="31"/>
    </x:row>
    <x:row r="1247" ht="15" hidden="0" customHeight="1">
      <x:c r="A1247" s="31" t="str">
        <x:v>Anjoman accounting - refined.xlsx</x:v>
      </x:c>
      <x:c r="B1247" s="31" t="str">
        <x:v>اسناد و شواهد</x:v>
      </x:c>
      <x:c r="C1247" s="31" t="str">
        <x:v>B79</x:v>
      </x:c>
      <x:c r="D1247" s="31" t="str">
        <x:v>telegram export\photos\photo_11@04-09-2025_14-05-56.jpg</x:v>
      </x:c>
      <x:c r="E1247" s="31"/>
    </x:row>
    <x:row r="1248" ht="15" hidden="0" customHeight="1">
      <x:c r="A1248" s="31" t="str">
        <x:v>Anjoman accounting - refined.xlsx</x:v>
      </x:c>
      <x:c r="B1248" s="31" t="str">
        <x:v>اسناد و شواهد</x:v>
      </x:c>
      <x:c r="C1248" s="31" t="str">
        <x:v>C79</x:v>
      </x:c>
      <x:c r="D1248" s="31" t="str">
        <x:v>jpg</x:v>
      </x:c>
      <x:c r="E1248" s="31"/>
    </x:row>
    <x:row r="1249" ht="15" hidden="0" customHeight="1">
      <x:c r="A1249" s="31" t="str">
        <x:v>Anjoman accounting - refined.xlsx</x:v>
      </x:c>
      <x:c r="B1249" s="31" t="str">
        <x:v>اسناد و شواهد</x:v>
      </x:c>
      <x:c r="C1249" s="31" t="str">
        <x:v>D79</x:v>
      </x:c>
      <x:c r="D1249" s="31" t="str">
        <x:v>56585</x:v>
      </x:c>
      <x:c r="E1249" s="31"/>
    </x:row>
    <x:row r="1250" ht="15" hidden="0" customHeight="1">
      <x:c r="A1250" s="31" t="str">
        <x:v>Anjoman accounting - refined.xlsx</x:v>
      </x:c>
      <x:c r="B1250" s="31" t="str">
        <x:v>اسناد و شواهد</x:v>
      </x:c>
      <x:c r="C1250" s="31" t="str">
        <x:v>E79</x:v>
      </x:c>
      <x:c r="D1250" s="31" t="str">
        <x:v>dba6c9549b471a9a2d016b29b57970c53eedf21a4f80e3a841478cf04784555e</x:v>
      </x:c>
      <x:c r="E1250" s="31"/>
    </x:row>
    <x:row r="1251" ht="15" hidden="0" customHeight="1">
      <x:c r="A1251" s="31" t="str">
        <x:v>Anjoman accounting - refined.xlsx</x:v>
      </x:c>
      <x:c r="B1251" s="31" t="str">
        <x:v>اسناد و شواهد</x:v>
      </x:c>
      <x:c r="C1251" s="31" t="str">
        <x:v>A80</x:v>
      </x:c>
      <x:c r="D1251" s="31" t="str">
        <x:v>E-0077</x:v>
      </x:c>
      <x:c r="E1251" s="31"/>
    </x:row>
    <x:row r="1252" ht="15" hidden="0" customHeight="1">
      <x:c r="A1252" s="31" t="str">
        <x:v>Anjoman accounting - refined.xlsx</x:v>
      </x:c>
      <x:c r="B1252" s="31" t="str">
        <x:v>اسناد و شواهد</x:v>
      </x:c>
      <x:c r="C1252" s="31" t="str">
        <x:v>B80</x:v>
      </x:c>
      <x:c r="D1252" s="31" t="str">
        <x:v>telegram export\photos\photo_11@04-09-2025_14-05-56_thumb.jpg</x:v>
      </x:c>
      <x:c r="E1252" s="31"/>
    </x:row>
    <x:row r="1253" ht="15" hidden="0" customHeight="1">
      <x:c r="A1253" s="31" t="str">
        <x:v>Anjoman accounting - refined.xlsx</x:v>
      </x:c>
      <x:c r="B1253" s="31" t="str">
        <x:v>اسناد و شواهد</x:v>
      </x:c>
      <x:c r="C1253" s="31" t="str">
        <x:v>C80</x:v>
      </x:c>
      <x:c r="D1253" s="31" t="str">
        <x:v>jpg</x:v>
      </x:c>
      <x:c r="E1253" s="31"/>
    </x:row>
    <x:row r="1254" ht="15" hidden="0" customHeight="1">
      <x:c r="A1254" s="31" t="str">
        <x:v>Anjoman accounting - refined.xlsx</x:v>
      </x:c>
      <x:c r="B1254" s="31" t="str">
        <x:v>اسناد و شواهد</x:v>
      </x:c>
      <x:c r="C1254" s="31" t="str">
        <x:v>D80</x:v>
      </x:c>
      <x:c r="D1254" s="31" t="str">
        <x:v>11956</x:v>
      </x:c>
      <x:c r="E1254" s="31"/>
    </x:row>
    <x:row r="1255" ht="15" hidden="0" customHeight="1">
      <x:c r="A1255" s="31" t="str">
        <x:v>Anjoman accounting - refined.xlsx</x:v>
      </x:c>
      <x:c r="B1255" s="31" t="str">
        <x:v>اسناد و شواهد</x:v>
      </x:c>
      <x:c r="C1255" s="31" t="str">
        <x:v>E80</x:v>
      </x:c>
      <x:c r="D1255" s="31" t="str">
        <x:v>9f8106459480bbb120b614b9d92d4f3c0c1627a89706ac860e23d53fa2179cb5</x:v>
      </x:c>
      <x:c r="E1255" s="31"/>
    </x:row>
    <x:row r="1256" ht="15" hidden="0" customHeight="1">
      <x:c r="A1256" s="31" t="str">
        <x:v>Anjoman accounting - refined.xlsx</x:v>
      </x:c>
      <x:c r="B1256" s="31" t="str">
        <x:v>اسناد و شواهد</x:v>
      </x:c>
      <x:c r="C1256" s="31" t="str">
        <x:v>A81</x:v>
      </x:c>
      <x:c r="D1256" s="31" t="str">
        <x:v>E-0078</x:v>
      </x:c>
      <x:c r="E1256" s="31"/>
    </x:row>
    <x:row r="1257" ht="15" hidden="0" customHeight="1">
      <x:c r="A1257" s="31" t="str">
        <x:v>Anjoman accounting - refined.xlsx</x:v>
      </x:c>
      <x:c r="B1257" s="31" t="str">
        <x:v>اسناد و شواهد</x:v>
      </x:c>
      <x:c r="C1257" s="31" t="str">
        <x:v>B81</x:v>
      </x:c>
      <x:c r="D1257" s="31" t="str">
        <x:v>telegram export\photos\photo_12@01-10-2025_18-02-44.jpg</x:v>
      </x:c>
      <x:c r="E1257" s="31"/>
    </x:row>
    <x:row r="1258" ht="15" hidden="0" customHeight="1">
      <x:c r="A1258" s="31" t="str">
        <x:v>Anjoman accounting - refined.xlsx</x:v>
      </x:c>
      <x:c r="B1258" s="31" t="str">
        <x:v>اسناد و شواهد</x:v>
      </x:c>
      <x:c r="C1258" s="31" t="str">
        <x:v>C81</x:v>
      </x:c>
      <x:c r="D1258" s="31" t="str">
        <x:v>jpg</x:v>
      </x:c>
      <x:c r="E1258" s="31"/>
    </x:row>
    <x:row r="1259" ht="15" hidden="0" customHeight="1">
      <x:c r="A1259" s="31" t="str">
        <x:v>Anjoman accounting - refined.xlsx</x:v>
      </x:c>
      <x:c r="B1259" s="31" t="str">
        <x:v>اسناد و شواهد</x:v>
      </x:c>
      <x:c r="C1259" s="31" t="str">
        <x:v>D81</x:v>
      </x:c>
      <x:c r="D1259" s="31" t="str">
        <x:v>48640</x:v>
      </x:c>
      <x:c r="E1259" s="31"/>
    </x:row>
    <x:row r="1260" ht="15" hidden="0" customHeight="1">
      <x:c r="A1260" s="31" t="str">
        <x:v>Anjoman accounting - refined.xlsx</x:v>
      </x:c>
      <x:c r="B1260" s="31" t="str">
        <x:v>اسناد و شواهد</x:v>
      </x:c>
      <x:c r="C1260" s="31" t="str">
        <x:v>E81</x:v>
      </x:c>
      <x:c r="D1260" s="31" t="str">
        <x:v>6295ac27d8bc4463d51132d3a86a8e01dc37946b107ee50d0c77ceffe9470b4c</x:v>
      </x:c>
      <x:c r="E1260" s="31"/>
    </x:row>
    <x:row r="1261" ht="15" hidden="0" customHeight="1">
      <x:c r="A1261" s="31" t="str">
        <x:v>Anjoman accounting - refined.xlsx</x:v>
      </x:c>
      <x:c r="B1261" s="31" t="str">
        <x:v>اسناد و شواهد</x:v>
      </x:c>
      <x:c r="C1261" s="31" t="str">
        <x:v>A82</x:v>
      </x:c>
      <x:c r="D1261" s="31" t="str">
        <x:v>E-0079</x:v>
      </x:c>
      <x:c r="E1261" s="31"/>
    </x:row>
    <x:row r="1262" ht="15" hidden="0" customHeight="1">
      <x:c r="A1262" s="31" t="str">
        <x:v>Anjoman accounting - refined.xlsx</x:v>
      </x:c>
      <x:c r="B1262" s="31" t="str">
        <x:v>اسناد و شواهد</x:v>
      </x:c>
      <x:c r="C1262" s="31" t="str">
        <x:v>B82</x:v>
      </x:c>
      <x:c r="D1262" s="31" t="str">
        <x:v>telegram export\photos\photo_12@01-10-2025_18-02-44_thumb.jpg</x:v>
      </x:c>
      <x:c r="E1262" s="31"/>
    </x:row>
    <x:row r="1263" ht="15" hidden="0" customHeight="1">
      <x:c r="A1263" s="31" t="str">
        <x:v>Anjoman accounting - refined.xlsx</x:v>
      </x:c>
      <x:c r="B1263" s="31" t="str">
        <x:v>اسناد و شواهد</x:v>
      </x:c>
      <x:c r="C1263" s="31" t="str">
        <x:v>C82</x:v>
      </x:c>
      <x:c r="D1263" s="31" t="str">
        <x:v>jpg</x:v>
      </x:c>
      <x:c r="E1263" s="31"/>
    </x:row>
    <x:row r="1264" ht="15" hidden="0" customHeight="1">
      <x:c r="A1264" s="31" t="str">
        <x:v>Anjoman accounting - refined.xlsx</x:v>
      </x:c>
      <x:c r="B1264" s="31" t="str">
        <x:v>اسناد و شواهد</x:v>
      </x:c>
      <x:c r="C1264" s="31" t="str">
        <x:v>D82</x:v>
      </x:c>
      <x:c r="D1264" s="31" t="str">
        <x:v>12829</x:v>
      </x:c>
      <x:c r="E1264" s="31"/>
    </x:row>
    <x:row r="1265" ht="15" hidden="0" customHeight="1">
      <x:c r="A1265" s="31" t="str">
        <x:v>Anjoman accounting - refined.xlsx</x:v>
      </x:c>
      <x:c r="B1265" s="31" t="str">
        <x:v>اسناد و شواهد</x:v>
      </x:c>
      <x:c r="C1265" s="31" t="str">
        <x:v>E82</x:v>
      </x:c>
      <x:c r="D1265" s="31" t="str">
        <x:v>7a3dab5ba89236fe2f1d060e1ff1e30d19943ed70b11df61e58ac0013d5c0848</x:v>
      </x:c>
      <x:c r="E1265" s="31"/>
    </x:row>
    <x:row r="1266" ht="15" hidden="0" customHeight="1">
      <x:c r="A1266" s="31" t="str">
        <x:v>Anjoman accounting - refined.xlsx</x:v>
      </x:c>
      <x:c r="B1266" s="31" t="str">
        <x:v>اسناد و شواهد</x:v>
      </x:c>
      <x:c r="C1266" s="31" t="str">
        <x:v>A83</x:v>
      </x:c>
      <x:c r="D1266" s="31" t="str">
        <x:v>E-0080</x:v>
      </x:c>
      <x:c r="E1266" s="31"/>
    </x:row>
    <x:row r="1267" ht="15" hidden="0" customHeight="1">
      <x:c r="A1267" s="31" t="str">
        <x:v>Anjoman accounting - refined.xlsx</x:v>
      </x:c>
      <x:c r="B1267" s="31" t="str">
        <x:v>اسناد و شواهد</x:v>
      </x:c>
      <x:c r="C1267" s="31" t="str">
        <x:v>B83</x:v>
      </x:c>
      <x:c r="D1267" s="31" t="str">
        <x:v>telegram export\photos\photo_13@12-10-2025_10-24-38.jpg</x:v>
      </x:c>
      <x:c r="E1267" s="31"/>
    </x:row>
    <x:row r="1268" ht="15" hidden="0" customHeight="1">
      <x:c r="A1268" s="31" t="str">
        <x:v>Anjoman accounting - refined.xlsx</x:v>
      </x:c>
      <x:c r="B1268" s="31" t="str">
        <x:v>اسناد و شواهد</x:v>
      </x:c>
      <x:c r="C1268" s="31" t="str">
        <x:v>C83</x:v>
      </x:c>
      <x:c r="D1268" s="31" t="str">
        <x:v>jpg</x:v>
      </x:c>
      <x:c r="E1268" s="31"/>
    </x:row>
    <x:row r="1269" ht="15" hidden="0" customHeight="1">
      <x:c r="A1269" s="31" t="str">
        <x:v>Anjoman accounting - refined.xlsx</x:v>
      </x:c>
      <x:c r="B1269" s="31" t="str">
        <x:v>اسناد و شواهد</x:v>
      </x:c>
      <x:c r="C1269" s="31" t="str">
        <x:v>D83</x:v>
      </x:c>
      <x:c r="D1269" s="31" t="str">
        <x:v>66592</x:v>
      </x:c>
      <x:c r="E1269" s="31"/>
    </x:row>
    <x:row r="1270" ht="15" hidden="0" customHeight="1">
      <x:c r="A1270" s="31" t="str">
        <x:v>Anjoman accounting - refined.xlsx</x:v>
      </x:c>
      <x:c r="B1270" s="31" t="str">
        <x:v>اسناد و شواهد</x:v>
      </x:c>
      <x:c r="C1270" s="31" t="str">
        <x:v>E83</x:v>
      </x:c>
      <x:c r="D1270" s="31" t="str">
        <x:v>6d79bcdee6b1e2fb274811a327e44deb472e519ef16ca2cb2633fddb9da7e083</x:v>
      </x:c>
      <x:c r="E1270" s="31"/>
    </x:row>
    <x:row r="1271" ht="15" hidden="0" customHeight="1">
      <x:c r="A1271" s="31" t="str">
        <x:v>Anjoman accounting - refined.xlsx</x:v>
      </x:c>
      <x:c r="B1271" s="31" t="str">
        <x:v>اسناد و شواهد</x:v>
      </x:c>
      <x:c r="C1271" s="31" t="str">
        <x:v>A84</x:v>
      </x:c>
      <x:c r="D1271" s="31" t="str">
        <x:v>E-0081</x:v>
      </x:c>
      <x:c r="E1271" s="31"/>
    </x:row>
    <x:row r="1272" ht="15" hidden="0" customHeight="1">
      <x:c r="A1272" s="31" t="str">
        <x:v>Anjoman accounting - refined.xlsx</x:v>
      </x:c>
      <x:c r="B1272" s="31" t="str">
        <x:v>اسناد و شواهد</x:v>
      </x:c>
      <x:c r="C1272" s="31" t="str">
        <x:v>B84</x:v>
      </x:c>
      <x:c r="D1272" s="31" t="str">
        <x:v>telegram export\photos\photo_13@12-10-2025_10-24-38_thumb.jpg</x:v>
      </x:c>
      <x:c r="E1272" s="31"/>
    </x:row>
    <x:row r="1273" ht="15" hidden="0" customHeight="1">
      <x:c r="A1273" s="31" t="str">
        <x:v>Anjoman accounting - refined.xlsx</x:v>
      </x:c>
      <x:c r="B1273" s="31" t="str">
        <x:v>اسناد و شواهد</x:v>
      </x:c>
      <x:c r="C1273" s="31" t="str">
        <x:v>C84</x:v>
      </x:c>
      <x:c r="D1273" s="31" t="str">
        <x:v>jpg</x:v>
      </x:c>
      <x:c r="E1273" s="31"/>
    </x:row>
    <x:row r="1274" ht="15" hidden="0" customHeight="1">
      <x:c r="A1274" s="31" t="str">
        <x:v>Anjoman accounting - refined.xlsx</x:v>
      </x:c>
      <x:c r="B1274" s="31" t="str">
        <x:v>اسناد و شواهد</x:v>
      </x:c>
      <x:c r="C1274" s="31" t="str">
        <x:v>D84</x:v>
      </x:c>
      <x:c r="D1274" s="31" t="str">
        <x:v>16419</x:v>
      </x:c>
      <x:c r="E1274" s="31"/>
    </x:row>
    <x:row r="1275" ht="15" hidden="0" customHeight="1">
      <x:c r="A1275" s="31" t="str">
        <x:v>Anjoman accounting - refined.xlsx</x:v>
      </x:c>
      <x:c r="B1275" s="31" t="str">
        <x:v>اسناد و شواهد</x:v>
      </x:c>
      <x:c r="C1275" s="31" t="str">
        <x:v>E84</x:v>
      </x:c>
      <x:c r="D1275" s="31" t="str">
        <x:v>ca78629b1c33be06e039ea82af1ee7c3c83c93d8b32bb6d934df0e15ecd6bf96</x:v>
      </x:c>
      <x:c r="E1275" s="31"/>
    </x:row>
    <x:row r="1276" ht="15" hidden="0" customHeight="1">
      <x:c r="A1276" s="31" t="str">
        <x:v>Anjoman accounting - refined.xlsx</x:v>
      </x:c>
      <x:c r="B1276" s="31" t="str">
        <x:v>اسناد و شواهد</x:v>
      </x:c>
      <x:c r="C1276" s="31" t="str">
        <x:v>A85</x:v>
      </x:c>
      <x:c r="D1276" s="31" t="str">
        <x:v>E-0082</x:v>
      </x:c>
      <x:c r="E1276" s="31"/>
    </x:row>
    <x:row r="1277" ht="15" hidden="0" customHeight="1">
      <x:c r="A1277" s="31" t="str">
        <x:v>Anjoman accounting - refined.xlsx</x:v>
      </x:c>
      <x:c r="B1277" s="31" t="str">
        <x:v>اسناد و شواهد</x:v>
      </x:c>
      <x:c r="C1277" s="31" t="str">
        <x:v>B85</x:v>
      </x:c>
      <x:c r="D1277" s="31" t="str">
        <x:v>telegram export\photos\photo_14@15-10-2025_14-18-25.jpg</x:v>
      </x:c>
      <x:c r="E1277" s="31"/>
    </x:row>
    <x:row r="1278" ht="15" hidden="0" customHeight="1">
      <x:c r="A1278" s="31" t="str">
        <x:v>Anjoman accounting - refined.xlsx</x:v>
      </x:c>
      <x:c r="B1278" s="31" t="str">
        <x:v>اسناد و شواهد</x:v>
      </x:c>
      <x:c r="C1278" s="31" t="str">
        <x:v>C85</x:v>
      </x:c>
      <x:c r="D1278" s="31" t="str">
        <x:v>jpg</x:v>
      </x:c>
      <x:c r="E1278" s="31"/>
    </x:row>
    <x:row r="1279" ht="15" hidden="0" customHeight="1">
      <x:c r="A1279" s="31" t="str">
        <x:v>Anjoman accounting - refined.xlsx</x:v>
      </x:c>
      <x:c r="B1279" s="31" t="str">
        <x:v>اسناد و شواهد</x:v>
      </x:c>
      <x:c r="C1279" s="31" t="str">
        <x:v>D85</x:v>
      </x:c>
      <x:c r="D1279" s="31" t="str">
        <x:v>69226</x:v>
      </x:c>
      <x:c r="E1279" s="31"/>
    </x:row>
    <x:row r="1280" ht="15" hidden="0" customHeight="1">
      <x:c r="A1280" s="31" t="str">
        <x:v>Anjoman accounting - refined.xlsx</x:v>
      </x:c>
      <x:c r="B1280" s="31" t="str">
        <x:v>اسناد و شواهد</x:v>
      </x:c>
      <x:c r="C1280" s="31" t="str">
        <x:v>E85</x:v>
      </x:c>
      <x:c r="D1280" s="31" t="str">
        <x:v>b214b33a77c58bb0428ba09719496e21696b82ae4055292c9711694e4e16fd3b</x:v>
      </x:c>
      <x:c r="E1280" s="31"/>
    </x:row>
    <x:row r="1281" ht="15" hidden="0" customHeight="1">
      <x:c r="A1281" s="31" t="str">
        <x:v>Anjoman accounting - refined.xlsx</x:v>
      </x:c>
      <x:c r="B1281" s="31" t="str">
        <x:v>اسناد و شواهد</x:v>
      </x:c>
      <x:c r="C1281" s="31" t="str">
        <x:v>A86</x:v>
      </x:c>
      <x:c r="D1281" s="31" t="str">
        <x:v>E-0083</x:v>
      </x:c>
      <x:c r="E1281" s="31"/>
    </x:row>
    <x:row r="1282" ht="15" hidden="0" customHeight="1">
      <x:c r="A1282" s="31" t="str">
        <x:v>Anjoman accounting - refined.xlsx</x:v>
      </x:c>
      <x:c r="B1282" s="31" t="str">
        <x:v>اسناد و شواهد</x:v>
      </x:c>
      <x:c r="C1282" s="31" t="str">
        <x:v>B86</x:v>
      </x:c>
      <x:c r="D1282" s="31" t="str">
        <x:v>telegram export\photos\photo_14@15-10-2025_14-18-25_thumb.jpg</x:v>
      </x:c>
      <x:c r="E1282" s="31"/>
    </x:row>
    <x:row r="1283" ht="15" hidden="0" customHeight="1">
      <x:c r="A1283" s="31" t="str">
        <x:v>Anjoman accounting - refined.xlsx</x:v>
      </x:c>
      <x:c r="B1283" s="31" t="str">
        <x:v>اسناد و شواهد</x:v>
      </x:c>
      <x:c r="C1283" s="31" t="str">
        <x:v>C86</x:v>
      </x:c>
      <x:c r="D1283" s="31" t="str">
        <x:v>jpg</x:v>
      </x:c>
      <x:c r="E1283" s="31"/>
    </x:row>
    <x:row r="1284" ht="15" hidden="0" customHeight="1">
      <x:c r="A1284" s="31" t="str">
        <x:v>Anjoman accounting - refined.xlsx</x:v>
      </x:c>
      <x:c r="B1284" s="31" t="str">
        <x:v>اسناد و شواهد</x:v>
      </x:c>
      <x:c r="C1284" s="31" t="str">
        <x:v>D86</x:v>
      </x:c>
      <x:c r="D1284" s="31" t="str">
        <x:v>16784</x:v>
      </x:c>
      <x:c r="E1284" s="31"/>
    </x:row>
    <x:row r="1285" ht="15" hidden="0" customHeight="1">
      <x:c r="A1285" s="31" t="str">
        <x:v>Anjoman accounting - refined.xlsx</x:v>
      </x:c>
      <x:c r="B1285" s="31" t="str">
        <x:v>اسناد و شواهد</x:v>
      </x:c>
      <x:c r="C1285" s="31" t="str">
        <x:v>E86</x:v>
      </x:c>
      <x:c r="D1285" s="31" t="str">
        <x:v>3de324a0cbce4cd86687c8ce373a2a362b257aedc756937245498853e088c631</x:v>
      </x:c>
      <x:c r="E1285" s="31"/>
    </x:row>
    <x:row r="1286" ht="15" hidden="0" customHeight="1">
      <x:c r="A1286" s="31" t="str">
        <x:v>Anjoman accounting - refined.xlsx</x:v>
      </x:c>
      <x:c r="B1286" s="31" t="str">
        <x:v>اسناد و شواهد</x:v>
      </x:c>
      <x:c r="C1286" s="31" t="str">
        <x:v>A87</x:v>
      </x:c>
      <x:c r="D1286" s="31" t="str">
        <x:v>E-0084</x:v>
      </x:c>
      <x:c r="E1286" s="31"/>
    </x:row>
    <x:row r="1287" ht="15" hidden="0" customHeight="1">
      <x:c r="A1287" s="31" t="str">
        <x:v>Anjoman accounting - refined.xlsx</x:v>
      </x:c>
      <x:c r="B1287" s="31" t="str">
        <x:v>اسناد و شواهد</x:v>
      </x:c>
      <x:c r="C1287" s="31" t="str">
        <x:v>B87</x:v>
      </x:c>
      <x:c r="D1287" s="31" t="str">
        <x:v>telegram export\photos\photo_15@15-10-2025_14-18-25.jpg</x:v>
      </x:c>
      <x:c r="E1287" s="31"/>
    </x:row>
    <x:row r="1288" ht="15" hidden="0" customHeight="1">
      <x:c r="A1288" s="31" t="str">
        <x:v>Anjoman accounting - refined.xlsx</x:v>
      </x:c>
      <x:c r="B1288" s="31" t="str">
        <x:v>اسناد و شواهد</x:v>
      </x:c>
      <x:c r="C1288" s="31" t="str">
        <x:v>C87</x:v>
      </x:c>
      <x:c r="D1288" s="31" t="str">
        <x:v>jpg</x:v>
      </x:c>
      <x:c r="E1288" s="31"/>
    </x:row>
    <x:row r="1289" ht="15" hidden="0" customHeight="1">
      <x:c r="A1289" s="31" t="str">
        <x:v>Anjoman accounting - refined.xlsx</x:v>
      </x:c>
      <x:c r="B1289" s="31" t="str">
        <x:v>اسناد و شواهد</x:v>
      </x:c>
      <x:c r="C1289" s="31" t="str">
        <x:v>D87</x:v>
      </x:c>
      <x:c r="D1289" s="31" t="str">
        <x:v>64998</x:v>
      </x:c>
      <x:c r="E1289" s="31"/>
    </x:row>
    <x:row r="1290" ht="15" hidden="0" customHeight="1">
      <x:c r="A1290" s="31" t="str">
        <x:v>Anjoman accounting - refined.xlsx</x:v>
      </x:c>
      <x:c r="B1290" s="31" t="str">
        <x:v>اسناد و شواهد</x:v>
      </x:c>
      <x:c r="C1290" s="31" t="str">
        <x:v>E87</x:v>
      </x:c>
      <x:c r="D1290" s="31" t="str">
        <x:v>f31ffa6bdd2395d18e073911daffc69b21952eaef6f5b1d6bcf7beacb8193f96</x:v>
      </x:c>
      <x:c r="E1290" s="31"/>
    </x:row>
    <x:row r="1291" ht="15" hidden="0" customHeight="1">
      <x:c r="A1291" s="31" t="str">
        <x:v>Anjoman accounting - refined.xlsx</x:v>
      </x:c>
      <x:c r="B1291" s="31" t="str">
        <x:v>اسناد و شواهد</x:v>
      </x:c>
      <x:c r="C1291" s="31" t="str">
        <x:v>A88</x:v>
      </x:c>
      <x:c r="D1291" s="31" t="str">
        <x:v>E-0085</x:v>
      </x:c>
      <x:c r="E1291" s="31"/>
    </x:row>
    <x:row r="1292" ht="15" hidden="0" customHeight="1">
      <x:c r="A1292" s="31" t="str">
        <x:v>Anjoman accounting - refined.xlsx</x:v>
      </x:c>
      <x:c r="B1292" s="31" t="str">
        <x:v>اسناد و شواهد</x:v>
      </x:c>
      <x:c r="C1292" s="31" t="str">
        <x:v>B88</x:v>
      </x:c>
      <x:c r="D1292" s="31" t="str">
        <x:v>telegram export\photos\photo_15@15-10-2025_14-18-25_thumb.jpg</x:v>
      </x:c>
      <x:c r="E1292" s="31"/>
    </x:row>
    <x:row r="1293" ht="15" hidden="0" customHeight="1">
      <x:c r="A1293" s="31" t="str">
        <x:v>Anjoman accounting - refined.xlsx</x:v>
      </x:c>
      <x:c r="B1293" s="31" t="str">
        <x:v>اسناد و شواهد</x:v>
      </x:c>
      <x:c r="C1293" s="31" t="str">
        <x:v>C88</x:v>
      </x:c>
      <x:c r="D1293" s="31" t="str">
        <x:v>jpg</x:v>
      </x:c>
      <x:c r="E1293" s="31"/>
    </x:row>
    <x:row r="1294" ht="15" hidden="0" customHeight="1">
      <x:c r="A1294" s="31" t="str">
        <x:v>Anjoman accounting - refined.xlsx</x:v>
      </x:c>
      <x:c r="B1294" s="31" t="str">
        <x:v>اسناد و شواهد</x:v>
      </x:c>
      <x:c r="C1294" s="31" t="str">
        <x:v>D88</x:v>
      </x:c>
      <x:c r="D1294" s="31" t="str">
        <x:v>15789</x:v>
      </x:c>
      <x:c r="E1294" s="31"/>
    </x:row>
    <x:row r="1295" ht="15" hidden="0" customHeight="1">
      <x:c r="A1295" s="31" t="str">
        <x:v>Anjoman accounting - refined.xlsx</x:v>
      </x:c>
      <x:c r="B1295" s="31" t="str">
        <x:v>اسناد و شواهد</x:v>
      </x:c>
      <x:c r="C1295" s="31" t="str">
        <x:v>E88</x:v>
      </x:c>
      <x:c r="D1295" s="31" t="str">
        <x:v>84fb83569f92c36bf2e3c51ac122373c4e7a8a5d504aea145cb17e75890c355f</x:v>
      </x:c>
      <x:c r="E1295" s="31"/>
    </x:row>
    <x:row r="1296" ht="15" hidden="0" customHeight="1">
      <x:c r="A1296" s="31" t="str">
        <x:v>Anjoman accounting - refined.xlsx</x:v>
      </x:c>
      <x:c r="B1296" s="31" t="str">
        <x:v>اسناد و شواهد</x:v>
      </x:c>
      <x:c r="C1296" s="31" t="str">
        <x:v>A89</x:v>
      </x:c>
      <x:c r="D1296" s="31" t="str">
        <x:v>E-0086</x:v>
      </x:c>
      <x:c r="E1296" s="31"/>
    </x:row>
    <x:row r="1297" ht="15" hidden="0" customHeight="1">
      <x:c r="A1297" s="31" t="str">
        <x:v>Anjoman accounting - refined.xlsx</x:v>
      </x:c>
      <x:c r="B1297" s="31" t="str">
        <x:v>اسناد و شواهد</x:v>
      </x:c>
      <x:c r="C1297" s="31" t="str">
        <x:v>B89</x:v>
      </x:c>
      <x:c r="D1297" s="31" t="str">
        <x:v>telegram export\photos\photo_16@15-10-2025_14-18-26.jpg</x:v>
      </x:c>
      <x:c r="E1297" s="31"/>
    </x:row>
    <x:row r="1298" ht="15" hidden="0" customHeight="1">
      <x:c r="A1298" s="31" t="str">
        <x:v>Anjoman accounting - refined.xlsx</x:v>
      </x:c>
      <x:c r="B1298" s="31" t="str">
        <x:v>اسناد و شواهد</x:v>
      </x:c>
      <x:c r="C1298" s="31" t="str">
        <x:v>C89</x:v>
      </x:c>
      <x:c r="D1298" s="31" t="str">
        <x:v>jpg</x:v>
      </x:c>
      <x:c r="E1298" s="31"/>
    </x:row>
    <x:row r="1299" ht="15" hidden="0" customHeight="1">
      <x:c r="A1299" s="31" t="str">
        <x:v>Anjoman accounting - refined.xlsx</x:v>
      </x:c>
      <x:c r="B1299" s="31" t="str">
        <x:v>اسناد و شواهد</x:v>
      </x:c>
      <x:c r="C1299" s="31" t="str">
        <x:v>D89</x:v>
      </x:c>
      <x:c r="D1299" s="31" t="str">
        <x:v>68536</x:v>
      </x:c>
      <x:c r="E1299" s="31"/>
    </x:row>
    <x:row r="1300" ht="15" hidden="0" customHeight="1">
      <x:c r="A1300" s="31" t="str">
        <x:v>Anjoman accounting - refined.xlsx</x:v>
      </x:c>
      <x:c r="B1300" s="31" t="str">
        <x:v>اسناد و شواهد</x:v>
      </x:c>
      <x:c r="C1300" s="31" t="str">
        <x:v>E89</x:v>
      </x:c>
      <x:c r="D1300" s="31" t="str">
        <x:v>28db8e201da1e5584cadcf90b8a007d7293f769983b96c5cee2f7e2e3fd3fa83</x:v>
      </x:c>
      <x:c r="E1300" s="31"/>
    </x:row>
    <x:row r="1301" ht="15" hidden="0" customHeight="1">
      <x:c r="A1301" s="31" t="str">
        <x:v>Anjoman accounting - refined.xlsx</x:v>
      </x:c>
      <x:c r="B1301" s="31" t="str">
        <x:v>اسناد و شواهد</x:v>
      </x:c>
      <x:c r="C1301" s="31" t="str">
        <x:v>A90</x:v>
      </x:c>
      <x:c r="D1301" s="31" t="str">
        <x:v>E-0087</x:v>
      </x:c>
      <x:c r="E1301" s="31"/>
    </x:row>
    <x:row r="1302" ht="15" hidden="0" customHeight="1">
      <x:c r="A1302" s="31" t="str">
        <x:v>Anjoman accounting - refined.xlsx</x:v>
      </x:c>
      <x:c r="B1302" s="31" t="str">
        <x:v>اسناد و شواهد</x:v>
      </x:c>
      <x:c r="C1302" s="31" t="str">
        <x:v>B90</x:v>
      </x:c>
      <x:c r="D1302" s="31" t="str">
        <x:v>telegram export\photos\photo_16@15-10-2025_14-18-26_thumb.jpg</x:v>
      </x:c>
      <x:c r="E1302" s="31"/>
    </x:row>
    <x:row r="1303" ht="15" hidden="0" customHeight="1">
      <x:c r="A1303" s="31" t="str">
        <x:v>Anjoman accounting - refined.xlsx</x:v>
      </x:c>
      <x:c r="B1303" s="31" t="str">
        <x:v>اسناد و شواهد</x:v>
      </x:c>
      <x:c r="C1303" s="31" t="str">
        <x:v>C90</x:v>
      </x:c>
      <x:c r="D1303" s="31" t="str">
        <x:v>jpg</x:v>
      </x:c>
      <x:c r="E1303" s="31"/>
    </x:row>
    <x:row r="1304" ht="15" hidden="0" customHeight="1">
      <x:c r="A1304" s="31" t="str">
        <x:v>Anjoman accounting - refined.xlsx</x:v>
      </x:c>
      <x:c r="B1304" s="31" t="str">
        <x:v>اسناد و شواهد</x:v>
      </x:c>
      <x:c r="C1304" s="31" t="str">
        <x:v>D90</x:v>
      </x:c>
      <x:c r="D1304" s="31" t="str">
        <x:v>16693</x:v>
      </x:c>
      <x:c r="E1304" s="31"/>
    </x:row>
    <x:row r="1305" ht="15" hidden="0" customHeight="1">
      <x:c r="A1305" s="31" t="str">
        <x:v>Anjoman accounting - refined.xlsx</x:v>
      </x:c>
      <x:c r="B1305" s="31" t="str">
        <x:v>اسناد و شواهد</x:v>
      </x:c>
      <x:c r="C1305" s="31" t="str">
        <x:v>E90</x:v>
      </x:c>
      <x:c r="D1305" s="31" t="str">
        <x:v>c7bd027fc6bd99deb502d1822fd56939c697dda1833cfd10a129ee0bd2105649</x:v>
      </x:c>
      <x:c r="E1305" s="31"/>
    </x:row>
    <x:row r="1306" ht="15" hidden="0" customHeight="1">
      <x:c r="A1306" s="31" t="str">
        <x:v>Anjoman accounting - refined.xlsx</x:v>
      </x:c>
      <x:c r="B1306" s="31" t="str">
        <x:v>اسناد و شواهد</x:v>
      </x:c>
      <x:c r="C1306" s="31" t="str">
        <x:v>A91</x:v>
      </x:c>
      <x:c r="D1306" s="31" t="str">
        <x:v>E-0088</x:v>
      </x:c>
      <x:c r="E1306" s="31"/>
    </x:row>
    <x:row r="1307" ht="15" hidden="0" customHeight="1">
      <x:c r="A1307" s="31" t="str">
        <x:v>Anjoman accounting - refined.xlsx</x:v>
      </x:c>
      <x:c r="B1307" s="31" t="str">
        <x:v>اسناد و شواهد</x:v>
      </x:c>
      <x:c r="C1307" s="31" t="str">
        <x:v>B91</x:v>
      </x:c>
      <x:c r="D1307" s="31" t="str">
        <x:v>telegram export\photos\photo_17@15-10-2025_14-18-26.jpg</x:v>
      </x:c>
      <x:c r="E1307" s="31"/>
    </x:row>
    <x:row r="1308" ht="15" hidden="0" customHeight="1">
      <x:c r="A1308" s="31" t="str">
        <x:v>Anjoman accounting - refined.xlsx</x:v>
      </x:c>
      <x:c r="B1308" s="31" t="str">
        <x:v>اسناد و شواهد</x:v>
      </x:c>
      <x:c r="C1308" s="31" t="str">
        <x:v>C91</x:v>
      </x:c>
      <x:c r="D1308" s="31" t="str">
        <x:v>jpg</x:v>
      </x:c>
      <x:c r="E1308" s="31"/>
    </x:row>
    <x:row r="1309" ht="15" hidden="0" customHeight="1">
      <x:c r="A1309" s="31" t="str">
        <x:v>Anjoman accounting - refined.xlsx</x:v>
      </x:c>
      <x:c r="B1309" s="31" t="str">
        <x:v>اسناد و شواهد</x:v>
      </x:c>
      <x:c r="C1309" s="31" t="str">
        <x:v>D91</x:v>
      </x:c>
      <x:c r="D1309" s="31" t="str">
        <x:v>68859</x:v>
      </x:c>
      <x:c r="E1309" s="31"/>
    </x:row>
    <x:row r="1310" ht="15" hidden="0" customHeight="1">
      <x:c r="A1310" s="31" t="str">
        <x:v>Anjoman accounting - refined.xlsx</x:v>
      </x:c>
      <x:c r="B1310" s="31" t="str">
        <x:v>اسناد و شواهد</x:v>
      </x:c>
      <x:c r="C1310" s="31" t="str">
        <x:v>E91</x:v>
      </x:c>
      <x:c r="D1310" s="31" t="str">
        <x:v>ed8841b0f4a343d505b7aecc8f250fbe6f41fbcf2dcf64ca77e75a72fcf51b2b</x:v>
      </x:c>
      <x:c r="E1310" s="31"/>
    </x:row>
    <x:row r="1311" ht="15" hidden="0" customHeight="1">
      <x:c r="A1311" s="31" t="str">
        <x:v>Anjoman accounting - refined.xlsx</x:v>
      </x:c>
      <x:c r="B1311" s="31" t="str">
        <x:v>اسناد و شواهد</x:v>
      </x:c>
      <x:c r="C1311" s="31" t="str">
        <x:v>A92</x:v>
      </x:c>
      <x:c r="D1311" s="31" t="str">
        <x:v>E-0089</x:v>
      </x:c>
      <x:c r="E1311" s="31"/>
    </x:row>
    <x:row r="1312" ht="15" hidden="0" customHeight="1">
      <x:c r="A1312" s="31" t="str">
        <x:v>Anjoman accounting - refined.xlsx</x:v>
      </x:c>
      <x:c r="B1312" s="31" t="str">
        <x:v>اسناد و شواهد</x:v>
      </x:c>
      <x:c r="C1312" s="31" t="str">
        <x:v>B92</x:v>
      </x:c>
      <x:c r="D1312" s="31" t="str">
        <x:v>telegram export\photos\photo_17@15-10-2025_14-18-26_thumb.jpg</x:v>
      </x:c>
      <x:c r="E1312" s="31"/>
    </x:row>
    <x:row r="1313" ht="15" hidden="0" customHeight="1">
      <x:c r="A1313" s="31" t="str">
        <x:v>Anjoman accounting - refined.xlsx</x:v>
      </x:c>
      <x:c r="B1313" s="31" t="str">
        <x:v>اسناد و شواهد</x:v>
      </x:c>
      <x:c r="C1313" s="31" t="str">
        <x:v>C92</x:v>
      </x:c>
      <x:c r="D1313" s="31" t="str">
        <x:v>jpg</x:v>
      </x:c>
      <x:c r="E1313" s="31"/>
    </x:row>
    <x:row r="1314" ht="15" hidden="0" customHeight="1">
      <x:c r="A1314" s="31" t="str">
        <x:v>Anjoman accounting - refined.xlsx</x:v>
      </x:c>
      <x:c r="B1314" s="31" t="str">
        <x:v>اسناد و شواهد</x:v>
      </x:c>
      <x:c r="C1314" s="31" t="str">
        <x:v>D92</x:v>
      </x:c>
      <x:c r="D1314" s="31" t="str">
        <x:v>16713</x:v>
      </x:c>
      <x:c r="E1314" s="31"/>
    </x:row>
    <x:row r="1315" ht="15" hidden="0" customHeight="1">
      <x:c r="A1315" s="31" t="str">
        <x:v>Anjoman accounting - refined.xlsx</x:v>
      </x:c>
      <x:c r="B1315" s="31" t="str">
        <x:v>اسناد و شواهد</x:v>
      </x:c>
      <x:c r="C1315" s="31" t="str">
        <x:v>E92</x:v>
      </x:c>
      <x:c r="D1315" s="31" t="str">
        <x:v>af6afb8ea0aded3da55da30c939ceaea95050ffdb0cfdbb8f68bf9d88193eec4</x:v>
      </x:c>
      <x:c r="E1315" s="31"/>
    </x:row>
    <x:row r="1316" ht="15" hidden="0" customHeight="1">
      <x:c r="A1316" s="31" t="str">
        <x:v>Anjoman accounting - refined.xlsx</x:v>
      </x:c>
      <x:c r="B1316" s="31" t="str">
        <x:v>اسناد و شواهد</x:v>
      </x:c>
      <x:c r="C1316" s="31" t="str">
        <x:v>A93</x:v>
      </x:c>
      <x:c r="D1316" s="31" t="str">
        <x:v>E-0090</x:v>
      </x:c>
      <x:c r="E1316" s="31"/>
    </x:row>
    <x:row r="1317" ht="15" hidden="0" customHeight="1">
      <x:c r="A1317" s="31" t="str">
        <x:v>Anjoman accounting - refined.xlsx</x:v>
      </x:c>
      <x:c r="B1317" s="31" t="str">
        <x:v>اسناد و شواهد</x:v>
      </x:c>
      <x:c r="C1317" s="31" t="str">
        <x:v>B93</x:v>
      </x:c>
      <x:c r="D1317" s="31" t="str">
        <x:v>telegram export\photos\photo_18@28-10-2025_01-53-01.jpg</x:v>
      </x:c>
      <x:c r="E1317" s="31"/>
    </x:row>
    <x:row r="1318" ht="15" hidden="0" customHeight="1">
      <x:c r="A1318" s="31" t="str">
        <x:v>Anjoman accounting - refined.xlsx</x:v>
      </x:c>
      <x:c r="B1318" s="31" t="str">
        <x:v>اسناد و شواهد</x:v>
      </x:c>
      <x:c r="C1318" s="31" t="str">
        <x:v>C93</x:v>
      </x:c>
      <x:c r="D1318" s="31" t="str">
        <x:v>jpg</x:v>
      </x:c>
      <x:c r="E1318" s="31"/>
    </x:row>
    <x:row r="1319" ht="15" hidden="0" customHeight="1">
      <x:c r="A1319" s="31" t="str">
        <x:v>Anjoman accounting - refined.xlsx</x:v>
      </x:c>
      <x:c r="B1319" s="31" t="str">
        <x:v>اسناد و شواهد</x:v>
      </x:c>
      <x:c r="C1319" s="31" t="str">
        <x:v>D93</x:v>
      </x:c>
      <x:c r="D1319" s="31" t="str">
        <x:v>69491</x:v>
      </x:c>
      <x:c r="E1319" s="31"/>
    </x:row>
    <x:row r="1320" ht="15" hidden="0" customHeight="1">
      <x:c r="A1320" s="31" t="str">
        <x:v>Anjoman accounting - refined.xlsx</x:v>
      </x:c>
      <x:c r="B1320" s="31" t="str">
        <x:v>اسناد و شواهد</x:v>
      </x:c>
      <x:c r="C1320" s="31" t="str">
        <x:v>E93</x:v>
      </x:c>
      <x:c r="D1320" s="31" t="str">
        <x:v>52872081d1c4fc01e8f48c9cae4df8a96c78c269d03384ab89a398a382fda9e2</x:v>
      </x:c>
      <x:c r="E1320" s="31"/>
    </x:row>
    <x:row r="1321" ht="15" hidden="0" customHeight="1">
      <x:c r="A1321" s="31" t="str">
        <x:v>Anjoman accounting - refined.xlsx</x:v>
      </x:c>
      <x:c r="B1321" s="31" t="str">
        <x:v>اسناد و شواهد</x:v>
      </x:c>
      <x:c r="C1321" s="31" t="str">
        <x:v>A94</x:v>
      </x:c>
      <x:c r="D1321" s="31" t="str">
        <x:v>E-0091</x:v>
      </x:c>
      <x:c r="E1321" s="31"/>
    </x:row>
    <x:row r="1322" ht="15" hidden="0" customHeight="1">
      <x:c r="A1322" s="31" t="str">
        <x:v>Anjoman accounting - refined.xlsx</x:v>
      </x:c>
      <x:c r="B1322" s="31" t="str">
        <x:v>اسناد و شواهد</x:v>
      </x:c>
      <x:c r="C1322" s="31" t="str">
        <x:v>B94</x:v>
      </x:c>
      <x:c r="D1322" s="31" t="str">
        <x:v>telegram export\photos\photo_18@28-10-2025_01-53-01_thumb.jpg</x:v>
      </x:c>
      <x:c r="E1322" s="31"/>
    </x:row>
    <x:row r="1323" ht="15" hidden="0" customHeight="1">
      <x:c r="A1323" s="31" t="str">
        <x:v>Anjoman accounting - refined.xlsx</x:v>
      </x:c>
      <x:c r="B1323" s="31" t="str">
        <x:v>اسناد و شواهد</x:v>
      </x:c>
      <x:c r="C1323" s="31" t="str">
        <x:v>C94</x:v>
      </x:c>
      <x:c r="D1323" s="31" t="str">
        <x:v>jpg</x:v>
      </x:c>
      <x:c r="E1323" s="31"/>
    </x:row>
    <x:row r="1324" ht="15" hidden="0" customHeight="1">
      <x:c r="A1324" s="31" t="str">
        <x:v>Anjoman accounting - refined.xlsx</x:v>
      </x:c>
      <x:c r="B1324" s="31" t="str">
        <x:v>اسناد و شواهد</x:v>
      </x:c>
      <x:c r="C1324" s="31" t="str">
        <x:v>D94</x:v>
      </x:c>
      <x:c r="D1324" s="31" t="str">
        <x:v>16622</x:v>
      </x:c>
      <x:c r="E1324" s="31"/>
    </x:row>
    <x:row r="1325" ht="15" hidden="0" customHeight="1">
      <x:c r="A1325" s="31" t="str">
        <x:v>Anjoman accounting - refined.xlsx</x:v>
      </x:c>
      <x:c r="B1325" s="31" t="str">
        <x:v>اسناد و شواهد</x:v>
      </x:c>
      <x:c r="C1325" s="31" t="str">
        <x:v>E94</x:v>
      </x:c>
      <x:c r="D1325" s="31" t="str">
        <x:v>ba9400987c4ce862652ea4cdc5a2749ef5eb964dd21ee34afeed9d767f11135b</x:v>
      </x:c>
      <x:c r="E1325" s="31"/>
    </x:row>
    <x:row r="1326" ht="15" hidden="0" customHeight="1">
      <x:c r="A1326" s="31" t="str">
        <x:v>Anjoman accounting - refined.xlsx</x:v>
      </x:c>
      <x:c r="B1326" s="31" t="str">
        <x:v>اسناد و شواهد</x:v>
      </x:c>
      <x:c r="C1326" s="31" t="str">
        <x:v>A95</x:v>
      </x:c>
      <x:c r="D1326" s="31" t="str">
        <x:v>E-0092</x:v>
      </x:c>
      <x:c r="E1326" s="31"/>
    </x:row>
    <x:row r="1327" ht="15" hidden="0" customHeight="1">
      <x:c r="A1327" s="31" t="str">
        <x:v>Anjoman accounting - refined.xlsx</x:v>
      </x:c>
      <x:c r="B1327" s="31" t="str">
        <x:v>اسناد و شواهد</x:v>
      </x:c>
      <x:c r="C1327" s="31" t="str">
        <x:v>B95</x:v>
      </x:c>
      <x:c r="D1327" s="31" t="str">
        <x:v>telegram export\photos\photo_19@28-10-2025_01-58-07.jpg</x:v>
      </x:c>
      <x:c r="E1327" s="31"/>
    </x:row>
    <x:row r="1328" ht="15" hidden="0" customHeight="1">
      <x:c r="A1328" s="31" t="str">
        <x:v>Anjoman accounting - refined.xlsx</x:v>
      </x:c>
      <x:c r="B1328" s="31" t="str">
        <x:v>اسناد و شواهد</x:v>
      </x:c>
      <x:c r="C1328" s="31" t="str">
        <x:v>C95</x:v>
      </x:c>
      <x:c r="D1328" s="31" t="str">
        <x:v>jpg</x:v>
      </x:c>
      <x:c r="E1328" s="31"/>
    </x:row>
    <x:row r="1329" ht="15" hidden="0" customHeight="1">
      <x:c r="A1329" s="31" t="str">
        <x:v>Anjoman accounting - refined.xlsx</x:v>
      </x:c>
      <x:c r="B1329" s="31" t="str">
        <x:v>اسناد و شواهد</x:v>
      </x:c>
      <x:c r="C1329" s="31" t="str">
        <x:v>D95</x:v>
      </x:c>
      <x:c r="D1329" s="31" t="str">
        <x:v>65290</x:v>
      </x:c>
      <x:c r="E1329" s="31"/>
    </x:row>
    <x:row r="1330" ht="15" hidden="0" customHeight="1">
      <x:c r="A1330" s="31" t="str">
        <x:v>Anjoman accounting - refined.xlsx</x:v>
      </x:c>
      <x:c r="B1330" s="31" t="str">
        <x:v>اسناد و شواهد</x:v>
      </x:c>
      <x:c r="C1330" s="31" t="str">
        <x:v>E95</x:v>
      </x:c>
      <x:c r="D1330" s="31" t="str">
        <x:v>6406d711ff22151beab2efc5ad32dff29634b42c4df6d6c1de3e76cff738b2ca</x:v>
      </x:c>
      <x:c r="E1330" s="31"/>
    </x:row>
    <x:row r="1331" ht="15" hidden="0" customHeight="1">
      <x:c r="A1331" s="31" t="str">
        <x:v>Anjoman accounting - refined.xlsx</x:v>
      </x:c>
      <x:c r="B1331" s="31" t="str">
        <x:v>اسناد و شواهد</x:v>
      </x:c>
      <x:c r="C1331" s="31" t="str">
        <x:v>A96</x:v>
      </x:c>
      <x:c r="D1331" s="31" t="str">
        <x:v>E-0093</x:v>
      </x:c>
      <x:c r="E1331" s="31"/>
    </x:row>
    <x:row r="1332" ht="15" hidden="0" customHeight="1">
      <x:c r="A1332" s="31" t="str">
        <x:v>Anjoman accounting - refined.xlsx</x:v>
      </x:c>
      <x:c r="B1332" s="31" t="str">
        <x:v>اسناد و شواهد</x:v>
      </x:c>
      <x:c r="C1332" s="31" t="str">
        <x:v>B96</x:v>
      </x:c>
      <x:c r="D1332" s="31" t="str">
        <x:v>telegram export\photos\photo_19@28-10-2025_01-58-07_thumb.jpg</x:v>
      </x:c>
      <x:c r="E1332" s="31"/>
    </x:row>
    <x:row r="1333" ht="15" hidden="0" customHeight="1">
      <x:c r="A1333" s="31" t="str">
        <x:v>Anjoman accounting - refined.xlsx</x:v>
      </x:c>
      <x:c r="B1333" s="31" t="str">
        <x:v>اسناد و شواهد</x:v>
      </x:c>
      <x:c r="C1333" s="31" t="str">
        <x:v>C96</x:v>
      </x:c>
      <x:c r="D1333" s="31" t="str">
        <x:v>jpg</x:v>
      </x:c>
      <x:c r="E1333" s="31"/>
    </x:row>
    <x:row r="1334" ht="15" hidden="0" customHeight="1">
      <x:c r="A1334" s="31" t="str">
        <x:v>Anjoman accounting - refined.xlsx</x:v>
      </x:c>
      <x:c r="B1334" s="31" t="str">
        <x:v>اسناد و شواهد</x:v>
      </x:c>
      <x:c r="C1334" s="31" t="str">
        <x:v>D96</x:v>
      </x:c>
      <x:c r="D1334" s="31" t="str">
        <x:v>15953</x:v>
      </x:c>
      <x:c r="E1334" s="31"/>
    </x:row>
    <x:row r="1335" ht="15" hidden="0" customHeight="1">
      <x:c r="A1335" s="31" t="str">
        <x:v>Anjoman accounting - refined.xlsx</x:v>
      </x:c>
      <x:c r="B1335" s="31" t="str">
        <x:v>اسناد و شواهد</x:v>
      </x:c>
      <x:c r="C1335" s="31" t="str">
        <x:v>E96</x:v>
      </x:c>
      <x:c r="D1335" s="31" t="str">
        <x:v>d73cf6078c5dd5fe790c237a9ee677dbe5c77af8936bd6999dd20e61d97cab6b</x:v>
      </x:c>
      <x:c r="E1335" s="31"/>
    </x:row>
    <x:row r="1336" ht="15" hidden="0" customHeight="1">
      <x:c r="A1336" s="31" t="str">
        <x:v>Anjoman accounting - refined.xlsx</x:v>
      </x:c>
      <x:c r="B1336" s="31" t="str">
        <x:v>اسناد و شواهد</x:v>
      </x:c>
      <x:c r="C1336" s="31" t="str">
        <x:v>A97</x:v>
      </x:c>
      <x:c r="D1336" s="31" t="str">
        <x:v>E-0094</x:v>
      </x:c>
      <x:c r="E1336" s="31"/>
    </x:row>
    <x:row r="1337" ht="15" hidden="0" customHeight="1">
      <x:c r="A1337" s="31" t="str">
        <x:v>Anjoman accounting - refined.xlsx</x:v>
      </x:c>
      <x:c r="B1337" s="31" t="str">
        <x:v>اسناد و شواهد</x:v>
      </x:c>
      <x:c r="C1337" s="31" t="str">
        <x:v>B97</x:v>
      </x:c>
      <x:c r="D1337" s="31" t="str">
        <x:v>telegram export\photos\photo_1@24-07-2025_21-00-16.jpg</x:v>
      </x:c>
      <x:c r="E1337" s="31"/>
    </x:row>
    <x:row r="1338" ht="15" hidden="0" customHeight="1">
      <x:c r="A1338" s="31" t="str">
        <x:v>Anjoman accounting - refined.xlsx</x:v>
      </x:c>
      <x:c r="B1338" s="31" t="str">
        <x:v>اسناد و شواهد</x:v>
      </x:c>
      <x:c r="C1338" s="31" t="str">
        <x:v>C97</x:v>
      </x:c>
      <x:c r="D1338" s="31" t="str">
        <x:v>jpg</x:v>
      </x:c>
      <x:c r="E1338" s="31"/>
    </x:row>
    <x:row r="1339" ht="15" hidden="0" customHeight="1">
      <x:c r="A1339" s="31" t="str">
        <x:v>Anjoman accounting - refined.xlsx</x:v>
      </x:c>
      <x:c r="B1339" s="31" t="str">
        <x:v>اسناد و شواهد</x:v>
      </x:c>
      <x:c r="C1339" s="31" t="str">
        <x:v>D97</x:v>
      </x:c>
      <x:c r="D1339" s="31" t="str">
        <x:v>73477</x:v>
      </x:c>
      <x:c r="E1339" s="31"/>
    </x:row>
    <x:row r="1340" ht="15" hidden="0" customHeight="1">
      <x:c r="A1340" s="31" t="str">
        <x:v>Anjoman accounting - refined.xlsx</x:v>
      </x:c>
      <x:c r="B1340" s="31" t="str">
        <x:v>اسناد و شواهد</x:v>
      </x:c>
      <x:c r="C1340" s="31" t="str">
        <x:v>E97</x:v>
      </x:c>
      <x:c r="D1340" s="31" t="str">
        <x:v>79265bb04e6428f336712238ba43edcc9065f4a4313a8b75c7f937a113c99ce2</x:v>
      </x:c>
      <x:c r="E1340" s="31"/>
    </x:row>
    <x:row r="1341" ht="15" hidden="0" customHeight="1">
      <x:c r="A1341" s="31" t="str">
        <x:v>Anjoman accounting - refined.xlsx</x:v>
      </x:c>
      <x:c r="B1341" s="31" t="str">
        <x:v>اسناد و شواهد</x:v>
      </x:c>
      <x:c r="C1341" s="31" t="str">
        <x:v>A98</x:v>
      </x:c>
      <x:c r="D1341" s="31" t="str">
        <x:v>E-0095</x:v>
      </x:c>
      <x:c r="E1341" s="31"/>
    </x:row>
    <x:row r="1342" ht="15" hidden="0" customHeight="1">
      <x:c r="A1342" s="31" t="str">
        <x:v>Anjoman accounting - refined.xlsx</x:v>
      </x:c>
      <x:c r="B1342" s="31" t="str">
        <x:v>اسناد و شواهد</x:v>
      </x:c>
      <x:c r="C1342" s="31" t="str">
        <x:v>B98</x:v>
      </x:c>
      <x:c r="D1342" s="31" t="str">
        <x:v>telegram export\photos\photo_1@24-07-2025_21-00-16_thumb.jpg</x:v>
      </x:c>
      <x:c r="E1342" s="31"/>
    </x:row>
    <x:row r="1343" ht="15" hidden="0" customHeight="1">
      <x:c r="A1343" s="31" t="str">
        <x:v>Anjoman accounting - refined.xlsx</x:v>
      </x:c>
      <x:c r="B1343" s="31" t="str">
        <x:v>اسناد و شواهد</x:v>
      </x:c>
      <x:c r="C1343" s="31" t="str">
        <x:v>C98</x:v>
      </x:c>
      <x:c r="D1343" s="31" t="str">
        <x:v>jpg</x:v>
      </x:c>
      <x:c r="E1343" s="31"/>
    </x:row>
    <x:row r="1344" ht="15" hidden="0" customHeight="1">
      <x:c r="A1344" s="31" t="str">
        <x:v>Anjoman accounting - refined.xlsx</x:v>
      </x:c>
      <x:c r="B1344" s="31" t="str">
        <x:v>اسناد و شواهد</x:v>
      </x:c>
      <x:c r="C1344" s="31" t="str">
        <x:v>D98</x:v>
      </x:c>
      <x:c r="D1344" s="31" t="str">
        <x:v>19181</x:v>
      </x:c>
      <x:c r="E1344" s="31"/>
    </x:row>
    <x:row r="1345" ht="15" hidden="0" customHeight="1">
      <x:c r="A1345" s="31" t="str">
        <x:v>Anjoman accounting - refined.xlsx</x:v>
      </x:c>
      <x:c r="B1345" s="31" t="str">
        <x:v>اسناد و شواهد</x:v>
      </x:c>
      <x:c r="C1345" s="31" t="str">
        <x:v>E98</x:v>
      </x:c>
      <x:c r="D1345" s="31" t="str">
        <x:v>9a3f8444cbf313e927f97d5afc0d168e2a4505602b7fe6440e05c446a15a32dc</x:v>
      </x:c>
      <x:c r="E1345" s="31"/>
    </x:row>
    <x:row r="1346" ht="15" hidden="0" customHeight="1">
      <x:c r="A1346" s="31" t="str">
        <x:v>Anjoman accounting - refined.xlsx</x:v>
      </x:c>
      <x:c r="B1346" s="31" t="str">
        <x:v>اسناد و شواهد</x:v>
      </x:c>
      <x:c r="C1346" s="31" t="str">
        <x:v>A99</x:v>
      </x:c>
      <x:c r="D1346" s="31" t="str">
        <x:v>E-0096</x:v>
      </x:c>
      <x:c r="E1346" s="31"/>
    </x:row>
    <x:row r="1347" ht="15" hidden="0" customHeight="1">
      <x:c r="A1347" s="31" t="str">
        <x:v>Anjoman accounting - refined.xlsx</x:v>
      </x:c>
      <x:c r="B1347" s="31" t="str">
        <x:v>اسناد و شواهد</x:v>
      </x:c>
      <x:c r="C1347" s="31" t="str">
        <x:v>B99</x:v>
      </x:c>
      <x:c r="D1347" s="31" t="str">
        <x:v>telegram export\photos\photo_20@28-10-2025_22-07-57.jpg</x:v>
      </x:c>
      <x:c r="E1347" s="31"/>
    </x:row>
    <x:row r="1348" ht="15" hidden="0" customHeight="1">
      <x:c r="A1348" s="31" t="str">
        <x:v>Anjoman accounting - refined.xlsx</x:v>
      </x:c>
      <x:c r="B1348" s="31" t="str">
        <x:v>اسناد و شواهد</x:v>
      </x:c>
      <x:c r="C1348" s="31" t="str">
        <x:v>C99</x:v>
      </x:c>
      <x:c r="D1348" s="31" t="str">
        <x:v>jpg</x:v>
      </x:c>
      <x:c r="E1348" s="31"/>
    </x:row>
    <x:row r="1349" ht="15" hidden="0" customHeight="1">
      <x:c r="A1349" s="31" t="str">
        <x:v>Anjoman accounting - refined.xlsx</x:v>
      </x:c>
      <x:c r="B1349" s="31" t="str">
        <x:v>اسناد و شواهد</x:v>
      </x:c>
      <x:c r="C1349" s="31" t="str">
        <x:v>D99</x:v>
      </x:c>
      <x:c r="D1349" s="31" t="str">
        <x:v>145202</x:v>
      </x:c>
      <x:c r="E1349" s="31"/>
    </x:row>
    <x:row r="1350" ht="15" hidden="0" customHeight="1">
      <x:c r="A1350" s="31" t="str">
        <x:v>Anjoman accounting - refined.xlsx</x:v>
      </x:c>
      <x:c r="B1350" s="31" t="str">
        <x:v>اسناد و شواهد</x:v>
      </x:c>
      <x:c r="C1350" s="31" t="str">
        <x:v>E99</x:v>
      </x:c>
      <x:c r="D1350" s="31" t="str">
        <x:v>18a41c8ef151421d6a8438c0c292c313bd9d69817efed89507abf1bb0e852e6b</x:v>
      </x:c>
      <x:c r="E1350" s="31"/>
    </x:row>
    <x:row r="1351" ht="15" hidden="0" customHeight="1">
      <x:c r="A1351" s="31" t="str">
        <x:v>Anjoman accounting - refined.xlsx</x:v>
      </x:c>
      <x:c r="B1351" s="31" t="str">
        <x:v>اسناد و شواهد</x:v>
      </x:c>
      <x:c r="C1351" s="31" t="str">
        <x:v>A100</x:v>
      </x:c>
      <x:c r="D1351" s="31" t="str">
        <x:v>E-0097</x:v>
      </x:c>
      <x:c r="E1351" s="31"/>
    </x:row>
    <x:row r="1352" ht="15" hidden="0" customHeight="1">
      <x:c r="A1352" s="31" t="str">
        <x:v>Anjoman accounting - refined.xlsx</x:v>
      </x:c>
      <x:c r="B1352" s="31" t="str">
        <x:v>اسناد و شواهد</x:v>
      </x:c>
      <x:c r="C1352" s="31" t="str">
        <x:v>B100</x:v>
      </x:c>
      <x:c r="D1352" s="31" t="str">
        <x:v>telegram export\photos\photo_20@28-10-2025_22-07-57_thumb.jpg</x:v>
      </x:c>
      <x:c r="E1352" s="31"/>
    </x:row>
    <x:row r="1353" ht="15" hidden="0" customHeight="1">
      <x:c r="A1353" s="31" t="str">
        <x:v>Anjoman accounting - refined.xlsx</x:v>
      </x:c>
      <x:c r="B1353" s="31" t="str">
        <x:v>اسناد و شواهد</x:v>
      </x:c>
      <x:c r="C1353" s="31" t="str">
        <x:v>C100</x:v>
      </x:c>
      <x:c r="D1353" s="31" t="str">
        <x:v>jpg</x:v>
      </x:c>
      <x:c r="E1353" s="31"/>
    </x:row>
    <x:row r="1354" ht="15" hidden="0" customHeight="1">
      <x:c r="A1354" s="31" t="str">
        <x:v>Anjoman accounting - refined.xlsx</x:v>
      </x:c>
      <x:c r="B1354" s="31" t="str">
        <x:v>اسناد و شواهد</x:v>
      </x:c>
      <x:c r="C1354" s="31" t="str">
        <x:v>D100</x:v>
      </x:c>
      <x:c r="D1354" s="31" t="str">
        <x:v>20871</x:v>
      </x:c>
      <x:c r="E1354" s="31"/>
    </x:row>
    <x:row r="1355" ht="15" hidden="0" customHeight="1">
      <x:c r="A1355" s="31" t="str">
        <x:v>Anjoman accounting - refined.xlsx</x:v>
      </x:c>
      <x:c r="B1355" s="31" t="str">
        <x:v>اسناد و شواهد</x:v>
      </x:c>
      <x:c r="C1355" s="31" t="str">
        <x:v>E100</x:v>
      </x:c>
      <x:c r="D1355" s="31" t="str">
        <x:v>0d0db25211669ae89444ea3dc5a9fdc934c48b9e200db0615285f3b128c3edfc</x:v>
      </x:c>
      <x:c r="E1355" s="31"/>
    </x:row>
    <x:row r="1356" ht="15" hidden="0" customHeight="1">
      <x:c r="A1356" s="31" t="str">
        <x:v>Anjoman accounting - refined.xlsx</x:v>
      </x:c>
      <x:c r="B1356" s="31" t="str">
        <x:v>اسناد و شواهد</x:v>
      </x:c>
      <x:c r="C1356" s="31" t="str">
        <x:v>A101</x:v>
      </x:c>
      <x:c r="D1356" s="31" t="str">
        <x:v>E-0098</x:v>
      </x:c>
      <x:c r="E1356" s="31"/>
    </x:row>
    <x:row r="1357" ht="15" hidden="0" customHeight="1">
      <x:c r="A1357" s="31" t="str">
        <x:v>Anjoman accounting - refined.xlsx</x:v>
      </x:c>
      <x:c r="B1357" s="31" t="str">
        <x:v>اسناد و شواهد</x:v>
      </x:c>
      <x:c r="C1357" s="31" t="str">
        <x:v>B101</x:v>
      </x:c>
      <x:c r="D1357" s="31" t="str">
        <x:v>telegram export\photos\photo_21@09-11-2025_23-16-09.jpg</x:v>
      </x:c>
      <x:c r="E1357" s="31"/>
    </x:row>
    <x:row r="1358" ht="15" hidden="0" customHeight="1">
      <x:c r="A1358" s="31" t="str">
        <x:v>Anjoman accounting - refined.xlsx</x:v>
      </x:c>
      <x:c r="B1358" s="31" t="str">
        <x:v>اسناد و شواهد</x:v>
      </x:c>
      <x:c r="C1358" s="31" t="str">
        <x:v>C101</x:v>
      </x:c>
      <x:c r="D1358" s="31" t="str">
        <x:v>jpg</x:v>
      </x:c>
      <x:c r="E1358" s="31"/>
    </x:row>
    <x:row r="1359" ht="15" hidden="0" customHeight="1">
      <x:c r="A1359" s="31" t="str">
        <x:v>Anjoman accounting - refined.xlsx</x:v>
      </x:c>
      <x:c r="B1359" s="31" t="str">
        <x:v>اسناد و شواهد</x:v>
      </x:c>
      <x:c r="C1359" s="31" t="str">
        <x:v>D101</x:v>
      </x:c>
      <x:c r="D1359" s="31" t="str">
        <x:v>89073</x:v>
      </x:c>
      <x:c r="E1359" s="31"/>
    </x:row>
    <x:row r="1360" ht="15" hidden="0" customHeight="1">
      <x:c r="A1360" s="31" t="str">
        <x:v>Anjoman accounting - refined.xlsx</x:v>
      </x:c>
      <x:c r="B1360" s="31" t="str">
        <x:v>اسناد و شواهد</x:v>
      </x:c>
      <x:c r="C1360" s="31" t="str">
        <x:v>E101</x:v>
      </x:c>
      <x:c r="D1360" s="31" t="str">
        <x:v>430d605cb4bf4e4aaaf901e209b69c43c2d82946451612543b40ef112ba1fe22</x:v>
      </x:c>
      <x:c r="E1360" s="31"/>
    </x:row>
    <x:row r="1361" ht="15" hidden="0" customHeight="1">
      <x:c r="A1361" s="31" t="str">
        <x:v>Anjoman accounting - refined.xlsx</x:v>
      </x:c>
      <x:c r="B1361" s="31" t="str">
        <x:v>اسناد و شواهد</x:v>
      </x:c>
      <x:c r="C1361" s="31" t="str">
        <x:v>A102</x:v>
      </x:c>
      <x:c r="D1361" s="31" t="str">
        <x:v>E-0099</x:v>
      </x:c>
      <x:c r="E1361" s="31"/>
    </x:row>
    <x:row r="1362" ht="15" hidden="0" customHeight="1">
      <x:c r="A1362" s="31" t="str">
        <x:v>Anjoman accounting - refined.xlsx</x:v>
      </x:c>
      <x:c r="B1362" s="31" t="str">
        <x:v>اسناد و شواهد</x:v>
      </x:c>
      <x:c r="C1362" s="31" t="str">
        <x:v>B102</x:v>
      </x:c>
      <x:c r="D1362" s="31" t="str">
        <x:v>telegram export\photos\photo_21@09-11-2025_23-16-09_thumb.jpg</x:v>
      </x:c>
      <x:c r="E1362" s="31"/>
    </x:row>
    <x:row r="1363" ht="15" hidden="0" customHeight="1">
      <x:c r="A1363" s="31" t="str">
        <x:v>Anjoman accounting - refined.xlsx</x:v>
      </x:c>
      <x:c r="B1363" s="31" t="str">
        <x:v>اسناد و شواهد</x:v>
      </x:c>
      <x:c r="C1363" s="31" t="str">
        <x:v>C102</x:v>
      </x:c>
      <x:c r="D1363" s="31" t="str">
        <x:v>jpg</x:v>
      </x:c>
      <x:c r="E1363" s="31"/>
    </x:row>
    <x:row r="1364" ht="15" hidden="0" customHeight="1">
      <x:c r="A1364" s="31" t="str">
        <x:v>Anjoman accounting - refined.xlsx</x:v>
      </x:c>
      <x:c r="B1364" s="31" t="str">
        <x:v>اسناد و شواهد</x:v>
      </x:c>
      <x:c r="C1364" s="31" t="str">
        <x:v>D102</x:v>
      </x:c>
      <x:c r="D1364" s="31" t="str">
        <x:v>18519</x:v>
      </x:c>
      <x:c r="E1364" s="31"/>
    </x:row>
    <x:row r="1365" ht="15" hidden="0" customHeight="1">
      <x:c r="A1365" s="31" t="str">
        <x:v>Anjoman accounting - refined.xlsx</x:v>
      </x:c>
      <x:c r="B1365" s="31" t="str">
        <x:v>اسناد و شواهد</x:v>
      </x:c>
      <x:c r="C1365" s="31" t="str">
        <x:v>E102</x:v>
      </x:c>
      <x:c r="D1365" s="31" t="str">
        <x:v>3c9a1b7b10dfae82193793e9a2520ff1b984bf12c5ab6ae262d88acb5b2a985b</x:v>
      </x:c>
      <x:c r="E1365" s="31"/>
    </x:row>
    <x:row r="1366" ht="15" hidden="0" customHeight="1">
      <x:c r="A1366" s="31" t="str">
        <x:v>Anjoman accounting - refined.xlsx</x:v>
      </x:c>
      <x:c r="B1366" s="31" t="str">
        <x:v>اسناد و شواهد</x:v>
      </x:c>
      <x:c r="C1366" s="31" t="str">
        <x:v>A103</x:v>
      </x:c>
      <x:c r="D1366" s="31" t="str">
        <x:v>E-0100</x:v>
      </x:c>
      <x:c r="E1366" s="31"/>
    </x:row>
    <x:row r="1367" ht="15" hidden="0" customHeight="1">
      <x:c r="A1367" s="31" t="str">
        <x:v>Anjoman accounting - refined.xlsx</x:v>
      </x:c>
      <x:c r="B1367" s="31" t="str">
        <x:v>اسناد و شواهد</x:v>
      </x:c>
      <x:c r="C1367" s="31" t="str">
        <x:v>B103</x:v>
      </x:c>
      <x:c r="D1367" s="31" t="str">
        <x:v>telegram export\photos\photo_22@09-11-2025_23-16-15.jpg</x:v>
      </x:c>
      <x:c r="E1367" s="31"/>
    </x:row>
    <x:row r="1368" ht="15" hidden="0" customHeight="1">
      <x:c r="A1368" s="31" t="str">
        <x:v>Anjoman accounting - refined.xlsx</x:v>
      </x:c>
      <x:c r="B1368" s="31" t="str">
        <x:v>اسناد و شواهد</x:v>
      </x:c>
      <x:c r="C1368" s="31" t="str">
        <x:v>C103</x:v>
      </x:c>
      <x:c r="D1368" s="31" t="str">
        <x:v>jpg</x:v>
      </x:c>
      <x:c r="E1368" s="31"/>
    </x:row>
    <x:row r="1369" ht="15" hidden="0" customHeight="1">
      <x:c r="A1369" s="31" t="str">
        <x:v>Anjoman accounting - refined.xlsx</x:v>
      </x:c>
      <x:c r="B1369" s="31" t="str">
        <x:v>اسناد و شواهد</x:v>
      </x:c>
      <x:c r="C1369" s="31" t="str">
        <x:v>D103</x:v>
      </x:c>
      <x:c r="D1369" s="31" t="str">
        <x:v>84952</x:v>
      </x:c>
      <x:c r="E1369" s="31"/>
    </x:row>
    <x:row r="1370" ht="15" hidden="0" customHeight="1">
      <x:c r="A1370" s="31" t="str">
        <x:v>Anjoman accounting - refined.xlsx</x:v>
      </x:c>
      <x:c r="B1370" s="31" t="str">
        <x:v>اسناد و شواهد</x:v>
      </x:c>
      <x:c r="C1370" s="31" t="str">
        <x:v>E103</x:v>
      </x:c>
      <x:c r="D1370" s="31" t="str">
        <x:v>64e9c8107140b08a348e146533350e8bd264e2f59b1f09ade0e80ba76639f360</x:v>
      </x:c>
      <x:c r="E1370" s="31"/>
    </x:row>
    <x:row r="1371" ht="15" hidden="0" customHeight="1">
      <x:c r="A1371" s="31" t="str">
        <x:v>Anjoman accounting - refined.xlsx</x:v>
      </x:c>
      <x:c r="B1371" s="31" t="str">
        <x:v>اسناد و شواهد</x:v>
      </x:c>
      <x:c r="C1371" s="31" t="str">
        <x:v>A104</x:v>
      </x:c>
      <x:c r="D1371" s="31" t="str">
        <x:v>E-0101</x:v>
      </x:c>
      <x:c r="E1371" s="31"/>
    </x:row>
    <x:row r="1372" ht="15" hidden="0" customHeight="1">
      <x:c r="A1372" s="31" t="str">
        <x:v>Anjoman accounting - refined.xlsx</x:v>
      </x:c>
      <x:c r="B1372" s="31" t="str">
        <x:v>اسناد و شواهد</x:v>
      </x:c>
      <x:c r="C1372" s="31" t="str">
        <x:v>B104</x:v>
      </x:c>
      <x:c r="D1372" s="31" t="str">
        <x:v>telegram export\photos\photo_22@09-11-2025_23-16-15_thumb.jpg</x:v>
      </x:c>
      <x:c r="E1372" s="31"/>
    </x:row>
    <x:row r="1373" ht="15" hidden="0" customHeight="1">
      <x:c r="A1373" s="31" t="str">
        <x:v>Anjoman accounting - refined.xlsx</x:v>
      </x:c>
      <x:c r="B1373" s="31" t="str">
        <x:v>اسناد و شواهد</x:v>
      </x:c>
      <x:c r="C1373" s="31" t="str">
        <x:v>C104</x:v>
      </x:c>
      <x:c r="D1373" s="31" t="str">
        <x:v>jpg</x:v>
      </x:c>
      <x:c r="E1373" s="31"/>
    </x:row>
    <x:row r="1374" ht="15" hidden="0" customHeight="1">
      <x:c r="A1374" s="31" t="str">
        <x:v>Anjoman accounting - refined.xlsx</x:v>
      </x:c>
      <x:c r="B1374" s="31" t="str">
        <x:v>اسناد و شواهد</x:v>
      </x:c>
      <x:c r="C1374" s="31" t="str">
        <x:v>D104</x:v>
      </x:c>
      <x:c r="D1374" s="31" t="str">
        <x:v>17127</x:v>
      </x:c>
      <x:c r="E1374" s="31"/>
    </x:row>
    <x:row r="1375" ht="15" hidden="0" customHeight="1">
      <x:c r="A1375" s="31" t="str">
        <x:v>Anjoman accounting - refined.xlsx</x:v>
      </x:c>
      <x:c r="B1375" s="31" t="str">
        <x:v>اسناد و شواهد</x:v>
      </x:c>
      <x:c r="C1375" s="31" t="str">
        <x:v>E104</x:v>
      </x:c>
      <x:c r="D1375" s="31" t="str">
        <x:v>223fb06780f3e800faa594cac7eec7de79fccb5ab7a14b63a200dc0606164f71</x:v>
      </x:c>
      <x:c r="E1375" s="31"/>
    </x:row>
    <x:row r="1376" ht="15" hidden="0" customHeight="1">
      <x:c r="A1376" s="31" t="str">
        <x:v>Anjoman accounting - refined.xlsx</x:v>
      </x:c>
      <x:c r="B1376" s="31" t="str">
        <x:v>اسناد و شواهد</x:v>
      </x:c>
      <x:c r="C1376" s="31" t="str">
        <x:v>A105</x:v>
      </x:c>
      <x:c r="D1376" s="31" t="str">
        <x:v>E-0102</x:v>
      </x:c>
      <x:c r="E1376" s="31"/>
    </x:row>
    <x:row r="1377" ht="15" hidden="0" customHeight="1">
      <x:c r="A1377" s="31" t="str">
        <x:v>Anjoman accounting - refined.xlsx</x:v>
      </x:c>
      <x:c r="B1377" s="31" t="str">
        <x:v>اسناد و شواهد</x:v>
      </x:c>
      <x:c r="C1377" s="31" t="str">
        <x:v>B105</x:v>
      </x:c>
      <x:c r="D1377" s="31" t="str">
        <x:v>telegram export\photos\photo_23@14-11-2025_04-07-19.jpg</x:v>
      </x:c>
      <x:c r="E1377" s="31"/>
    </x:row>
    <x:row r="1378" ht="15" hidden="0" customHeight="1">
      <x:c r="A1378" s="31" t="str">
        <x:v>Anjoman accounting - refined.xlsx</x:v>
      </x:c>
      <x:c r="B1378" s="31" t="str">
        <x:v>اسناد و شواهد</x:v>
      </x:c>
      <x:c r="C1378" s="31" t="str">
        <x:v>C105</x:v>
      </x:c>
      <x:c r="D1378" s="31" t="str">
        <x:v>jpg</x:v>
      </x:c>
      <x:c r="E1378" s="31"/>
    </x:row>
    <x:row r="1379" ht="15" hidden="0" customHeight="1">
      <x:c r="A1379" s="31" t="str">
        <x:v>Anjoman accounting - refined.xlsx</x:v>
      </x:c>
      <x:c r="B1379" s="31" t="str">
        <x:v>اسناد و شواهد</x:v>
      </x:c>
      <x:c r="C1379" s="31" t="str">
        <x:v>D105</x:v>
      </x:c>
      <x:c r="D1379" s="31" t="str">
        <x:v>65632</x:v>
      </x:c>
      <x:c r="E1379" s="31"/>
    </x:row>
    <x:row r="1380" ht="15" hidden="0" customHeight="1">
      <x:c r="A1380" s="31" t="str">
        <x:v>Anjoman accounting - refined.xlsx</x:v>
      </x:c>
      <x:c r="B1380" s="31" t="str">
        <x:v>اسناد و شواهد</x:v>
      </x:c>
      <x:c r="C1380" s="31" t="str">
        <x:v>E105</x:v>
      </x:c>
      <x:c r="D1380" s="31" t="str">
        <x:v>7003f7a94da98c211e78490a0c98ad1e5681266cb40708889b8d9b8cb66f3455</x:v>
      </x:c>
      <x:c r="E1380" s="31"/>
    </x:row>
    <x:row r="1381" ht="15" hidden="0" customHeight="1">
      <x:c r="A1381" s="31" t="str">
        <x:v>Anjoman accounting - refined.xlsx</x:v>
      </x:c>
      <x:c r="B1381" s="31" t="str">
        <x:v>اسناد و شواهد</x:v>
      </x:c>
      <x:c r="C1381" s="31" t="str">
        <x:v>A106</x:v>
      </x:c>
      <x:c r="D1381" s="31" t="str">
        <x:v>E-0103</x:v>
      </x:c>
      <x:c r="E1381" s="31"/>
    </x:row>
    <x:row r="1382" ht="15" hidden="0" customHeight="1">
      <x:c r="A1382" s="31" t="str">
        <x:v>Anjoman accounting - refined.xlsx</x:v>
      </x:c>
      <x:c r="B1382" s="31" t="str">
        <x:v>اسناد و شواهد</x:v>
      </x:c>
      <x:c r="C1382" s="31" t="str">
        <x:v>B106</x:v>
      </x:c>
      <x:c r="D1382" s="31" t="str">
        <x:v>telegram export\photos\photo_23@14-11-2025_04-07-19_thumb.jpg</x:v>
      </x:c>
      <x:c r="E1382" s="31"/>
    </x:row>
    <x:row r="1383" ht="15" hidden="0" customHeight="1">
      <x:c r="A1383" s="31" t="str">
        <x:v>Anjoman accounting - refined.xlsx</x:v>
      </x:c>
      <x:c r="B1383" s="31" t="str">
        <x:v>اسناد و شواهد</x:v>
      </x:c>
      <x:c r="C1383" s="31" t="str">
        <x:v>C106</x:v>
      </x:c>
      <x:c r="D1383" s="31" t="str">
        <x:v>jpg</x:v>
      </x:c>
      <x:c r="E1383" s="31"/>
    </x:row>
    <x:row r="1384" ht="15" hidden="0" customHeight="1">
      <x:c r="A1384" s="31" t="str">
        <x:v>Anjoman accounting - refined.xlsx</x:v>
      </x:c>
      <x:c r="B1384" s="31" t="str">
        <x:v>اسناد و شواهد</x:v>
      </x:c>
      <x:c r="C1384" s="31" t="str">
        <x:v>D106</x:v>
      </x:c>
      <x:c r="D1384" s="31" t="str">
        <x:v>16038</x:v>
      </x:c>
      <x:c r="E1384" s="31"/>
    </x:row>
    <x:row r="1385" ht="15" hidden="0" customHeight="1">
      <x:c r="A1385" s="31" t="str">
        <x:v>Anjoman accounting - refined.xlsx</x:v>
      </x:c>
      <x:c r="B1385" s="31" t="str">
        <x:v>اسناد و شواهد</x:v>
      </x:c>
      <x:c r="C1385" s="31" t="str">
        <x:v>E106</x:v>
      </x:c>
      <x:c r="D1385" s="31" t="str">
        <x:v>3d731a87bf9b4b2bbc8b8859bb6e1bb59b5fec3ccf7c9e0e97703cc31be5827f</x:v>
      </x:c>
      <x:c r="E1385" s="31"/>
    </x:row>
    <x:row r="1386" ht="15" hidden="0" customHeight="1">
      <x:c r="A1386" s="31" t="str">
        <x:v>Anjoman accounting - refined.xlsx</x:v>
      </x:c>
      <x:c r="B1386" s="31" t="str">
        <x:v>اسناد و شواهد</x:v>
      </x:c>
      <x:c r="C1386" s="31" t="str">
        <x:v>A107</x:v>
      </x:c>
      <x:c r="D1386" s="31" t="str">
        <x:v>E-0104</x:v>
      </x:c>
      <x:c r="E1386" s="31"/>
    </x:row>
    <x:row r="1387" ht="15" hidden="0" customHeight="1">
      <x:c r="A1387" s="31" t="str">
        <x:v>Anjoman accounting - refined.xlsx</x:v>
      </x:c>
      <x:c r="B1387" s="31" t="str">
        <x:v>اسناد و شواهد</x:v>
      </x:c>
      <x:c r="C1387" s="31" t="str">
        <x:v>B107</x:v>
      </x:c>
      <x:c r="D1387" s="31" t="str">
        <x:v>telegram export\photos\photo_24@14-11-2025_04-07-19.jpg</x:v>
      </x:c>
      <x:c r="E1387" s="31"/>
    </x:row>
    <x:row r="1388" ht="15" hidden="0" customHeight="1">
      <x:c r="A1388" s="31" t="str">
        <x:v>Anjoman accounting - refined.xlsx</x:v>
      </x:c>
      <x:c r="B1388" s="31" t="str">
        <x:v>اسناد و شواهد</x:v>
      </x:c>
      <x:c r="C1388" s="31" t="str">
        <x:v>C107</x:v>
      </x:c>
      <x:c r="D1388" s="31" t="str">
        <x:v>jpg</x:v>
      </x:c>
      <x:c r="E1388" s="31"/>
    </x:row>
    <x:row r="1389" ht="15" hidden="0" customHeight="1">
      <x:c r="A1389" s="31" t="str">
        <x:v>Anjoman accounting - refined.xlsx</x:v>
      </x:c>
      <x:c r="B1389" s="31" t="str">
        <x:v>اسناد و شواهد</x:v>
      </x:c>
      <x:c r="C1389" s="31" t="str">
        <x:v>D107</x:v>
      </x:c>
      <x:c r="D1389" s="31" t="str">
        <x:v>66823</x:v>
      </x:c>
      <x:c r="E1389" s="31"/>
    </x:row>
    <x:row r="1390" ht="15" hidden="0" customHeight="1">
      <x:c r="A1390" s="31" t="str">
        <x:v>Anjoman accounting - refined.xlsx</x:v>
      </x:c>
      <x:c r="B1390" s="31" t="str">
        <x:v>اسناد و شواهد</x:v>
      </x:c>
      <x:c r="C1390" s="31" t="str">
        <x:v>E107</x:v>
      </x:c>
      <x:c r="D1390" s="31" t="str">
        <x:v>2944f175b5256a669c1a6407a09eecb566d715c37dd54b80eed0cee2ae943f0c</x:v>
      </x:c>
      <x:c r="E1390" s="31"/>
    </x:row>
    <x:row r="1391" ht="15" hidden="0" customHeight="1">
      <x:c r="A1391" s="31" t="str">
        <x:v>Anjoman accounting - refined.xlsx</x:v>
      </x:c>
      <x:c r="B1391" s="31" t="str">
        <x:v>اسناد و شواهد</x:v>
      </x:c>
      <x:c r="C1391" s="31" t="str">
        <x:v>A108</x:v>
      </x:c>
      <x:c r="D1391" s="31" t="str">
        <x:v>E-0105</x:v>
      </x:c>
      <x:c r="E1391" s="31"/>
    </x:row>
    <x:row r="1392" ht="15" hidden="0" customHeight="1">
      <x:c r="A1392" s="31" t="str">
        <x:v>Anjoman accounting - refined.xlsx</x:v>
      </x:c>
      <x:c r="B1392" s="31" t="str">
        <x:v>اسناد و شواهد</x:v>
      </x:c>
      <x:c r="C1392" s="31" t="str">
        <x:v>B108</x:v>
      </x:c>
      <x:c r="D1392" s="31" t="str">
        <x:v>telegram export\photos\photo_24@14-11-2025_04-07-19_thumb.jpg</x:v>
      </x:c>
      <x:c r="E1392" s="31"/>
    </x:row>
    <x:row r="1393" ht="15" hidden="0" customHeight="1">
      <x:c r="A1393" s="31" t="str">
        <x:v>Anjoman accounting - refined.xlsx</x:v>
      </x:c>
      <x:c r="B1393" s="31" t="str">
        <x:v>اسناد و شواهد</x:v>
      </x:c>
      <x:c r="C1393" s="31" t="str">
        <x:v>C108</x:v>
      </x:c>
      <x:c r="D1393" s="31" t="str">
        <x:v>jpg</x:v>
      </x:c>
      <x:c r="E1393" s="31"/>
    </x:row>
    <x:row r="1394" ht="15" hidden="0" customHeight="1">
      <x:c r="A1394" s="31" t="str">
        <x:v>Anjoman accounting - refined.xlsx</x:v>
      </x:c>
      <x:c r="B1394" s="31" t="str">
        <x:v>اسناد و شواهد</x:v>
      </x:c>
      <x:c r="C1394" s="31" t="str">
        <x:v>D108</x:v>
      </x:c>
      <x:c r="D1394" s="31" t="str">
        <x:v>16187</x:v>
      </x:c>
      <x:c r="E1394" s="31"/>
    </x:row>
    <x:row r="1395" ht="15" hidden="0" customHeight="1">
      <x:c r="A1395" s="31" t="str">
        <x:v>Anjoman accounting - refined.xlsx</x:v>
      </x:c>
      <x:c r="B1395" s="31" t="str">
        <x:v>اسناد و شواهد</x:v>
      </x:c>
      <x:c r="C1395" s="31" t="str">
        <x:v>E108</x:v>
      </x:c>
      <x:c r="D1395" s="31" t="str">
        <x:v>8689affcc732f6f63089395e2c599659665d09295b88f7c2fcdd5196f50a49b2</x:v>
      </x:c>
      <x:c r="E1395" s="31"/>
    </x:row>
    <x:row r="1396" ht="15" hidden="0" customHeight="1">
      <x:c r="A1396" s="31" t="str">
        <x:v>Anjoman accounting - refined.xlsx</x:v>
      </x:c>
      <x:c r="B1396" s="31" t="str">
        <x:v>اسناد و شواهد</x:v>
      </x:c>
      <x:c r="C1396" s="31" t="str">
        <x:v>A109</x:v>
      </x:c>
      <x:c r="D1396" s="31" t="str">
        <x:v>E-0106</x:v>
      </x:c>
      <x:c r="E1396" s="31"/>
    </x:row>
    <x:row r="1397" ht="15" hidden="0" customHeight="1">
      <x:c r="A1397" s="31" t="str">
        <x:v>Anjoman accounting - refined.xlsx</x:v>
      </x:c>
      <x:c r="B1397" s="31" t="str">
        <x:v>اسناد و شواهد</x:v>
      </x:c>
      <x:c r="C1397" s="31" t="str">
        <x:v>B109</x:v>
      </x:c>
      <x:c r="D1397" s="31" t="str">
        <x:v>telegram export\photos\photo_25@19-11-2025_11-46-31.jpg</x:v>
      </x:c>
      <x:c r="E1397" s="31"/>
    </x:row>
    <x:row r="1398" ht="15" hidden="0" customHeight="1">
      <x:c r="A1398" s="31" t="str">
        <x:v>Anjoman accounting - refined.xlsx</x:v>
      </x:c>
      <x:c r="B1398" s="31" t="str">
        <x:v>اسناد و شواهد</x:v>
      </x:c>
      <x:c r="C1398" s="31" t="str">
        <x:v>C109</x:v>
      </x:c>
      <x:c r="D1398" s="31" t="str">
        <x:v>jpg</x:v>
      </x:c>
      <x:c r="E1398" s="31"/>
    </x:row>
    <x:row r="1399" ht="15" hidden="0" customHeight="1">
      <x:c r="A1399" s="31" t="str">
        <x:v>Anjoman accounting - refined.xlsx</x:v>
      </x:c>
      <x:c r="B1399" s="31" t="str">
        <x:v>اسناد و شواهد</x:v>
      </x:c>
      <x:c r="C1399" s="31" t="str">
        <x:v>D109</x:v>
      </x:c>
      <x:c r="D1399" s="31" t="str">
        <x:v>18253</x:v>
      </x:c>
      <x:c r="E1399" s="31"/>
    </x:row>
    <x:row r="1400" ht="15" hidden="0" customHeight="1">
      <x:c r="A1400" s="31" t="str">
        <x:v>Anjoman accounting - refined.xlsx</x:v>
      </x:c>
      <x:c r="B1400" s="31" t="str">
        <x:v>اسناد و شواهد</x:v>
      </x:c>
      <x:c r="C1400" s="31" t="str">
        <x:v>E109</x:v>
      </x:c>
      <x:c r="D1400" s="31" t="str">
        <x:v>5c7d3623f81cfec1c847235a9e6124fc4d7090687911db318684c83dc455de7f</x:v>
      </x:c>
      <x:c r="E1400" s="31"/>
    </x:row>
    <x:row r="1401" ht="15" hidden="0" customHeight="1">
      <x:c r="A1401" s="31" t="str">
        <x:v>Anjoman accounting - refined.xlsx</x:v>
      </x:c>
      <x:c r="B1401" s="31" t="str">
        <x:v>اسناد و شواهد</x:v>
      </x:c>
      <x:c r="C1401" s="31" t="str">
        <x:v>A110</x:v>
      </x:c>
      <x:c r="D1401" s="31" t="str">
        <x:v>E-0107</x:v>
      </x:c>
      <x:c r="E1401" s="31"/>
    </x:row>
    <x:row r="1402" ht="15" hidden="0" customHeight="1">
      <x:c r="A1402" s="31" t="str">
        <x:v>Anjoman accounting - refined.xlsx</x:v>
      </x:c>
      <x:c r="B1402" s="31" t="str">
        <x:v>اسناد و شواهد</x:v>
      </x:c>
      <x:c r="C1402" s="31" t="str">
        <x:v>B110</x:v>
      </x:c>
      <x:c r="D1402" s="31" t="str">
        <x:v>telegram export\photos\photo_25@19-11-2025_11-46-31_thumb.jpg</x:v>
      </x:c>
      <x:c r="E1402" s="31"/>
    </x:row>
    <x:row r="1403" ht="15" hidden="0" customHeight="1">
      <x:c r="A1403" s="31" t="str">
        <x:v>Anjoman accounting - refined.xlsx</x:v>
      </x:c>
      <x:c r="B1403" s="31" t="str">
        <x:v>اسناد و شواهد</x:v>
      </x:c>
      <x:c r="C1403" s="31" t="str">
        <x:v>C110</x:v>
      </x:c>
      <x:c r="D1403" s="31" t="str">
        <x:v>jpg</x:v>
      </x:c>
      <x:c r="E1403" s="31"/>
    </x:row>
    <x:row r="1404" ht="15" hidden="0" customHeight="1">
      <x:c r="A1404" s="31" t="str">
        <x:v>Anjoman accounting - refined.xlsx</x:v>
      </x:c>
      <x:c r="B1404" s="31" t="str">
        <x:v>اسناد و شواهد</x:v>
      </x:c>
      <x:c r="C1404" s="31" t="str">
        <x:v>D110</x:v>
      </x:c>
      <x:c r="D1404" s="31" t="str">
        <x:v>6086</x:v>
      </x:c>
      <x:c r="E1404" s="31"/>
    </x:row>
    <x:row r="1405" ht="15" hidden="0" customHeight="1">
      <x:c r="A1405" s="31" t="str">
        <x:v>Anjoman accounting - refined.xlsx</x:v>
      </x:c>
      <x:c r="B1405" s="31" t="str">
        <x:v>اسناد و شواهد</x:v>
      </x:c>
      <x:c r="C1405" s="31" t="str">
        <x:v>E110</x:v>
      </x:c>
      <x:c r="D1405" s="31" t="str">
        <x:v>c99b032b5b6a845901bffb603d6a8f66b3d147201080bcfad77adbf014d6013d</x:v>
      </x:c>
      <x:c r="E1405" s="31"/>
    </x:row>
    <x:row r="1406" ht="15" hidden="0" customHeight="1">
      <x:c r="A1406" s="31" t="str">
        <x:v>Anjoman accounting - refined.xlsx</x:v>
      </x:c>
      <x:c r="B1406" s="31" t="str">
        <x:v>اسناد و شواهد</x:v>
      </x:c>
      <x:c r="C1406" s="31" t="str">
        <x:v>A111</x:v>
      </x:c>
      <x:c r="D1406" s="31" t="str">
        <x:v>E-0108</x:v>
      </x:c>
      <x:c r="E1406" s="31"/>
    </x:row>
    <x:row r="1407" ht="15" hidden="0" customHeight="1">
      <x:c r="A1407" s="31" t="str">
        <x:v>Anjoman accounting - refined.xlsx</x:v>
      </x:c>
      <x:c r="B1407" s="31" t="str">
        <x:v>اسناد و شواهد</x:v>
      </x:c>
      <x:c r="C1407" s="31" t="str">
        <x:v>B111</x:v>
      </x:c>
      <x:c r="D1407" s="31" t="str">
        <x:v>telegram export\photos\photo_26@21-12-2025_05-36-21.jpg</x:v>
      </x:c>
      <x:c r="E1407" s="31"/>
    </x:row>
    <x:row r="1408" ht="15" hidden="0" customHeight="1">
      <x:c r="A1408" s="31" t="str">
        <x:v>Anjoman accounting - refined.xlsx</x:v>
      </x:c>
      <x:c r="B1408" s="31" t="str">
        <x:v>اسناد و شواهد</x:v>
      </x:c>
      <x:c r="C1408" s="31" t="str">
        <x:v>C111</x:v>
      </x:c>
      <x:c r="D1408" s="31" t="str">
        <x:v>jpg</x:v>
      </x:c>
      <x:c r="E1408" s="31"/>
    </x:row>
    <x:row r="1409" ht="15" hidden="0" customHeight="1">
      <x:c r="A1409" s="31" t="str">
        <x:v>Anjoman accounting - refined.xlsx</x:v>
      </x:c>
      <x:c r="B1409" s="31" t="str">
        <x:v>اسناد و شواهد</x:v>
      </x:c>
      <x:c r="C1409" s="31" t="str">
        <x:v>D111</x:v>
      </x:c>
      <x:c r="D1409" s="31" t="str">
        <x:v>35321</x:v>
      </x:c>
      <x:c r="E1409" s="31"/>
    </x:row>
    <x:row r="1410" ht="15" hidden="0" customHeight="1">
      <x:c r="A1410" s="31" t="str">
        <x:v>Anjoman accounting - refined.xlsx</x:v>
      </x:c>
      <x:c r="B1410" s="31" t="str">
        <x:v>اسناد و شواهد</x:v>
      </x:c>
      <x:c r="C1410" s="31" t="str">
        <x:v>E111</x:v>
      </x:c>
      <x:c r="D1410" s="31" t="str">
        <x:v>a7ff8727fc0c461dc0be5e4bbc9c6c1409720229eae30931e3ae85f417819512</x:v>
      </x:c>
      <x:c r="E1410" s="31"/>
    </x:row>
    <x:row r="1411" ht="15" hidden="0" customHeight="1">
      <x:c r="A1411" s="31" t="str">
        <x:v>Anjoman accounting - refined.xlsx</x:v>
      </x:c>
      <x:c r="B1411" s="31" t="str">
        <x:v>اسناد و شواهد</x:v>
      </x:c>
      <x:c r="C1411" s="31" t="str">
        <x:v>A112</x:v>
      </x:c>
      <x:c r="D1411" s="31" t="str">
        <x:v>E-0109</x:v>
      </x:c>
      <x:c r="E1411" s="31"/>
    </x:row>
    <x:row r="1412" ht="15" hidden="0" customHeight="1">
      <x:c r="A1412" s="31" t="str">
        <x:v>Anjoman accounting - refined.xlsx</x:v>
      </x:c>
      <x:c r="B1412" s="31" t="str">
        <x:v>اسناد و شواهد</x:v>
      </x:c>
      <x:c r="C1412" s="31" t="str">
        <x:v>B112</x:v>
      </x:c>
      <x:c r="D1412" s="31" t="str">
        <x:v>telegram export\photos\photo_26@21-12-2025_05-36-21_thumb.jpg</x:v>
      </x:c>
      <x:c r="E1412" s="31"/>
    </x:row>
    <x:row r="1413" ht="15" hidden="0" customHeight="1">
      <x:c r="A1413" s="31" t="str">
        <x:v>Anjoman accounting - refined.xlsx</x:v>
      </x:c>
      <x:c r="B1413" s="31" t="str">
        <x:v>اسناد و شواهد</x:v>
      </x:c>
      <x:c r="C1413" s="31" t="str">
        <x:v>C112</x:v>
      </x:c>
      <x:c r="D1413" s="31" t="str">
        <x:v>jpg</x:v>
      </x:c>
      <x:c r="E1413" s="31"/>
    </x:row>
    <x:row r="1414" ht="15" hidden="0" customHeight="1">
      <x:c r="A1414" s="31" t="str">
        <x:v>Anjoman accounting - refined.xlsx</x:v>
      </x:c>
      <x:c r="B1414" s="31" t="str">
        <x:v>اسناد و شواهد</x:v>
      </x:c>
      <x:c r="C1414" s="31" t="str">
        <x:v>D112</x:v>
      </x:c>
      <x:c r="D1414" s="31" t="str">
        <x:v>12147</x:v>
      </x:c>
      <x:c r="E1414" s="31"/>
    </x:row>
    <x:row r="1415" ht="15" hidden="0" customHeight="1">
      <x:c r="A1415" s="31" t="str">
        <x:v>Anjoman accounting - refined.xlsx</x:v>
      </x:c>
      <x:c r="B1415" s="31" t="str">
        <x:v>اسناد و شواهد</x:v>
      </x:c>
      <x:c r="C1415" s="31" t="str">
        <x:v>E112</x:v>
      </x:c>
      <x:c r="D1415" s="31" t="str">
        <x:v>f8859f2d098ab865f32aa9561a2a7fb2438915a66e4942adcea3c50e8b70f9a4</x:v>
      </x:c>
      <x:c r="E1415" s="31"/>
    </x:row>
    <x:row r="1416" ht="15" hidden="0" customHeight="1">
      <x:c r="A1416" s="31" t="str">
        <x:v>Anjoman accounting - refined.xlsx</x:v>
      </x:c>
      <x:c r="B1416" s="31" t="str">
        <x:v>اسناد و شواهد</x:v>
      </x:c>
      <x:c r="C1416" s="31" t="str">
        <x:v>A113</x:v>
      </x:c>
      <x:c r="D1416" s="31" t="str">
        <x:v>E-0110</x:v>
      </x:c>
      <x:c r="E1416" s="31"/>
    </x:row>
    <x:row r="1417" ht="15" hidden="0" customHeight="1">
      <x:c r="A1417" s="31" t="str">
        <x:v>Anjoman accounting - refined.xlsx</x:v>
      </x:c>
      <x:c r="B1417" s="31" t="str">
        <x:v>اسناد و شواهد</x:v>
      </x:c>
      <x:c r="C1417" s="31" t="str">
        <x:v>B113</x:v>
      </x:c>
      <x:c r="D1417" s="31" t="str">
        <x:v>telegram export\photos\photo_27@17-05-2026_19-45-07.jpg</x:v>
      </x:c>
      <x:c r="E1417" s="31"/>
    </x:row>
    <x:row r="1418" ht="15" hidden="0" customHeight="1">
      <x:c r="A1418" s="31" t="str">
        <x:v>Anjoman accounting - refined.xlsx</x:v>
      </x:c>
      <x:c r="B1418" s="31" t="str">
        <x:v>اسناد و شواهد</x:v>
      </x:c>
      <x:c r="C1418" s="31" t="str">
        <x:v>C113</x:v>
      </x:c>
      <x:c r="D1418" s="31" t="str">
        <x:v>jpg</x:v>
      </x:c>
      <x:c r="E1418" s="31"/>
    </x:row>
    <x:row r="1419" ht="15" hidden="0" customHeight="1">
      <x:c r="A1419" s="31" t="str">
        <x:v>Anjoman accounting - refined.xlsx</x:v>
      </x:c>
      <x:c r="B1419" s="31" t="str">
        <x:v>اسناد و شواهد</x:v>
      </x:c>
      <x:c r="C1419" s="31" t="str">
        <x:v>D113</x:v>
      </x:c>
      <x:c r="D1419" s="31" t="str">
        <x:v>71982</x:v>
      </x:c>
      <x:c r="E1419" s="31"/>
    </x:row>
    <x:row r="1420" ht="15" hidden="0" customHeight="1">
      <x:c r="A1420" s="31" t="str">
        <x:v>Anjoman accounting - refined.xlsx</x:v>
      </x:c>
      <x:c r="B1420" s="31" t="str">
        <x:v>اسناد و شواهد</x:v>
      </x:c>
      <x:c r="C1420" s="31" t="str">
        <x:v>E113</x:v>
      </x:c>
      <x:c r="D1420" s="31" t="str">
        <x:v>e0e7050e5e9b2018e96723ae4831b7cdcbf4f3d79406e74efb72a47e928fe9e5</x:v>
      </x:c>
      <x:c r="E1420" s="31"/>
    </x:row>
    <x:row r="1421" ht="15" hidden="0" customHeight="1">
      <x:c r="A1421" s="31" t="str">
        <x:v>Anjoman accounting - refined.xlsx</x:v>
      </x:c>
      <x:c r="B1421" s="31" t="str">
        <x:v>اسناد و شواهد</x:v>
      </x:c>
      <x:c r="C1421" s="31" t="str">
        <x:v>A114</x:v>
      </x:c>
      <x:c r="D1421" s="31" t="str">
        <x:v>E-0111</x:v>
      </x:c>
      <x:c r="E1421" s="31"/>
    </x:row>
    <x:row r="1422" ht="15" hidden="0" customHeight="1">
      <x:c r="A1422" s="31" t="str">
        <x:v>Anjoman accounting - refined.xlsx</x:v>
      </x:c>
      <x:c r="B1422" s="31" t="str">
        <x:v>اسناد و شواهد</x:v>
      </x:c>
      <x:c r="C1422" s="31" t="str">
        <x:v>B114</x:v>
      </x:c>
      <x:c r="D1422" s="31" t="str">
        <x:v>telegram export\photos\photo_27@17-05-2026_19-45-07_thumb.jpg</x:v>
      </x:c>
      <x:c r="E1422" s="31"/>
    </x:row>
    <x:row r="1423" ht="15" hidden="0" customHeight="1">
      <x:c r="A1423" s="31" t="str">
        <x:v>Anjoman accounting - refined.xlsx</x:v>
      </x:c>
      <x:c r="B1423" s="31" t="str">
        <x:v>اسناد و شواهد</x:v>
      </x:c>
      <x:c r="C1423" s="31" t="str">
        <x:v>C114</x:v>
      </x:c>
      <x:c r="D1423" s="31" t="str">
        <x:v>jpg</x:v>
      </x:c>
      <x:c r="E1423" s="31"/>
    </x:row>
    <x:row r="1424" ht="15" hidden="0" customHeight="1">
      <x:c r="A1424" s="31" t="str">
        <x:v>Anjoman accounting - refined.xlsx</x:v>
      </x:c>
      <x:c r="B1424" s="31" t="str">
        <x:v>اسناد و شواهد</x:v>
      </x:c>
      <x:c r="C1424" s="31" t="str">
        <x:v>D114</x:v>
      </x:c>
      <x:c r="D1424" s="31" t="str">
        <x:v>17099</x:v>
      </x:c>
      <x:c r="E1424" s="31"/>
    </x:row>
    <x:row r="1425" ht="15" hidden="0" customHeight="1">
      <x:c r="A1425" s="31" t="str">
        <x:v>Anjoman accounting - refined.xlsx</x:v>
      </x:c>
      <x:c r="B1425" s="31" t="str">
        <x:v>اسناد و شواهد</x:v>
      </x:c>
      <x:c r="C1425" s="31" t="str">
        <x:v>E114</x:v>
      </x:c>
      <x:c r="D1425" s="31" t="str">
        <x:v>2c720d92b1c24e952486a187e5286d924ef609e598a88124d9f02bc6cdb1f93d</x:v>
      </x:c>
      <x:c r="E1425" s="31"/>
    </x:row>
    <x:row r="1426" ht="15" hidden="0" customHeight="1">
      <x:c r="A1426" s="31" t="str">
        <x:v>Anjoman accounting - refined.xlsx</x:v>
      </x:c>
      <x:c r="B1426" s="31" t="str">
        <x:v>اسناد و شواهد</x:v>
      </x:c>
      <x:c r="C1426" s="31" t="str">
        <x:v>A115</x:v>
      </x:c>
      <x:c r="D1426" s="31" t="str">
        <x:v>E-0112</x:v>
      </x:c>
      <x:c r="E1426" s="31"/>
    </x:row>
    <x:row r="1427" ht="15" hidden="0" customHeight="1">
      <x:c r="A1427" s="31" t="str">
        <x:v>Anjoman accounting - refined.xlsx</x:v>
      </x:c>
      <x:c r="B1427" s="31" t="str">
        <x:v>اسناد و شواهد</x:v>
      </x:c>
      <x:c r="C1427" s="31" t="str">
        <x:v>B115</x:v>
      </x:c>
      <x:c r="D1427" s="31" t="str">
        <x:v>telegram export\photos\photo_28@17-05-2026_19-45-07.jpg</x:v>
      </x:c>
      <x:c r="E1427" s="31"/>
    </x:row>
    <x:row r="1428" ht="15" hidden="0" customHeight="1">
      <x:c r="A1428" s="31" t="str">
        <x:v>Anjoman accounting - refined.xlsx</x:v>
      </x:c>
      <x:c r="B1428" s="31" t="str">
        <x:v>اسناد و شواهد</x:v>
      </x:c>
      <x:c r="C1428" s="31" t="str">
        <x:v>C115</x:v>
      </x:c>
      <x:c r="D1428" s="31" t="str">
        <x:v>jpg</x:v>
      </x:c>
      <x:c r="E1428" s="31"/>
    </x:row>
    <x:row r="1429" ht="15" hidden="0" customHeight="1">
      <x:c r="A1429" s="31" t="str">
        <x:v>Anjoman accounting - refined.xlsx</x:v>
      </x:c>
      <x:c r="B1429" s="31" t="str">
        <x:v>اسناد و شواهد</x:v>
      </x:c>
      <x:c r="C1429" s="31" t="str">
        <x:v>D115</x:v>
      </x:c>
      <x:c r="D1429" s="31" t="str">
        <x:v>72527</x:v>
      </x:c>
      <x:c r="E1429" s="31"/>
    </x:row>
    <x:row r="1430" ht="15" hidden="0" customHeight="1">
      <x:c r="A1430" s="31" t="str">
        <x:v>Anjoman accounting - refined.xlsx</x:v>
      </x:c>
      <x:c r="B1430" s="31" t="str">
        <x:v>اسناد و شواهد</x:v>
      </x:c>
      <x:c r="C1430" s="31" t="str">
        <x:v>E115</x:v>
      </x:c>
      <x:c r="D1430" s="31" t="str">
        <x:v>a79a95c1f0e5d599fc42a26df85ffafea142c9cc7caa622a0a1b3e9d5b7dae31</x:v>
      </x:c>
      <x:c r="E1430" s="31"/>
    </x:row>
    <x:row r="1431" ht="15" hidden="0" customHeight="1">
      <x:c r="A1431" s="31" t="str">
        <x:v>Anjoman accounting - refined.xlsx</x:v>
      </x:c>
      <x:c r="B1431" s="31" t="str">
        <x:v>اسناد و شواهد</x:v>
      </x:c>
      <x:c r="C1431" s="31" t="str">
        <x:v>A116</x:v>
      </x:c>
      <x:c r="D1431" s="31" t="str">
        <x:v>E-0113</x:v>
      </x:c>
      <x:c r="E1431" s="31"/>
    </x:row>
    <x:row r="1432" ht="15" hidden="0" customHeight="1">
      <x:c r="A1432" s="31" t="str">
        <x:v>Anjoman accounting - refined.xlsx</x:v>
      </x:c>
      <x:c r="B1432" s="31" t="str">
        <x:v>اسناد و شواهد</x:v>
      </x:c>
      <x:c r="C1432" s="31" t="str">
        <x:v>B116</x:v>
      </x:c>
      <x:c r="D1432" s="31" t="str">
        <x:v>telegram export\photos\photo_28@17-05-2026_19-45-07_thumb.jpg</x:v>
      </x:c>
      <x:c r="E1432" s="31"/>
    </x:row>
    <x:row r="1433" ht="15" hidden="0" customHeight="1">
      <x:c r="A1433" s="31" t="str">
        <x:v>Anjoman accounting - refined.xlsx</x:v>
      </x:c>
      <x:c r="B1433" s="31" t="str">
        <x:v>اسناد و شواهد</x:v>
      </x:c>
      <x:c r="C1433" s="31" t="str">
        <x:v>C116</x:v>
      </x:c>
      <x:c r="D1433" s="31" t="str">
        <x:v>jpg</x:v>
      </x:c>
      <x:c r="E1433" s="31"/>
    </x:row>
    <x:row r="1434" ht="15" hidden="0" customHeight="1">
      <x:c r="A1434" s="31" t="str">
        <x:v>Anjoman accounting - refined.xlsx</x:v>
      </x:c>
      <x:c r="B1434" s="31" t="str">
        <x:v>اسناد و شواهد</x:v>
      </x:c>
      <x:c r="C1434" s="31" t="str">
        <x:v>D116</x:v>
      </x:c>
      <x:c r="D1434" s="31" t="str">
        <x:v>17136</x:v>
      </x:c>
      <x:c r="E1434" s="31"/>
    </x:row>
    <x:row r="1435" ht="15" hidden="0" customHeight="1">
      <x:c r="A1435" s="31" t="str">
        <x:v>Anjoman accounting - refined.xlsx</x:v>
      </x:c>
      <x:c r="B1435" s="31" t="str">
        <x:v>اسناد و شواهد</x:v>
      </x:c>
      <x:c r="C1435" s="31" t="str">
        <x:v>E116</x:v>
      </x:c>
      <x:c r="D1435" s="31" t="str">
        <x:v>14ac73af1f9c0b1dd324ff300546cf56a8259e2d3ced8cc746b8f76cdd4ab95b</x:v>
      </x:c>
      <x:c r="E1435" s="31"/>
    </x:row>
    <x:row r="1436" ht="15" hidden="0" customHeight="1">
      <x:c r="A1436" s="31" t="str">
        <x:v>Anjoman accounting - refined.xlsx</x:v>
      </x:c>
      <x:c r="B1436" s="31" t="str">
        <x:v>اسناد و شواهد</x:v>
      </x:c>
      <x:c r="C1436" s="31" t="str">
        <x:v>A117</x:v>
      </x:c>
      <x:c r="D1436" s="31" t="str">
        <x:v>E-0114</x:v>
      </x:c>
      <x:c r="E1436" s="31"/>
    </x:row>
    <x:row r="1437" ht="15" hidden="0" customHeight="1">
      <x:c r="A1437" s="31" t="str">
        <x:v>Anjoman accounting - refined.xlsx</x:v>
      </x:c>
      <x:c r="B1437" s="31" t="str">
        <x:v>اسناد و شواهد</x:v>
      </x:c>
      <x:c r="C1437" s="31" t="str">
        <x:v>B117</x:v>
      </x:c>
      <x:c r="D1437" s="31" t="str">
        <x:v>telegram export\photos\photo_29@27-06-2026_18-24-14.jpg</x:v>
      </x:c>
      <x:c r="E1437" s="31"/>
    </x:row>
    <x:row r="1438" ht="15" hidden="0" customHeight="1">
      <x:c r="A1438" s="31" t="str">
        <x:v>Anjoman accounting - refined.xlsx</x:v>
      </x:c>
      <x:c r="B1438" s="31" t="str">
        <x:v>اسناد و شواهد</x:v>
      </x:c>
      <x:c r="C1438" s="31" t="str">
        <x:v>C117</x:v>
      </x:c>
      <x:c r="D1438" s="31" t="str">
        <x:v>jpg</x:v>
      </x:c>
      <x:c r="E1438" s="31"/>
    </x:row>
    <x:row r="1439" ht="15" hidden="0" customHeight="1">
      <x:c r="A1439" s="31" t="str">
        <x:v>Anjoman accounting - refined.xlsx</x:v>
      </x:c>
      <x:c r="B1439" s="31" t="str">
        <x:v>اسناد و شواهد</x:v>
      </x:c>
      <x:c r="C1439" s="31" t="str">
        <x:v>D117</x:v>
      </x:c>
      <x:c r="D1439" s="31" t="str">
        <x:v>89975</x:v>
      </x:c>
      <x:c r="E1439" s="31"/>
    </x:row>
    <x:row r="1440" ht="15" hidden="0" customHeight="1">
      <x:c r="A1440" s="31" t="str">
        <x:v>Anjoman accounting - refined.xlsx</x:v>
      </x:c>
      <x:c r="B1440" s="31" t="str">
        <x:v>اسناد و شواهد</x:v>
      </x:c>
      <x:c r="C1440" s="31" t="str">
        <x:v>E117</x:v>
      </x:c>
      <x:c r="D1440" s="31" t="str">
        <x:v>fdfebe75ba5891f2dbc84e11ef7625558452b73f3ce3b50b63d9c1745a4385b5</x:v>
      </x:c>
      <x:c r="E1440" s="31"/>
    </x:row>
    <x:row r="1441" ht="15" hidden="0" customHeight="1">
      <x:c r="A1441" s="31" t="str">
        <x:v>Anjoman accounting - refined.xlsx</x:v>
      </x:c>
      <x:c r="B1441" s="31" t="str">
        <x:v>اسناد و شواهد</x:v>
      </x:c>
      <x:c r="C1441" s="31" t="str">
        <x:v>A118</x:v>
      </x:c>
      <x:c r="D1441" s="31" t="str">
        <x:v>E-0115</x:v>
      </x:c>
      <x:c r="E1441" s="31"/>
    </x:row>
    <x:row r="1442" ht="15" hidden="0" customHeight="1">
      <x:c r="A1442" s="31" t="str">
        <x:v>Anjoman accounting - refined.xlsx</x:v>
      </x:c>
      <x:c r="B1442" s="31" t="str">
        <x:v>اسناد و شواهد</x:v>
      </x:c>
      <x:c r="C1442" s="31" t="str">
        <x:v>B118</x:v>
      </x:c>
      <x:c r="D1442" s="31" t="str">
        <x:v>telegram export\photos\photo_29@27-06-2026_18-24-14_thumb.jpg</x:v>
      </x:c>
      <x:c r="E1442" s="31"/>
    </x:row>
    <x:row r="1443" ht="15" hidden="0" customHeight="1">
      <x:c r="A1443" s="31" t="str">
        <x:v>Anjoman accounting - refined.xlsx</x:v>
      </x:c>
      <x:c r="B1443" s="31" t="str">
        <x:v>اسناد و شواهد</x:v>
      </x:c>
      <x:c r="C1443" s="31" t="str">
        <x:v>C118</x:v>
      </x:c>
      <x:c r="D1443" s="31" t="str">
        <x:v>jpg</x:v>
      </x:c>
      <x:c r="E1443" s="31"/>
    </x:row>
    <x:row r="1444" ht="15" hidden="0" customHeight="1">
      <x:c r="A1444" s="31" t="str">
        <x:v>Anjoman accounting - refined.xlsx</x:v>
      </x:c>
      <x:c r="B1444" s="31" t="str">
        <x:v>اسناد و شواهد</x:v>
      </x:c>
      <x:c r="C1444" s="31" t="str">
        <x:v>D118</x:v>
      </x:c>
      <x:c r="D1444" s="31" t="str">
        <x:v>15819</x:v>
      </x:c>
      <x:c r="E1444" s="31"/>
    </x:row>
    <x:row r="1445" ht="15" hidden="0" customHeight="1">
      <x:c r="A1445" s="31" t="str">
        <x:v>Anjoman accounting - refined.xlsx</x:v>
      </x:c>
      <x:c r="B1445" s="31" t="str">
        <x:v>اسناد و شواهد</x:v>
      </x:c>
      <x:c r="C1445" s="31" t="str">
        <x:v>E118</x:v>
      </x:c>
      <x:c r="D1445" s="31" t="str">
        <x:v>046059439c0d12a22219ee7878d8708118c77740f13c2e92dda4664fdeb23719</x:v>
      </x:c>
      <x:c r="E1445" s="31"/>
    </x:row>
    <x:row r="1446" ht="15" hidden="0" customHeight="1">
      <x:c r="A1446" s="31" t="str">
        <x:v>Anjoman accounting - refined.xlsx</x:v>
      </x:c>
      <x:c r="B1446" s="31" t="str">
        <x:v>اسناد و شواهد</x:v>
      </x:c>
      <x:c r="C1446" s="31" t="str">
        <x:v>A119</x:v>
      </x:c>
      <x:c r="D1446" s="31" t="str">
        <x:v>E-0116</x:v>
      </x:c>
      <x:c r="E1446" s="31"/>
    </x:row>
    <x:row r="1447" ht="15" hidden="0" customHeight="1">
      <x:c r="A1447" s="31" t="str">
        <x:v>Anjoman accounting - refined.xlsx</x:v>
      </x:c>
      <x:c r="B1447" s="31" t="str">
        <x:v>اسناد و شواهد</x:v>
      </x:c>
      <x:c r="C1447" s="31" t="str">
        <x:v>B119</x:v>
      </x:c>
      <x:c r="D1447" s="31" t="str">
        <x:v>telegram export\photos\photo_2@24-07-2025_21-00-17.jpg</x:v>
      </x:c>
      <x:c r="E1447" s="31"/>
    </x:row>
    <x:row r="1448" ht="15" hidden="0" customHeight="1">
      <x:c r="A1448" s="31" t="str">
        <x:v>Anjoman accounting - refined.xlsx</x:v>
      </x:c>
      <x:c r="B1448" s="31" t="str">
        <x:v>اسناد و شواهد</x:v>
      </x:c>
      <x:c r="C1448" s="31" t="str">
        <x:v>C119</x:v>
      </x:c>
      <x:c r="D1448" s="31" t="str">
        <x:v>jpg</x:v>
      </x:c>
      <x:c r="E1448" s="31"/>
    </x:row>
    <x:row r="1449" ht="15" hidden="0" customHeight="1">
      <x:c r="A1449" s="31" t="str">
        <x:v>Anjoman accounting - refined.xlsx</x:v>
      </x:c>
      <x:c r="B1449" s="31" t="str">
        <x:v>اسناد و شواهد</x:v>
      </x:c>
      <x:c r="C1449" s="31" t="str">
        <x:v>D119</x:v>
      </x:c>
      <x:c r="D1449" s="31" t="str">
        <x:v>74772</x:v>
      </x:c>
      <x:c r="E1449" s="31"/>
    </x:row>
    <x:row r="1450" ht="15" hidden="0" customHeight="1">
      <x:c r="A1450" s="31" t="str">
        <x:v>Anjoman accounting - refined.xlsx</x:v>
      </x:c>
      <x:c r="B1450" s="31" t="str">
        <x:v>اسناد و شواهد</x:v>
      </x:c>
      <x:c r="C1450" s="31" t="str">
        <x:v>E119</x:v>
      </x:c>
      <x:c r="D1450" s="31" t="str">
        <x:v>9d1cc7913277237d5bf999452661d8ab00c1add42d2751e54bfa96521f756b17</x:v>
      </x:c>
      <x:c r="E1450" s="31"/>
    </x:row>
    <x:row r="1451" ht="15" hidden="0" customHeight="1">
      <x:c r="A1451" s="31" t="str">
        <x:v>Anjoman accounting - refined.xlsx</x:v>
      </x:c>
      <x:c r="B1451" s="31" t="str">
        <x:v>اسناد و شواهد</x:v>
      </x:c>
      <x:c r="C1451" s="31" t="str">
        <x:v>A120</x:v>
      </x:c>
      <x:c r="D1451" s="31" t="str">
        <x:v>E-0117</x:v>
      </x:c>
      <x:c r="E1451" s="31"/>
    </x:row>
    <x:row r="1452" ht="15" hidden="0" customHeight="1">
      <x:c r="A1452" s="31" t="str">
        <x:v>Anjoman accounting - refined.xlsx</x:v>
      </x:c>
      <x:c r="B1452" s="31" t="str">
        <x:v>اسناد و شواهد</x:v>
      </x:c>
      <x:c r="C1452" s="31" t="str">
        <x:v>B120</x:v>
      </x:c>
      <x:c r="D1452" s="31" t="str">
        <x:v>telegram export\photos\photo_2@24-07-2025_21-00-17_thumb.jpg</x:v>
      </x:c>
      <x:c r="E1452" s="31"/>
    </x:row>
    <x:row r="1453" ht="15" hidden="0" customHeight="1">
      <x:c r="A1453" s="31" t="str">
        <x:v>Anjoman accounting - refined.xlsx</x:v>
      </x:c>
      <x:c r="B1453" s="31" t="str">
        <x:v>اسناد و شواهد</x:v>
      </x:c>
      <x:c r="C1453" s="31" t="str">
        <x:v>C120</x:v>
      </x:c>
      <x:c r="D1453" s="31" t="str">
        <x:v>jpg</x:v>
      </x:c>
      <x:c r="E1453" s="31"/>
    </x:row>
    <x:row r="1454" ht="15" hidden="0" customHeight="1">
      <x:c r="A1454" s="31" t="str">
        <x:v>Anjoman accounting - refined.xlsx</x:v>
      </x:c>
      <x:c r="B1454" s="31" t="str">
        <x:v>اسناد و شواهد</x:v>
      </x:c>
      <x:c r="C1454" s="31" t="str">
        <x:v>D120</x:v>
      </x:c>
      <x:c r="D1454" s="31" t="str">
        <x:v>19380</x:v>
      </x:c>
      <x:c r="E1454" s="31"/>
    </x:row>
    <x:row r="1455" ht="15" hidden="0" customHeight="1">
      <x:c r="A1455" s="31" t="str">
        <x:v>Anjoman accounting - refined.xlsx</x:v>
      </x:c>
      <x:c r="B1455" s="31" t="str">
        <x:v>اسناد و شواهد</x:v>
      </x:c>
      <x:c r="C1455" s="31" t="str">
        <x:v>E120</x:v>
      </x:c>
      <x:c r="D1455" s="31" t="str">
        <x:v>45b4c54bf0c938724ba5f4456740260bf193c754914788523bcf8b428fa416ba</x:v>
      </x:c>
      <x:c r="E1455" s="31"/>
    </x:row>
    <x:row r="1456" ht="15" hidden="0" customHeight="1">
      <x:c r="A1456" s="31" t="str">
        <x:v>Anjoman accounting - refined.xlsx</x:v>
      </x:c>
      <x:c r="B1456" s="31" t="str">
        <x:v>اسناد و شواهد</x:v>
      </x:c>
      <x:c r="C1456" s="31" t="str">
        <x:v>A121</x:v>
      </x:c>
      <x:c r="D1456" s="31" t="str">
        <x:v>E-0118</x:v>
      </x:c>
      <x:c r="E1456" s="31"/>
    </x:row>
    <x:row r="1457" ht="15" hidden="0" customHeight="1">
      <x:c r="A1457" s="31" t="str">
        <x:v>Anjoman accounting - refined.xlsx</x:v>
      </x:c>
      <x:c r="B1457" s="31" t="str">
        <x:v>اسناد و شواهد</x:v>
      </x:c>
      <x:c r="C1457" s="31" t="str">
        <x:v>B121</x:v>
      </x:c>
      <x:c r="D1457" s="31" t="str">
        <x:v>telegram export\photos\photo_30@27-06-2026_18-24-31.jpg</x:v>
      </x:c>
      <x:c r="E1457" s="31"/>
    </x:row>
    <x:row r="1458" ht="15" hidden="0" customHeight="1">
      <x:c r="A1458" s="31" t="str">
        <x:v>Anjoman accounting - refined.xlsx</x:v>
      </x:c>
      <x:c r="B1458" s="31" t="str">
        <x:v>اسناد و شواهد</x:v>
      </x:c>
      <x:c r="C1458" s="31" t="str">
        <x:v>C121</x:v>
      </x:c>
      <x:c r="D1458" s="31" t="str">
        <x:v>jpg</x:v>
      </x:c>
      <x:c r="E1458" s="31"/>
    </x:row>
    <x:row r="1459" ht="15" hidden="0" customHeight="1">
      <x:c r="A1459" s="31" t="str">
        <x:v>Anjoman accounting - refined.xlsx</x:v>
      </x:c>
      <x:c r="B1459" s="31" t="str">
        <x:v>اسناد و شواهد</x:v>
      </x:c>
      <x:c r="C1459" s="31" t="str">
        <x:v>D121</x:v>
      </x:c>
      <x:c r="D1459" s="31" t="str">
        <x:v>114397</x:v>
      </x:c>
      <x:c r="E1459" s="31"/>
    </x:row>
    <x:row r="1460" ht="15" hidden="0" customHeight="1">
      <x:c r="A1460" s="31" t="str">
        <x:v>Anjoman accounting - refined.xlsx</x:v>
      </x:c>
      <x:c r="B1460" s="31" t="str">
        <x:v>اسناد و شواهد</x:v>
      </x:c>
      <x:c r="C1460" s="31" t="str">
        <x:v>E121</x:v>
      </x:c>
      <x:c r="D1460" s="31" t="str">
        <x:v>f5569b998adf63c1cebcb144277502c32db8088ce75d731cd3a7d98be3b2c669</x:v>
      </x:c>
      <x:c r="E1460" s="31"/>
    </x:row>
    <x:row r="1461" ht="15" hidden="0" customHeight="1">
      <x:c r="A1461" s="31" t="str">
        <x:v>Anjoman accounting - refined.xlsx</x:v>
      </x:c>
      <x:c r="B1461" s="31" t="str">
        <x:v>اسناد و شواهد</x:v>
      </x:c>
      <x:c r="C1461" s="31" t="str">
        <x:v>A122</x:v>
      </x:c>
      <x:c r="D1461" s="31" t="str">
        <x:v>E-0119</x:v>
      </x:c>
      <x:c r="E1461" s="31"/>
    </x:row>
    <x:row r="1462" ht="15" hidden="0" customHeight="1">
      <x:c r="A1462" s="31" t="str">
        <x:v>Anjoman accounting - refined.xlsx</x:v>
      </x:c>
      <x:c r="B1462" s="31" t="str">
        <x:v>اسناد و شواهد</x:v>
      </x:c>
      <x:c r="C1462" s="31" t="str">
        <x:v>B122</x:v>
      </x:c>
      <x:c r="D1462" s="31" t="str">
        <x:v>telegram export\photos\photo_30@27-06-2026_18-24-31_thumb.jpg</x:v>
      </x:c>
      <x:c r="E1462" s="31"/>
    </x:row>
    <x:row r="1463" ht="15" hidden="0" customHeight="1">
      <x:c r="A1463" s="31" t="str">
        <x:v>Anjoman accounting - refined.xlsx</x:v>
      </x:c>
      <x:c r="B1463" s="31" t="str">
        <x:v>اسناد و شواهد</x:v>
      </x:c>
      <x:c r="C1463" s="31" t="str">
        <x:v>C122</x:v>
      </x:c>
      <x:c r="D1463" s="31" t="str">
        <x:v>jpg</x:v>
      </x:c>
      <x:c r="E1463" s="31"/>
    </x:row>
    <x:row r="1464" ht="15" hidden="0" customHeight="1">
      <x:c r="A1464" s="31" t="str">
        <x:v>Anjoman accounting - refined.xlsx</x:v>
      </x:c>
      <x:c r="B1464" s="31" t="str">
        <x:v>اسناد و شواهد</x:v>
      </x:c>
      <x:c r="C1464" s="31" t="str">
        <x:v>D122</x:v>
      </x:c>
      <x:c r="D1464" s="31" t="str">
        <x:v>16871</x:v>
      </x:c>
      <x:c r="E1464" s="31"/>
    </x:row>
    <x:row r="1465" ht="15" hidden="0" customHeight="1">
      <x:c r="A1465" s="31" t="str">
        <x:v>Anjoman accounting - refined.xlsx</x:v>
      </x:c>
      <x:c r="B1465" s="31" t="str">
        <x:v>اسناد و شواهد</x:v>
      </x:c>
      <x:c r="C1465" s="31" t="str">
        <x:v>E122</x:v>
      </x:c>
      <x:c r="D1465" s="31" t="str">
        <x:v>3d4bb8e1a8ed40fa8cfbfd9cd4bc1ac477eac08927e477324b3b32668df4eb8a</x:v>
      </x:c>
      <x:c r="E1465" s="31"/>
    </x:row>
    <x:row r="1466" ht="15" hidden="0" customHeight="1">
      <x:c r="A1466" s="31" t="str">
        <x:v>Anjoman accounting - refined.xlsx</x:v>
      </x:c>
      <x:c r="B1466" s="31" t="str">
        <x:v>اسناد و شواهد</x:v>
      </x:c>
      <x:c r="C1466" s="31" t="str">
        <x:v>A123</x:v>
      </x:c>
      <x:c r="D1466" s="31" t="str">
        <x:v>E-0120</x:v>
      </x:c>
      <x:c r="E1466" s="31"/>
    </x:row>
    <x:row r="1467" ht="15" hidden="0" customHeight="1">
      <x:c r="A1467" s="31" t="str">
        <x:v>Anjoman accounting - refined.xlsx</x:v>
      </x:c>
      <x:c r="B1467" s="31" t="str">
        <x:v>اسناد و شواهد</x:v>
      </x:c>
      <x:c r="C1467" s="31" t="str">
        <x:v>B123</x:v>
      </x:c>
      <x:c r="D1467" s="31" t="str">
        <x:v>telegram export\photos\photo_31@27-06-2026_18-24-39.jpg</x:v>
      </x:c>
      <x:c r="E1467" s="31"/>
    </x:row>
    <x:row r="1468" ht="15" hidden="0" customHeight="1">
      <x:c r="A1468" s="31" t="str">
        <x:v>Anjoman accounting - refined.xlsx</x:v>
      </x:c>
      <x:c r="B1468" s="31" t="str">
        <x:v>اسناد و شواهد</x:v>
      </x:c>
      <x:c r="C1468" s="31" t="str">
        <x:v>C123</x:v>
      </x:c>
      <x:c r="D1468" s="31" t="str">
        <x:v>jpg</x:v>
      </x:c>
      <x:c r="E1468" s="31"/>
    </x:row>
    <x:row r="1469" ht="15" hidden="0" customHeight="1">
      <x:c r="A1469" s="31" t="str">
        <x:v>Anjoman accounting - refined.xlsx</x:v>
      </x:c>
      <x:c r="B1469" s="31" t="str">
        <x:v>اسناد و شواهد</x:v>
      </x:c>
      <x:c r="C1469" s="31" t="str">
        <x:v>D123</x:v>
      </x:c>
      <x:c r="D1469" s="31" t="str">
        <x:v>51950</x:v>
      </x:c>
      <x:c r="E1469" s="31"/>
    </x:row>
    <x:row r="1470" ht="15" hidden="0" customHeight="1">
      <x:c r="A1470" s="31" t="str">
        <x:v>Anjoman accounting - refined.xlsx</x:v>
      </x:c>
      <x:c r="B1470" s="31" t="str">
        <x:v>اسناد و شواهد</x:v>
      </x:c>
      <x:c r="C1470" s="31" t="str">
        <x:v>E123</x:v>
      </x:c>
      <x:c r="D1470" s="31" t="str">
        <x:v>5e693fc6f8303f5ee512c9ec9b3eadec3f3d7319b2c2f969e9875baca06d790b</x:v>
      </x:c>
      <x:c r="E1470" s="31"/>
    </x:row>
    <x:row r="1471" ht="15" hidden="0" customHeight="1">
      <x:c r="A1471" s="31" t="str">
        <x:v>Anjoman accounting - refined.xlsx</x:v>
      </x:c>
      <x:c r="B1471" s="31" t="str">
        <x:v>اسناد و شواهد</x:v>
      </x:c>
      <x:c r="C1471" s="31" t="str">
        <x:v>A124</x:v>
      </x:c>
      <x:c r="D1471" s="31" t="str">
        <x:v>E-0121</x:v>
      </x:c>
      <x:c r="E1471" s="31"/>
    </x:row>
    <x:row r="1472" ht="15" hidden="0" customHeight="1">
      <x:c r="A1472" s="31" t="str">
        <x:v>Anjoman accounting - refined.xlsx</x:v>
      </x:c>
      <x:c r="B1472" s="31" t="str">
        <x:v>اسناد و شواهد</x:v>
      </x:c>
      <x:c r="C1472" s="31" t="str">
        <x:v>B124</x:v>
      </x:c>
      <x:c r="D1472" s="31" t="str">
        <x:v>telegram export\photos\photo_31@27-06-2026_18-24-39_thumb.jpg</x:v>
      </x:c>
      <x:c r="E1472" s="31"/>
    </x:row>
    <x:row r="1473" ht="15" hidden="0" customHeight="1">
      <x:c r="A1473" s="31" t="str">
        <x:v>Anjoman accounting - refined.xlsx</x:v>
      </x:c>
      <x:c r="B1473" s="31" t="str">
        <x:v>اسناد و شواهد</x:v>
      </x:c>
      <x:c r="C1473" s="31" t="str">
        <x:v>C124</x:v>
      </x:c>
      <x:c r="D1473" s="31" t="str">
        <x:v>jpg</x:v>
      </x:c>
      <x:c r="E1473" s="31"/>
    </x:row>
    <x:row r="1474" ht="15" hidden="0" customHeight="1">
      <x:c r="A1474" s="31" t="str">
        <x:v>Anjoman accounting - refined.xlsx</x:v>
      </x:c>
      <x:c r="B1474" s="31" t="str">
        <x:v>اسناد و شواهد</x:v>
      </x:c>
      <x:c r="C1474" s="31" t="str">
        <x:v>D124</x:v>
      </x:c>
      <x:c r="D1474" s="31" t="str">
        <x:v>9380</x:v>
      </x:c>
      <x:c r="E1474" s="31"/>
    </x:row>
    <x:row r="1475" ht="15" hidden="0" customHeight="1">
      <x:c r="A1475" s="31" t="str">
        <x:v>Anjoman accounting - refined.xlsx</x:v>
      </x:c>
      <x:c r="B1475" s="31" t="str">
        <x:v>اسناد و شواهد</x:v>
      </x:c>
      <x:c r="C1475" s="31" t="str">
        <x:v>E124</x:v>
      </x:c>
      <x:c r="D1475" s="31" t="str">
        <x:v>0f2017a922c55b1e7f525431e0f8285cdee7af85ab4ff1d874a36af21a227132</x:v>
      </x:c>
      <x:c r="E1475" s="31"/>
    </x:row>
    <x:row r="1476" ht="15" hidden="0" customHeight="1">
      <x:c r="A1476" s="31" t="str">
        <x:v>Anjoman accounting - refined.xlsx</x:v>
      </x:c>
      <x:c r="B1476" s="31" t="str">
        <x:v>اسناد و شواهد</x:v>
      </x:c>
      <x:c r="C1476" s="31" t="str">
        <x:v>A125</x:v>
      </x:c>
      <x:c r="D1476" s="31" t="str">
        <x:v>E-0122</x:v>
      </x:c>
      <x:c r="E1476" s="31"/>
    </x:row>
    <x:row r="1477" ht="15" hidden="0" customHeight="1">
      <x:c r="A1477" s="31" t="str">
        <x:v>Anjoman accounting - refined.xlsx</x:v>
      </x:c>
      <x:c r="B1477" s="31" t="str">
        <x:v>اسناد و شواهد</x:v>
      </x:c>
      <x:c r="C1477" s="31" t="str">
        <x:v>B125</x:v>
      </x:c>
      <x:c r="D1477" s="31" t="str">
        <x:v>telegram export\photos\photo_32@27-06-2026_18-24-52.jpg</x:v>
      </x:c>
      <x:c r="E1477" s="31"/>
    </x:row>
    <x:row r="1478" ht="15" hidden="0" customHeight="1">
      <x:c r="A1478" s="31" t="str">
        <x:v>Anjoman accounting - refined.xlsx</x:v>
      </x:c>
      <x:c r="B1478" s="31" t="str">
        <x:v>اسناد و شواهد</x:v>
      </x:c>
      <x:c r="C1478" s="31" t="str">
        <x:v>C125</x:v>
      </x:c>
      <x:c r="D1478" s="31" t="str">
        <x:v>jpg</x:v>
      </x:c>
      <x:c r="E1478" s="31"/>
    </x:row>
    <x:row r="1479" ht="15" hidden="0" customHeight="1">
      <x:c r="A1479" s="31" t="str">
        <x:v>Anjoman accounting - refined.xlsx</x:v>
      </x:c>
      <x:c r="B1479" s="31" t="str">
        <x:v>اسناد و شواهد</x:v>
      </x:c>
      <x:c r="C1479" s="31" t="str">
        <x:v>D125</x:v>
      </x:c>
      <x:c r="D1479" s="31" t="str">
        <x:v>66516</x:v>
      </x:c>
      <x:c r="E1479" s="31"/>
    </x:row>
    <x:row r="1480" ht="15" hidden="0" customHeight="1">
      <x:c r="A1480" s="31" t="str">
        <x:v>Anjoman accounting - refined.xlsx</x:v>
      </x:c>
      <x:c r="B1480" s="31" t="str">
        <x:v>اسناد و شواهد</x:v>
      </x:c>
      <x:c r="C1480" s="31" t="str">
        <x:v>E125</x:v>
      </x:c>
      <x:c r="D1480" s="31" t="str">
        <x:v>7628c00e8636b2fb53053ed1feaab9c04fbc27a578e143dd6f1f16a64d6e00e3</x:v>
      </x:c>
      <x:c r="E1480" s="31"/>
    </x:row>
    <x:row r="1481" ht="15" hidden="0" customHeight="1">
      <x:c r="A1481" s="31" t="str">
        <x:v>Anjoman accounting - refined.xlsx</x:v>
      </x:c>
      <x:c r="B1481" s="31" t="str">
        <x:v>اسناد و شواهد</x:v>
      </x:c>
      <x:c r="C1481" s="31" t="str">
        <x:v>A126</x:v>
      </x:c>
      <x:c r="D1481" s="31" t="str">
        <x:v>E-0123</x:v>
      </x:c>
      <x:c r="E1481" s="31"/>
    </x:row>
    <x:row r="1482" ht="15" hidden="0" customHeight="1">
      <x:c r="A1482" s="31" t="str">
        <x:v>Anjoman accounting - refined.xlsx</x:v>
      </x:c>
      <x:c r="B1482" s="31" t="str">
        <x:v>اسناد و شواهد</x:v>
      </x:c>
      <x:c r="C1482" s="31" t="str">
        <x:v>B126</x:v>
      </x:c>
      <x:c r="D1482" s="31" t="str">
        <x:v>telegram export\photos\photo_32@27-06-2026_18-24-52_thumb.jpg</x:v>
      </x:c>
      <x:c r="E1482" s="31"/>
    </x:row>
    <x:row r="1483" ht="15" hidden="0" customHeight="1">
      <x:c r="A1483" s="31" t="str">
        <x:v>Anjoman accounting - refined.xlsx</x:v>
      </x:c>
      <x:c r="B1483" s="31" t="str">
        <x:v>اسناد و شواهد</x:v>
      </x:c>
      <x:c r="C1483" s="31" t="str">
        <x:v>C126</x:v>
      </x:c>
      <x:c r="D1483" s="31" t="str">
        <x:v>jpg</x:v>
      </x:c>
      <x:c r="E1483" s="31"/>
    </x:row>
    <x:row r="1484" ht="15" hidden="0" customHeight="1">
      <x:c r="A1484" s="31" t="str">
        <x:v>Anjoman accounting - refined.xlsx</x:v>
      </x:c>
      <x:c r="B1484" s="31" t="str">
        <x:v>اسناد و شواهد</x:v>
      </x:c>
      <x:c r="C1484" s="31" t="str">
        <x:v>D126</x:v>
      </x:c>
      <x:c r="D1484" s="31" t="str">
        <x:v>9906</x:v>
      </x:c>
      <x:c r="E1484" s="31"/>
    </x:row>
    <x:row r="1485" ht="15" hidden="0" customHeight="1">
      <x:c r="A1485" s="31" t="str">
        <x:v>Anjoman accounting - refined.xlsx</x:v>
      </x:c>
      <x:c r="B1485" s="31" t="str">
        <x:v>اسناد و شواهد</x:v>
      </x:c>
      <x:c r="C1485" s="31" t="str">
        <x:v>E126</x:v>
      </x:c>
      <x:c r="D1485" s="31" t="str">
        <x:v>f3417f5c4c6b508edbcdb5e4d6c4ad08873e4591d56ca71be71dbd36ca10f329</x:v>
      </x:c>
      <x:c r="E1485" s="31"/>
    </x:row>
    <x:row r="1486" ht="15" hidden="0" customHeight="1">
      <x:c r="A1486" s="31" t="str">
        <x:v>Anjoman accounting - refined.xlsx</x:v>
      </x:c>
      <x:c r="B1486" s="31" t="str">
        <x:v>اسناد و شواهد</x:v>
      </x:c>
      <x:c r="C1486" s="31" t="str">
        <x:v>A127</x:v>
      </x:c>
      <x:c r="D1486" s="31" t="str">
        <x:v>E-0124</x:v>
      </x:c>
      <x:c r="E1486" s="31"/>
    </x:row>
    <x:row r="1487" ht="15" hidden="0" customHeight="1">
      <x:c r="A1487" s="31" t="str">
        <x:v>Anjoman accounting - refined.xlsx</x:v>
      </x:c>
      <x:c r="B1487" s="31" t="str">
        <x:v>اسناد و شواهد</x:v>
      </x:c>
      <x:c r="C1487" s="31" t="str">
        <x:v>B127</x:v>
      </x:c>
      <x:c r="D1487" s="31" t="str">
        <x:v>telegram export\photos\photo_33@27-06-2026_18-25-49.jpg</x:v>
      </x:c>
      <x:c r="E1487" s="31"/>
    </x:row>
    <x:row r="1488" ht="15" hidden="0" customHeight="1">
      <x:c r="A1488" s="31" t="str">
        <x:v>Anjoman accounting - refined.xlsx</x:v>
      </x:c>
      <x:c r="B1488" s="31" t="str">
        <x:v>اسناد و شواهد</x:v>
      </x:c>
      <x:c r="C1488" s="31" t="str">
        <x:v>C127</x:v>
      </x:c>
      <x:c r="D1488" s="31" t="str">
        <x:v>jpg</x:v>
      </x:c>
      <x:c r="E1488" s="31"/>
    </x:row>
    <x:row r="1489" ht="15" hidden="0" customHeight="1">
      <x:c r="A1489" s="31" t="str">
        <x:v>Anjoman accounting - refined.xlsx</x:v>
      </x:c>
      <x:c r="B1489" s="31" t="str">
        <x:v>اسناد و شواهد</x:v>
      </x:c>
      <x:c r="C1489" s="31" t="str">
        <x:v>D127</x:v>
      </x:c>
      <x:c r="D1489" s="31" t="str">
        <x:v>69981</x:v>
      </x:c>
      <x:c r="E1489" s="31"/>
    </x:row>
    <x:row r="1490" ht="15" hidden="0" customHeight="1">
      <x:c r="A1490" s="31" t="str">
        <x:v>Anjoman accounting - refined.xlsx</x:v>
      </x:c>
      <x:c r="B1490" s="31" t="str">
        <x:v>اسناد و شواهد</x:v>
      </x:c>
      <x:c r="C1490" s="31" t="str">
        <x:v>E127</x:v>
      </x:c>
      <x:c r="D1490" s="31" t="str">
        <x:v>a0ebad23be285a1e51b629326f6f3a8dab9f52662632f4ef6194fea9855b2267</x:v>
      </x:c>
      <x:c r="E1490" s="31"/>
    </x:row>
    <x:row r="1491" ht="15" hidden="0" customHeight="1">
      <x:c r="A1491" s="31" t="str">
        <x:v>Anjoman accounting - refined.xlsx</x:v>
      </x:c>
      <x:c r="B1491" s="31" t="str">
        <x:v>اسناد و شواهد</x:v>
      </x:c>
      <x:c r="C1491" s="31" t="str">
        <x:v>A128</x:v>
      </x:c>
      <x:c r="D1491" s="31" t="str">
        <x:v>E-0125</x:v>
      </x:c>
      <x:c r="E1491" s="31"/>
    </x:row>
    <x:row r="1492" ht="15" hidden="0" customHeight="1">
      <x:c r="A1492" s="31" t="str">
        <x:v>Anjoman accounting - refined.xlsx</x:v>
      </x:c>
      <x:c r="B1492" s="31" t="str">
        <x:v>اسناد و شواهد</x:v>
      </x:c>
      <x:c r="C1492" s="31" t="str">
        <x:v>B128</x:v>
      </x:c>
      <x:c r="D1492" s="31" t="str">
        <x:v>telegram export\photos\photo_33@27-06-2026_18-25-49_thumb.jpg</x:v>
      </x:c>
      <x:c r="E1492" s="31"/>
    </x:row>
    <x:row r="1493" ht="15" hidden="0" customHeight="1">
      <x:c r="A1493" s="31" t="str">
        <x:v>Anjoman accounting - refined.xlsx</x:v>
      </x:c>
      <x:c r="B1493" s="31" t="str">
        <x:v>اسناد و شواهد</x:v>
      </x:c>
      <x:c r="C1493" s="31" t="str">
        <x:v>C128</x:v>
      </x:c>
      <x:c r="D1493" s="31" t="str">
        <x:v>jpg</x:v>
      </x:c>
      <x:c r="E1493" s="31"/>
    </x:row>
    <x:row r="1494" ht="15" hidden="0" customHeight="1">
      <x:c r="A1494" s="31" t="str">
        <x:v>Anjoman accounting - refined.xlsx</x:v>
      </x:c>
      <x:c r="B1494" s="31" t="str">
        <x:v>اسناد و شواهد</x:v>
      </x:c>
      <x:c r="C1494" s="31" t="str">
        <x:v>D128</x:v>
      </x:c>
      <x:c r="D1494" s="31" t="str">
        <x:v>9675</x:v>
      </x:c>
      <x:c r="E1494" s="31"/>
    </x:row>
    <x:row r="1495" ht="15" hidden="0" customHeight="1">
      <x:c r="A1495" s="31" t="str">
        <x:v>Anjoman accounting - refined.xlsx</x:v>
      </x:c>
      <x:c r="B1495" s="31" t="str">
        <x:v>اسناد و شواهد</x:v>
      </x:c>
      <x:c r="C1495" s="31" t="str">
        <x:v>E128</x:v>
      </x:c>
      <x:c r="D1495" s="31" t="str">
        <x:v>2ebea433dc4355467fb9a74277e86d37e59f8fefb1964cdb320fb2b97daf236f</x:v>
      </x:c>
      <x:c r="E1495" s="31"/>
    </x:row>
    <x:row r="1496" ht="15" hidden="0" customHeight="1">
      <x:c r="A1496" s="31" t="str">
        <x:v>Anjoman accounting - refined.xlsx</x:v>
      </x:c>
      <x:c r="B1496" s="31" t="str">
        <x:v>اسناد و شواهد</x:v>
      </x:c>
      <x:c r="C1496" s="31" t="str">
        <x:v>A129</x:v>
      </x:c>
      <x:c r="D1496" s="31" t="str">
        <x:v>E-0126</x:v>
      </x:c>
      <x:c r="E1496" s="31"/>
    </x:row>
    <x:row r="1497" ht="15" hidden="0" customHeight="1">
      <x:c r="A1497" s="31" t="str">
        <x:v>Anjoman accounting - refined.xlsx</x:v>
      </x:c>
      <x:c r="B1497" s="31" t="str">
        <x:v>اسناد و شواهد</x:v>
      </x:c>
      <x:c r="C1497" s="31" t="str">
        <x:v>B129</x:v>
      </x:c>
      <x:c r="D1497" s="31" t="str">
        <x:v>telegram export\photos\photo_34@27-06-2026_18-26-03.jpg</x:v>
      </x:c>
      <x:c r="E1497" s="31"/>
    </x:row>
    <x:row r="1498" ht="15" hidden="0" customHeight="1">
      <x:c r="A1498" s="31" t="str">
        <x:v>Anjoman accounting - refined.xlsx</x:v>
      </x:c>
      <x:c r="B1498" s="31" t="str">
        <x:v>اسناد و شواهد</x:v>
      </x:c>
      <x:c r="C1498" s="31" t="str">
        <x:v>C129</x:v>
      </x:c>
      <x:c r="D1498" s="31" t="str">
        <x:v>jpg</x:v>
      </x:c>
      <x:c r="E1498" s="31"/>
    </x:row>
    <x:row r="1499" ht="15" hidden="0" customHeight="1">
      <x:c r="A1499" s="31" t="str">
        <x:v>Anjoman accounting - refined.xlsx</x:v>
      </x:c>
      <x:c r="B1499" s="31" t="str">
        <x:v>اسناد و شواهد</x:v>
      </x:c>
      <x:c r="C1499" s="31" t="str">
        <x:v>D129</x:v>
      </x:c>
      <x:c r="D1499" s="31" t="str">
        <x:v>162060</x:v>
      </x:c>
      <x:c r="E1499" s="31"/>
    </x:row>
    <x:row r="1500" ht="15" hidden="0" customHeight="1">
      <x:c r="A1500" s="31" t="str">
        <x:v>Anjoman accounting - refined.xlsx</x:v>
      </x:c>
      <x:c r="B1500" s="31" t="str">
        <x:v>اسناد و شواهد</x:v>
      </x:c>
      <x:c r="C1500" s="31" t="str">
        <x:v>E129</x:v>
      </x:c>
      <x:c r="D1500" s="31" t="str">
        <x:v>d7091b678efb3e0f2e1da6270bff602fc8d5dd14fd758484945206f09aec6835</x:v>
      </x:c>
      <x:c r="E1500" s="31"/>
    </x:row>
    <x:row r="1501" ht="15" hidden="0" customHeight="1">
      <x:c r="A1501" s="31" t="str">
        <x:v>Anjoman accounting - refined.xlsx</x:v>
      </x:c>
      <x:c r="B1501" s="31" t="str">
        <x:v>اسناد و شواهد</x:v>
      </x:c>
      <x:c r="C1501" s="31" t="str">
        <x:v>A130</x:v>
      </x:c>
      <x:c r="D1501" s="31" t="str">
        <x:v>E-0127</x:v>
      </x:c>
      <x:c r="E1501" s="31"/>
    </x:row>
    <x:row r="1502" ht="15" hidden="0" customHeight="1">
      <x:c r="A1502" s="31" t="str">
        <x:v>Anjoman accounting - refined.xlsx</x:v>
      </x:c>
      <x:c r="B1502" s="31" t="str">
        <x:v>اسناد و شواهد</x:v>
      </x:c>
      <x:c r="C1502" s="31" t="str">
        <x:v>B130</x:v>
      </x:c>
      <x:c r="D1502" s="31" t="str">
        <x:v>telegram export\photos\photo_34@27-06-2026_18-26-03_thumb.jpg</x:v>
      </x:c>
      <x:c r="E1502" s="31"/>
    </x:row>
    <x:row r="1503" ht="15" hidden="0" customHeight="1">
      <x:c r="A1503" s="31" t="str">
        <x:v>Anjoman accounting - refined.xlsx</x:v>
      </x:c>
      <x:c r="B1503" s="31" t="str">
        <x:v>اسناد و شواهد</x:v>
      </x:c>
      <x:c r="C1503" s="31" t="str">
        <x:v>C130</x:v>
      </x:c>
      <x:c r="D1503" s="31" t="str">
        <x:v>jpg</x:v>
      </x:c>
      <x:c r="E1503" s="31"/>
    </x:row>
    <x:row r="1504" ht="15" hidden="0" customHeight="1">
      <x:c r="A1504" s="31" t="str">
        <x:v>Anjoman accounting - refined.xlsx</x:v>
      </x:c>
      <x:c r="B1504" s="31" t="str">
        <x:v>اسناد و شواهد</x:v>
      </x:c>
      <x:c r="C1504" s="31" t="str">
        <x:v>D130</x:v>
      </x:c>
      <x:c r="D1504" s="31" t="str">
        <x:v>29527</x:v>
      </x:c>
      <x:c r="E1504" s="31"/>
    </x:row>
    <x:row r="1505" ht="15" hidden="0" customHeight="1">
      <x:c r="A1505" s="31" t="str">
        <x:v>Anjoman accounting - refined.xlsx</x:v>
      </x:c>
      <x:c r="B1505" s="31" t="str">
        <x:v>اسناد و شواهد</x:v>
      </x:c>
      <x:c r="C1505" s="31" t="str">
        <x:v>E130</x:v>
      </x:c>
      <x:c r="D1505" s="31" t="str">
        <x:v>41fdf3595a7babfdde9bb4b9cf77b8ef8301535fbaca4dc080ce855ff83bcbcf</x:v>
      </x:c>
      <x:c r="E1505" s="31"/>
    </x:row>
    <x:row r="1506" ht="15" hidden="0" customHeight="1">
      <x:c r="A1506" s="31" t="str">
        <x:v>Anjoman accounting - refined.xlsx</x:v>
      </x:c>
      <x:c r="B1506" s="31" t="str">
        <x:v>اسناد و شواهد</x:v>
      </x:c>
      <x:c r="C1506" s="31" t="str">
        <x:v>A131</x:v>
      </x:c>
      <x:c r="D1506" s="31" t="str">
        <x:v>E-0128</x:v>
      </x:c>
      <x:c r="E1506" s="31"/>
    </x:row>
    <x:row r="1507" ht="15" hidden="0" customHeight="1">
      <x:c r="A1507" s="31" t="str">
        <x:v>Anjoman accounting - refined.xlsx</x:v>
      </x:c>
      <x:c r="B1507" s="31" t="str">
        <x:v>اسناد و شواهد</x:v>
      </x:c>
      <x:c r="C1507" s="31" t="str">
        <x:v>B131</x:v>
      </x:c>
      <x:c r="D1507" s="31" t="str">
        <x:v>telegram export\photos\photo_35@27-06-2026_18-26-22.jpg</x:v>
      </x:c>
      <x:c r="E1507" s="31"/>
    </x:row>
    <x:row r="1508" ht="15" hidden="0" customHeight="1">
      <x:c r="A1508" s="31" t="str">
        <x:v>Anjoman accounting - refined.xlsx</x:v>
      </x:c>
      <x:c r="B1508" s="31" t="str">
        <x:v>اسناد و شواهد</x:v>
      </x:c>
      <x:c r="C1508" s="31" t="str">
        <x:v>C131</x:v>
      </x:c>
      <x:c r="D1508" s="31" t="str">
        <x:v>jpg</x:v>
      </x:c>
      <x:c r="E1508" s="31"/>
    </x:row>
    <x:row r="1509" ht="15" hidden="0" customHeight="1">
      <x:c r="A1509" s="31" t="str">
        <x:v>Anjoman accounting - refined.xlsx</x:v>
      </x:c>
      <x:c r="B1509" s="31" t="str">
        <x:v>اسناد و شواهد</x:v>
      </x:c>
      <x:c r="C1509" s="31" t="str">
        <x:v>D131</x:v>
      </x:c>
      <x:c r="D1509" s="31" t="str">
        <x:v>168669</x:v>
      </x:c>
      <x:c r="E1509" s="31"/>
    </x:row>
    <x:row r="1510" ht="15" hidden="0" customHeight="1">
      <x:c r="A1510" s="31" t="str">
        <x:v>Anjoman accounting - refined.xlsx</x:v>
      </x:c>
      <x:c r="B1510" s="31" t="str">
        <x:v>اسناد و شواهد</x:v>
      </x:c>
      <x:c r="C1510" s="31" t="str">
        <x:v>E131</x:v>
      </x:c>
      <x:c r="D1510" s="31" t="str">
        <x:v>df1dad972da0ba8c3da2b76b90ccdd5c9ae6c42488b2b0f50e3eb232ab177028</x:v>
      </x:c>
      <x:c r="E1510" s="31"/>
    </x:row>
    <x:row r="1511" ht="15" hidden="0" customHeight="1">
      <x:c r="A1511" s="31" t="str">
        <x:v>Anjoman accounting - refined.xlsx</x:v>
      </x:c>
      <x:c r="B1511" s="31" t="str">
        <x:v>اسناد و شواهد</x:v>
      </x:c>
      <x:c r="C1511" s="31" t="str">
        <x:v>A132</x:v>
      </x:c>
      <x:c r="D1511" s="31" t="str">
        <x:v>E-0129</x:v>
      </x:c>
      <x:c r="E1511" s="31"/>
    </x:row>
    <x:row r="1512" ht="15" hidden="0" customHeight="1">
      <x:c r="A1512" s="31" t="str">
        <x:v>Anjoman accounting - refined.xlsx</x:v>
      </x:c>
      <x:c r="B1512" s="31" t="str">
        <x:v>اسناد و شواهد</x:v>
      </x:c>
      <x:c r="C1512" s="31" t="str">
        <x:v>B132</x:v>
      </x:c>
      <x:c r="D1512" s="31" t="str">
        <x:v>telegram export\photos\photo_35@27-06-2026_18-26-22_thumb.jpg</x:v>
      </x:c>
      <x:c r="E1512" s="31"/>
    </x:row>
    <x:row r="1513" ht="15" hidden="0" customHeight="1">
      <x:c r="A1513" s="31" t="str">
        <x:v>Anjoman accounting - refined.xlsx</x:v>
      </x:c>
      <x:c r="B1513" s="31" t="str">
        <x:v>اسناد و شواهد</x:v>
      </x:c>
      <x:c r="C1513" s="31" t="str">
        <x:v>C132</x:v>
      </x:c>
      <x:c r="D1513" s="31" t="str">
        <x:v>jpg</x:v>
      </x:c>
      <x:c r="E1513" s="31"/>
    </x:row>
    <x:row r="1514" ht="15" hidden="0" customHeight="1">
      <x:c r="A1514" s="31" t="str">
        <x:v>Anjoman accounting - refined.xlsx</x:v>
      </x:c>
      <x:c r="B1514" s="31" t="str">
        <x:v>اسناد و شواهد</x:v>
      </x:c>
      <x:c r="C1514" s="31" t="str">
        <x:v>D132</x:v>
      </x:c>
      <x:c r="D1514" s="31" t="str">
        <x:v>28996</x:v>
      </x:c>
      <x:c r="E1514" s="31"/>
    </x:row>
    <x:row r="1515" ht="15" hidden="0" customHeight="1">
      <x:c r="A1515" s="31" t="str">
        <x:v>Anjoman accounting - refined.xlsx</x:v>
      </x:c>
      <x:c r="B1515" s="31" t="str">
        <x:v>اسناد و شواهد</x:v>
      </x:c>
      <x:c r="C1515" s="31" t="str">
        <x:v>E132</x:v>
      </x:c>
      <x:c r="D1515" s="31" t="str">
        <x:v>23bb674dfebc8ce7097075a01dda8eeb430a026eb23b1dc2385042c4d25ba1b0</x:v>
      </x:c>
      <x:c r="E1515" s="31"/>
    </x:row>
    <x:row r="1516" ht="15" hidden="0" customHeight="1">
      <x:c r="A1516" s="31" t="str">
        <x:v>Anjoman accounting - refined.xlsx</x:v>
      </x:c>
      <x:c r="B1516" s="31" t="str">
        <x:v>اسناد و شواهد</x:v>
      </x:c>
      <x:c r="C1516" s="31" t="str">
        <x:v>A133</x:v>
      </x:c>
      <x:c r="D1516" s="31" t="str">
        <x:v>E-0130</x:v>
      </x:c>
      <x:c r="E1516" s="31"/>
    </x:row>
    <x:row r="1517" ht="15" hidden="0" customHeight="1">
      <x:c r="A1517" s="31" t="str">
        <x:v>Anjoman accounting - refined.xlsx</x:v>
      </x:c>
      <x:c r="B1517" s="31" t="str">
        <x:v>اسناد و شواهد</x:v>
      </x:c>
      <x:c r="C1517" s="31" t="str">
        <x:v>B133</x:v>
      </x:c>
      <x:c r="D1517" s="31" t="str">
        <x:v>telegram export\photos\photo_36@27-06-2026_18-26-45.jpg</x:v>
      </x:c>
      <x:c r="E1517" s="31"/>
    </x:row>
    <x:row r="1518" ht="15" hidden="0" customHeight="1">
      <x:c r="A1518" s="31" t="str">
        <x:v>Anjoman accounting - refined.xlsx</x:v>
      </x:c>
      <x:c r="B1518" s="31" t="str">
        <x:v>اسناد و شواهد</x:v>
      </x:c>
      <x:c r="C1518" s="31" t="str">
        <x:v>C133</x:v>
      </x:c>
      <x:c r="D1518" s="31" t="str">
        <x:v>jpg</x:v>
      </x:c>
      <x:c r="E1518" s="31"/>
    </x:row>
    <x:row r="1519" ht="15" hidden="0" customHeight="1">
      <x:c r="A1519" s="31" t="str">
        <x:v>Anjoman accounting - refined.xlsx</x:v>
      </x:c>
      <x:c r="B1519" s="31" t="str">
        <x:v>اسناد و شواهد</x:v>
      </x:c>
      <x:c r="C1519" s="31" t="str">
        <x:v>D133</x:v>
      </x:c>
      <x:c r="D1519" s="31" t="str">
        <x:v>56182</x:v>
      </x:c>
      <x:c r="E1519" s="31"/>
    </x:row>
    <x:row r="1520" ht="15" hidden="0" customHeight="1">
      <x:c r="A1520" s="31" t="str">
        <x:v>Anjoman accounting - refined.xlsx</x:v>
      </x:c>
      <x:c r="B1520" s="31" t="str">
        <x:v>اسناد و شواهد</x:v>
      </x:c>
      <x:c r="C1520" s="31" t="str">
        <x:v>E133</x:v>
      </x:c>
      <x:c r="D1520" s="31" t="str">
        <x:v>c76783f3ab2aa8dfafe81fe1d3273e3a70b017cbb8e04ee0aebf20c7896fd8a6</x:v>
      </x:c>
      <x:c r="E1520" s="31"/>
    </x:row>
    <x:row r="1521" ht="15" hidden="0" customHeight="1">
      <x:c r="A1521" s="31" t="str">
        <x:v>Anjoman accounting - refined.xlsx</x:v>
      </x:c>
      <x:c r="B1521" s="31" t="str">
        <x:v>اسناد و شواهد</x:v>
      </x:c>
      <x:c r="C1521" s="31" t="str">
        <x:v>A134</x:v>
      </x:c>
      <x:c r="D1521" s="31" t="str">
        <x:v>E-0131</x:v>
      </x:c>
      <x:c r="E1521" s="31"/>
    </x:row>
    <x:row r="1522" ht="15" hidden="0" customHeight="1">
      <x:c r="A1522" s="31" t="str">
        <x:v>Anjoman accounting - refined.xlsx</x:v>
      </x:c>
      <x:c r="B1522" s="31" t="str">
        <x:v>اسناد و شواهد</x:v>
      </x:c>
      <x:c r="C1522" s="31" t="str">
        <x:v>B134</x:v>
      </x:c>
      <x:c r="D1522" s="31" t="str">
        <x:v>telegram export\photos\photo_36@27-06-2026_18-26-45_thumb.jpg</x:v>
      </x:c>
      <x:c r="E1522" s="31"/>
    </x:row>
    <x:row r="1523" ht="15" hidden="0" customHeight="1">
      <x:c r="A1523" s="31" t="str">
        <x:v>Anjoman accounting - refined.xlsx</x:v>
      </x:c>
      <x:c r="B1523" s="31" t="str">
        <x:v>اسناد و شواهد</x:v>
      </x:c>
      <x:c r="C1523" s="31" t="str">
        <x:v>C134</x:v>
      </x:c>
      <x:c r="D1523" s="31" t="str">
        <x:v>jpg</x:v>
      </x:c>
      <x:c r="E1523" s="31"/>
    </x:row>
    <x:row r="1524" ht="15" hidden="0" customHeight="1">
      <x:c r="A1524" s="31" t="str">
        <x:v>Anjoman accounting - refined.xlsx</x:v>
      </x:c>
      <x:c r="B1524" s="31" t="str">
        <x:v>اسناد و شواهد</x:v>
      </x:c>
      <x:c r="C1524" s="31" t="str">
        <x:v>D134</x:v>
      </x:c>
      <x:c r="D1524" s="31" t="str">
        <x:v>10919</x:v>
      </x:c>
      <x:c r="E1524" s="31"/>
    </x:row>
    <x:row r="1525" ht="15" hidden="0" customHeight="1">
      <x:c r="A1525" s="31" t="str">
        <x:v>Anjoman accounting - refined.xlsx</x:v>
      </x:c>
      <x:c r="B1525" s="31" t="str">
        <x:v>اسناد و شواهد</x:v>
      </x:c>
      <x:c r="C1525" s="31" t="str">
        <x:v>E134</x:v>
      </x:c>
      <x:c r="D1525" s="31" t="str">
        <x:v>10a55a0a047f759345d31e92e84dea750951085596fa8da5be73a539df4b1289</x:v>
      </x:c>
      <x:c r="E1525" s="31"/>
    </x:row>
    <x:row r="1526" ht="15" hidden="0" customHeight="1">
      <x:c r="A1526" s="31" t="str">
        <x:v>Anjoman accounting - refined.xlsx</x:v>
      </x:c>
      <x:c r="B1526" s="31" t="str">
        <x:v>اسناد و شواهد</x:v>
      </x:c>
      <x:c r="C1526" s="31" t="str">
        <x:v>A135</x:v>
      </x:c>
      <x:c r="D1526" s="31" t="str">
        <x:v>E-0132</x:v>
      </x:c>
      <x:c r="E1526" s="31"/>
    </x:row>
    <x:row r="1527" ht="15" hidden="0" customHeight="1">
      <x:c r="A1527" s="31" t="str">
        <x:v>Anjoman accounting - refined.xlsx</x:v>
      </x:c>
      <x:c r="B1527" s="31" t="str">
        <x:v>اسناد و شواهد</x:v>
      </x:c>
      <x:c r="C1527" s="31" t="str">
        <x:v>B135</x:v>
      </x:c>
      <x:c r="D1527" s="31" t="str">
        <x:v>telegram export\photos\photo_37@27-06-2026_18-27-12.jpg</x:v>
      </x:c>
      <x:c r="E1527" s="31"/>
    </x:row>
    <x:row r="1528" ht="15" hidden="0" customHeight="1">
      <x:c r="A1528" s="31" t="str">
        <x:v>Anjoman accounting - refined.xlsx</x:v>
      </x:c>
      <x:c r="B1528" s="31" t="str">
        <x:v>اسناد و شواهد</x:v>
      </x:c>
      <x:c r="C1528" s="31" t="str">
        <x:v>C135</x:v>
      </x:c>
      <x:c r="D1528" s="31" t="str">
        <x:v>jpg</x:v>
      </x:c>
      <x:c r="E1528" s="31"/>
    </x:row>
    <x:row r="1529" ht="15" hidden="0" customHeight="1">
      <x:c r="A1529" s="31" t="str">
        <x:v>Anjoman accounting - refined.xlsx</x:v>
      </x:c>
      <x:c r="B1529" s="31" t="str">
        <x:v>اسناد و شواهد</x:v>
      </x:c>
      <x:c r="C1529" s="31" t="str">
        <x:v>D135</x:v>
      </x:c>
      <x:c r="D1529" s="31" t="str">
        <x:v>45970</x:v>
      </x:c>
      <x:c r="E1529" s="31"/>
    </x:row>
    <x:row r="1530" ht="15" hidden="0" customHeight="1">
      <x:c r="A1530" s="31" t="str">
        <x:v>Anjoman accounting - refined.xlsx</x:v>
      </x:c>
      <x:c r="B1530" s="31" t="str">
        <x:v>اسناد و شواهد</x:v>
      </x:c>
      <x:c r="C1530" s="31" t="str">
        <x:v>E135</x:v>
      </x:c>
      <x:c r="D1530" s="31" t="str">
        <x:v>9a1f8890689207a4000e3fe0fc271e522bb56ace944c1646ccf84577b88f9405</x:v>
      </x:c>
      <x:c r="E1530" s="31"/>
    </x:row>
    <x:row r="1531" ht="15" hidden="0" customHeight="1">
      <x:c r="A1531" s="31" t="str">
        <x:v>Anjoman accounting - refined.xlsx</x:v>
      </x:c>
      <x:c r="B1531" s="31" t="str">
        <x:v>اسناد و شواهد</x:v>
      </x:c>
      <x:c r="C1531" s="31" t="str">
        <x:v>A136</x:v>
      </x:c>
      <x:c r="D1531" s="31" t="str">
        <x:v>E-0133</x:v>
      </x:c>
      <x:c r="E1531" s="31"/>
    </x:row>
    <x:row r="1532" ht="15" hidden="0" customHeight="1">
      <x:c r="A1532" s="31" t="str">
        <x:v>Anjoman accounting - refined.xlsx</x:v>
      </x:c>
      <x:c r="B1532" s="31" t="str">
        <x:v>اسناد و شواهد</x:v>
      </x:c>
      <x:c r="C1532" s="31" t="str">
        <x:v>B136</x:v>
      </x:c>
      <x:c r="D1532" s="31" t="str">
        <x:v>telegram export\photos\photo_37@27-06-2026_18-27-12_thumb.jpg</x:v>
      </x:c>
      <x:c r="E1532" s="31"/>
    </x:row>
    <x:row r="1533" ht="15" hidden="0" customHeight="1">
      <x:c r="A1533" s="31" t="str">
        <x:v>Anjoman accounting - refined.xlsx</x:v>
      </x:c>
      <x:c r="B1533" s="31" t="str">
        <x:v>اسناد و شواهد</x:v>
      </x:c>
      <x:c r="C1533" s="31" t="str">
        <x:v>C136</x:v>
      </x:c>
      <x:c r="D1533" s="31" t="str">
        <x:v>jpg</x:v>
      </x:c>
      <x:c r="E1533" s="31"/>
    </x:row>
    <x:row r="1534" ht="15" hidden="0" customHeight="1">
      <x:c r="A1534" s="31" t="str">
        <x:v>Anjoman accounting - refined.xlsx</x:v>
      </x:c>
      <x:c r="B1534" s="31" t="str">
        <x:v>اسناد و شواهد</x:v>
      </x:c>
      <x:c r="C1534" s="31" t="str">
        <x:v>D136</x:v>
      </x:c>
      <x:c r="D1534" s="31" t="str">
        <x:v>8732</x:v>
      </x:c>
      <x:c r="E1534" s="31"/>
    </x:row>
    <x:row r="1535" ht="15" hidden="0" customHeight="1">
      <x:c r="A1535" s="31" t="str">
        <x:v>Anjoman accounting - refined.xlsx</x:v>
      </x:c>
      <x:c r="B1535" s="31" t="str">
        <x:v>اسناد و شواهد</x:v>
      </x:c>
      <x:c r="C1535" s="31" t="str">
        <x:v>E136</x:v>
      </x:c>
      <x:c r="D1535" s="31" t="str">
        <x:v>f74b5060d7abc668787c6bb71a87496aff72298fe33dc4aff7aea83344f6a195</x:v>
      </x:c>
      <x:c r="E1535" s="31"/>
    </x:row>
    <x:row r="1536" ht="15" hidden="0" customHeight="1">
      <x:c r="A1536" s="31" t="str">
        <x:v>Anjoman accounting - refined.xlsx</x:v>
      </x:c>
      <x:c r="B1536" s="31" t="str">
        <x:v>اسناد و شواهد</x:v>
      </x:c>
      <x:c r="C1536" s="31" t="str">
        <x:v>A137</x:v>
      </x:c>
      <x:c r="D1536" s="31" t="str">
        <x:v>E-0134</x:v>
      </x:c>
      <x:c r="E1536" s="31"/>
    </x:row>
    <x:row r="1537" ht="15" hidden="0" customHeight="1">
      <x:c r="A1537" s="31" t="str">
        <x:v>Anjoman accounting - refined.xlsx</x:v>
      </x:c>
      <x:c r="B1537" s="31" t="str">
        <x:v>اسناد و شواهد</x:v>
      </x:c>
      <x:c r="C1537" s="31" t="str">
        <x:v>B137</x:v>
      </x:c>
      <x:c r="D1537" s="31" t="str">
        <x:v>telegram export\photos\photo_38@27-06-2026_18-27-25.jpg</x:v>
      </x:c>
      <x:c r="E1537" s="31"/>
    </x:row>
    <x:row r="1538" ht="15" hidden="0" customHeight="1">
      <x:c r="A1538" s="31" t="str">
        <x:v>Anjoman accounting - refined.xlsx</x:v>
      </x:c>
      <x:c r="B1538" s="31" t="str">
        <x:v>اسناد و شواهد</x:v>
      </x:c>
      <x:c r="C1538" s="31" t="str">
        <x:v>C137</x:v>
      </x:c>
      <x:c r="D1538" s="31" t="str">
        <x:v>jpg</x:v>
      </x:c>
      <x:c r="E1538" s="31"/>
    </x:row>
    <x:row r="1539" ht="15" hidden="0" customHeight="1">
      <x:c r="A1539" s="31" t="str">
        <x:v>Anjoman accounting - refined.xlsx</x:v>
      </x:c>
      <x:c r="B1539" s="31" t="str">
        <x:v>اسناد و شواهد</x:v>
      </x:c>
      <x:c r="C1539" s="31" t="str">
        <x:v>D137</x:v>
      </x:c>
      <x:c r="D1539" s="31" t="str">
        <x:v>41070</x:v>
      </x:c>
      <x:c r="E1539" s="31"/>
    </x:row>
    <x:row r="1540" ht="15" hidden="0" customHeight="1">
      <x:c r="A1540" s="31" t="str">
        <x:v>Anjoman accounting - refined.xlsx</x:v>
      </x:c>
      <x:c r="B1540" s="31" t="str">
        <x:v>اسناد و شواهد</x:v>
      </x:c>
      <x:c r="C1540" s="31" t="str">
        <x:v>E137</x:v>
      </x:c>
      <x:c r="D1540" s="31" t="str">
        <x:v>e8a6c9ba9556546fa4abbc8e152e35df08dcc2c6669884f9dc12679882029c3e</x:v>
      </x:c>
      <x:c r="E1540" s="31"/>
    </x:row>
    <x:row r="1541" ht="15" hidden="0" customHeight="1">
      <x:c r="A1541" s="31" t="str">
        <x:v>Anjoman accounting - refined.xlsx</x:v>
      </x:c>
      <x:c r="B1541" s="31" t="str">
        <x:v>اسناد و شواهد</x:v>
      </x:c>
      <x:c r="C1541" s="31" t="str">
        <x:v>A138</x:v>
      </x:c>
      <x:c r="D1541" s="31" t="str">
        <x:v>E-0135</x:v>
      </x:c>
      <x:c r="E1541" s="31"/>
    </x:row>
    <x:row r="1542" ht="15" hidden="0" customHeight="1">
      <x:c r="A1542" s="31" t="str">
        <x:v>Anjoman accounting - refined.xlsx</x:v>
      </x:c>
      <x:c r="B1542" s="31" t="str">
        <x:v>اسناد و شواهد</x:v>
      </x:c>
      <x:c r="C1542" s="31" t="str">
        <x:v>B138</x:v>
      </x:c>
      <x:c r="D1542" s="31" t="str">
        <x:v>telegram export\photos\photo_38@27-06-2026_18-27-25_thumb.jpg</x:v>
      </x:c>
      <x:c r="E1542" s="31"/>
    </x:row>
    <x:row r="1543" ht="15" hidden="0" customHeight="1">
      <x:c r="A1543" s="31" t="str">
        <x:v>Anjoman accounting - refined.xlsx</x:v>
      </x:c>
      <x:c r="B1543" s="31" t="str">
        <x:v>اسناد و شواهد</x:v>
      </x:c>
      <x:c r="C1543" s="31" t="str">
        <x:v>C138</x:v>
      </x:c>
      <x:c r="D1543" s="31" t="str">
        <x:v>jpg</x:v>
      </x:c>
      <x:c r="E1543" s="31"/>
    </x:row>
    <x:row r="1544" ht="15" hidden="0" customHeight="1">
      <x:c r="A1544" s="31" t="str">
        <x:v>Anjoman accounting - refined.xlsx</x:v>
      </x:c>
      <x:c r="B1544" s="31" t="str">
        <x:v>اسناد و شواهد</x:v>
      </x:c>
      <x:c r="C1544" s="31" t="str">
        <x:v>D138</x:v>
      </x:c>
      <x:c r="D1544" s="31" t="str">
        <x:v>12094</x:v>
      </x:c>
      <x:c r="E1544" s="31"/>
    </x:row>
    <x:row r="1545" ht="15" hidden="0" customHeight="1">
      <x:c r="A1545" s="31" t="str">
        <x:v>Anjoman accounting - refined.xlsx</x:v>
      </x:c>
      <x:c r="B1545" s="31" t="str">
        <x:v>اسناد و شواهد</x:v>
      </x:c>
      <x:c r="C1545" s="31" t="str">
        <x:v>E138</x:v>
      </x:c>
      <x:c r="D1545" s="31" t="str">
        <x:v>d08637443dc93c0eb89c08d2194ebbcf777c7042ae83f60fc559ccae164b9e5a</x:v>
      </x:c>
      <x:c r="E1545" s="31"/>
    </x:row>
    <x:row r="1546" ht="15" hidden="0" customHeight="1">
      <x:c r="A1546" s="31" t="str">
        <x:v>Anjoman accounting - refined.xlsx</x:v>
      </x:c>
      <x:c r="B1546" s="31" t="str">
        <x:v>اسناد و شواهد</x:v>
      </x:c>
      <x:c r="C1546" s="31" t="str">
        <x:v>A139</x:v>
      </x:c>
      <x:c r="D1546" s="31" t="str">
        <x:v>E-0136</x:v>
      </x:c>
      <x:c r="E1546" s="31"/>
    </x:row>
    <x:row r="1547" ht="15" hidden="0" customHeight="1">
      <x:c r="A1547" s="31" t="str">
        <x:v>Anjoman accounting - refined.xlsx</x:v>
      </x:c>
      <x:c r="B1547" s="31" t="str">
        <x:v>اسناد و شواهد</x:v>
      </x:c>
      <x:c r="C1547" s="31" t="str">
        <x:v>B139</x:v>
      </x:c>
      <x:c r="D1547" s="31" t="str">
        <x:v>telegram export\photos\photo_39@27-06-2026_18-29-10.jpg</x:v>
      </x:c>
      <x:c r="E1547" s="31"/>
    </x:row>
    <x:row r="1548" ht="15" hidden="0" customHeight="1">
      <x:c r="A1548" s="31" t="str">
        <x:v>Anjoman accounting - refined.xlsx</x:v>
      </x:c>
      <x:c r="B1548" s="31" t="str">
        <x:v>اسناد و شواهد</x:v>
      </x:c>
      <x:c r="C1548" s="31" t="str">
        <x:v>C139</x:v>
      </x:c>
      <x:c r="D1548" s="31" t="str">
        <x:v>jpg</x:v>
      </x:c>
      <x:c r="E1548" s="31"/>
    </x:row>
    <x:row r="1549" ht="15" hidden="0" customHeight="1">
      <x:c r="A1549" s="31" t="str">
        <x:v>Anjoman accounting - refined.xlsx</x:v>
      </x:c>
      <x:c r="B1549" s="31" t="str">
        <x:v>اسناد و شواهد</x:v>
      </x:c>
      <x:c r="C1549" s="31" t="str">
        <x:v>D139</x:v>
      </x:c>
      <x:c r="D1549" s="31" t="str">
        <x:v>62596</x:v>
      </x:c>
      <x:c r="E1549" s="31"/>
    </x:row>
    <x:row r="1550" ht="15" hidden="0" customHeight="1">
      <x:c r="A1550" s="31" t="str">
        <x:v>Anjoman accounting - refined.xlsx</x:v>
      </x:c>
      <x:c r="B1550" s="31" t="str">
        <x:v>اسناد و شواهد</x:v>
      </x:c>
      <x:c r="C1550" s="31" t="str">
        <x:v>E139</x:v>
      </x:c>
      <x:c r="D1550" s="31" t="str">
        <x:v>2cc0dda007136a8eb626cca071cf976fa2faea1a3ec9461e2f9e61d426d539da</x:v>
      </x:c>
      <x:c r="E1550" s="31"/>
    </x:row>
    <x:row r="1551" ht="15" hidden="0" customHeight="1">
      <x:c r="A1551" s="31" t="str">
        <x:v>Anjoman accounting - refined.xlsx</x:v>
      </x:c>
      <x:c r="B1551" s="31" t="str">
        <x:v>اسناد و شواهد</x:v>
      </x:c>
      <x:c r="C1551" s="31" t="str">
        <x:v>A140</x:v>
      </x:c>
      <x:c r="D1551" s="31" t="str">
        <x:v>E-0137</x:v>
      </x:c>
      <x:c r="E1551" s="31"/>
    </x:row>
    <x:row r="1552" ht="15" hidden="0" customHeight="1">
      <x:c r="A1552" s="31" t="str">
        <x:v>Anjoman accounting - refined.xlsx</x:v>
      </x:c>
      <x:c r="B1552" s="31" t="str">
        <x:v>اسناد و شواهد</x:v>
      </x:c>
      <x:c r="C1552" s="31" t="str">
        <x:v>B140</x:v>
      </x:c>
      <x:c r="D1552" s="31" t="str">
        <x:v>telegram export\photos\photo_39@27-06-2026_18-29-10_thumb.jpg</x:v>
      </x:c>
      <x:c r="E1552" s="31"/>
    </x:row>
    <x:row r="1553" ht="15" hidden="0" customHeight="1">
      <x:c r="A1553" s="31" t="str">
        <x:v>Anjoman accounting - refined.xlsx</x:v>
      </x:c>
      <x:c r="B1553" s="31" t="str">
        <x:v>اسناد و شواهد</x:v>
      </x:c>
      <x:c r="C1553" s="31" t="str">
        <x:v>C140</x:v>
      </x:c>
      <x:c r="D1553" s="31" t="str">
        <x:v>jpg</x:v>
      </x:c>
      <x:c r="E1553" s="31"/>
    </x:row>
    <x:row r="1554" ht="15" hidden="0" customHeight="1">
      <x:c r="A1554" s="31" t="str">
        <x:v>Anjoman accounting - refined.xlsx</x:v>
      </x:c>
      <x:c r="B1554" s="31" t="str">
        <x:v>اسناد و شواهد</x:v>
      </x:c>
      <x:c r="C1554" s="31" t="str">
        <x:v>D140</x:v>
      </x:c>
      <x:c r="D1554" s="31" t="str">
        <x:v>15163</x:v>
      </x:c>
      <x:c r="E1554" s="31"/>
    </x:row>
    <x:row r="1555" ht="15" hidden="0" customHeight="1">
      <x:c r="A1555" s="31" t="str">
        <x:v>Anjoman accounting - refined.xlsx</x:v>
      </x:c>
      <x:c r="B1555" s="31" t="str">
        <x:v>اسناد و شواهد</x:v>
      </x:c>
      <x:c r="C1555" s="31" t="str">
        <x:v>E140</x:v>
      </x:c>
      <x:c r="D1555" s="31" t="str">
        <x:v>5541655ae333b6bf558bbfc41eb25765066e2fe9dd69ca3a7c08f4c028441594</x:v>
      </x:c>
      <x:c r="E1555" s="31"/>
    </x:row>
    <x:row r="1556" ht="15" hidden="0" customHeight="1">
      <x:c r="A1556" s="31" t="str">
        <x:v>Anjoman accounting - refined.xlsx</x:v>
      </x:c>
      <x:c r="B1556" s="31" t="str">
        <x:v>اسناد و شواهد</x:v>
      </x:c>
      <x:c r="C1556" s="31" t="str">
        <x:v>A141</x:v>
      </x:c>
      <x:c r="D1556" s="31" t="str">
        <x:v>E-0138</x:v>
      </x:c>
      <x:c r="E1556" s="31"/>
    </x:row>
    <x:row r="1557" ht="15" hidden="0" customHeight="1">
      <x:c r="A1557" s="31" t="str">
        <x:v>Anjoman accounting - refined.xlsx</x:v>
      </x:c>
      <x:c r="B1557" s="31" t="str">
        <x:v>اسناد و شواهد</x:v>
      </x:c>
      <x:c r="C1557" s="31" t="str">
        <x:v>B141</x:v>
      </x:c>
      <x:c r="D1557" s="31" t="str">
        <x:v>telegram export\photos\photo_3@24-07-2025_21-02-51.jpg</x:v>
      </x:c>
      <x:c r="E1557" s="31"/>
    </x:row>
    <x:row r="1558" ht="15" hidden="0" customHeight="1">
      <x:c r="A1558" s="31" t="str">
        <x:v>Anjoman accounting - refined.xlsx</x:v>
      </x:c>
      <x:c r="B1558" s="31" t="str">
        <x:v>اسناد و شواهد</x:v>
      </x:c>
      <x:c r="C1558" s="31" t="str">
        <x:v>C141</x:v>
      </x:c>
      <x:c r="D1558" s="31" t="str">
        <x:v>jpg</x:v>
      </x:c>
      <x:c r="E1558" s="31"/>
    </x:row>
    <x:row r="1559" ht="15" hidden="0" customHeight="1">
      <x:c r="A1559" s="31" t="str">
        <x:v>Anjoman accounting - refined.xlsx</x:v>
      </x:c>
      <x:c r="B1559" s="31" t="str">
        <x:v>اسناد و شواهد</x:v>
      </x:c>
      <x:c r="C1559" s="31" t="str">
        <x:v>D141</x:v>
      </x:c>
      <x:c r="D1559" s="31" t="str">
        <x:v>71647</x:v>
      </x:c>
      <x:c r="E1559" s="31"/>
    </x:row>
    <x:row r="1560" ht="15" hidden="0" customHeight="1">
      <x:c r="A1560" s="31" t="str">
        <x:v>Anjoman accounting - refined.xlsx</x:v>
      </x:c>
      <x:c r="B1560" s="31" t="str">
        <x:v>اسناد و شواهد</x:v>
      </x:c>
      <x:c r="C1560" s="31" t="str">
        <x:v>E141</x:v>
      </x:c>
      <x:c r="D1560" s="31" t="str">
        <x:v>3a30db869e1f6a6c63f03739af4268b7b0405346be7199ac5e26f23dc73806fc</x:v>
      </x:c>
      <x:c r="E1560" s="31"/>
    </x:row>
    <x:row r="1561" ht="15" hidden="0" customHeight="1">
      <x:c r="A1561" s="31" t="str">
        <x:v>Anjoman accounting - refined.xlsx</x:v>
      </x:c>
      <x:c r="B1561" s="31" t="str">
        <x:v>اسناد و شواهد</x:v>
      </x:c>
      <x:c r="C1561" s="31" t="str">
        <x:v>A142</x:v>
      </x:c>
      <x:c r="D1561" s="31" t="str">
        <x:v>E-0139</x:v>
      </x:c>
      <x:c r="E1561" s="31"/>
    </x:row>
    <x:row r="1562" ht="15" hidden="0" customHeight="1">
      <x:c r="A1562" s="31" t="str">
        <x:v>Anjoman accounting - refined.xlsx</x:v>
      </x:c>
      <x:c r="B1562" s="31" t="str">
        <x:v>اسناد و شواهد</x:v>
      </x:c>
      <x:c r="C1562" s="31" t="str">
        <x:v>B142</x:v>
      </x:c>
      <x:c r="D1562" s="31" t="str">
        <x:v>telegram export\photos\photo_3@24-07-2025_21-02-51_thumb.jpg</x:v>
      </x:c>
      <x:c r="E1562" s="31"/>
    </x:row>
    <x:row r="1563" ht="15" hidden="0" customHeight="1">
      <x:c r="A1563" s="31" t="str">
        <x:v>Anjoman accounting - refined.xlsx</x:v>
      </x:c>
      <x:c r="B1563" s="31" t="str">
        <x:v>اسناد و شواهد</x:v>
      </x:c>
      <x:c r="C1563" s="31" t="str">
        <x:v>C142</x:v>
      </x:c>
      <x:c r="D1563" s="31" t="str">
        <x:v>jpg</x:v>
      </x:c>
      <x:c r="E1563" s="31"/>
    </x:row>
    <x:row r="1564" ht="15" hidden="0" customHeight="1">
      <x:c r="A1564" s="31" t="str">
        <x:v>Anjoman accounting - refined.xlsx</x:v>
      </x:c>
      <x:c r="B1564" s="31" t="str">
        <x:v>اسناد و شواهد</x:v>
      </x:c>
      <x:c r="C1564" s="31" t="str">
        <x:v>D142</x:v>
      </x:c>
      <x:c r="D1564" s="31" t="str">
        <x:v>18957</x:v>
      </x:c>
      <x:c r="E1564" s="31"/>
    </x:row>
    <x:row r="1565" ht="15" hidden="0" customHeight="1">
      <x:c r="A1565" s="31" t="str">
        <x:v>Anjoman accounting - refined.xlsx</x:v>
      </x:c>
      <x:c r="B1565" s="31" t="str">
        <x:v>اسناد و شواهد</x:v>
      </x:c>
      <x:c r="C1565" s="31" t="str">
        <x:v>E142</x:v>
      </x:c>
      <x:c r="D1565" s="31" t="str">
        <x:v>acce1bb5524913066e4c6891cb48b9a328f2068d9210ed87799f7dd7b6cb215c</x:v>
      </x:c>
      <x:c r="E1565" s="31"/>
    </x:row>
    <x:row r="1566" ht="15" hidden="0" customHeight="1">
      <x:c r="A1566" s="31" t="str">
        <x:v>Anjoman accounting - refined.xlsx</x:v>
      </x:c>
      <x:c r="B1566" s="31" t="str">
        <x:v>اسناد و شواهد</x:v>
      </x:c>
      <x:c r="C1566" s="31" t="str">
        <x:v>A143</x:v>
      </x:c>
      <x:c r="D1566" s="31" t="str">
        <x:v>E-0140</x:v>
      </x:c>
      <x:c r="E1566" s="31"/>
    </x:row>
    <x:row r="1567" ht="15" hidden="0" customHeight="1">
      <x:c r="A1567" s="31" t="str">
        <x:v>Anjoman accounting - refined.xlsx</x:v>
      </x:c>
      <x:c r="B1567" s="31" t="str">
        <x:v>اسناد و شواهد</x:v>
      </x:c>
      <x:c r="C1567" s="31" t="str">
        <x:v>B143</x:v>
      </x:c>
      <x:c r="D1567" s="31" t="str">
        <x:v>telegram export\photos\photo_40@27-06-2026_18-31-08.jpg</x:v>
      </x:c>
      <x:c r="E1567" s="31"/>
    </x:row>
    <x:row r="1568" ht="15" hidden="0" customHeight="1">
      <x:c r="A1568" s="31" t="str">
        <x:v>Anjoman accounting - refined.xlsx</x:v>
      </x:c>
      <x:c r="B1568" s="31" t="str">
        <x:v>اسناد و شواهد</x:v>
      </x:c>
      <x:c r="C1568" s="31" t="str">
        <x:v>C143</x:v>
      </x:c>
      <x:c r="D1568" s="31" t="str">
        <x:v>jpg</x:v>
      </x:c>
      <x:c r="E1568" s="31"/>
    </x:row>
    <x:row r="1569" ht="15" hidden="0" customHeight="1">
      <x:c r="A1569" s="31" t="str">
        <x:v>Anjoman accounting - refined.xlsx</x:v>
      </x:c>
      <x:c r="B1569" s="31" t="str">
        <x:v>اسناد و شواهد</x:v>
      </x:c>
      <x:c r="C1569" s="31" t="str">
        <x:v>D143</x:v>
      </x:c>
      <x:c r="D1569" s="31" t="str">
        <x:v>59578</x:v>
      </x:c>
      <x:c r="E1569" s="31"/>
    </x:row>
    <x:row r="1570" ht="15" hidden="0" customHeight="1">
      <x:c r="A1570" s="31" t="str">
        <x:v>Anjoman accounting - refined.xlsx</x:v>
      </x:c>
      <x:c r="B1570" s="31" t="str">
        <x:v>اسناد و شواهد</x:v>
      </x:c>
      <x:c r="C1570" s="31" t="str">
        <x:v>E143</x:v>
      </x:c>
      <x:c r="D1570" s="31" t="str">
        <x:v>8e9cb970ead01179e35ef3181ee0017987b3e8de78c03c3bb37fc20f4f3ef402</x:v>
      </x:c>
      <x:c r="E1570" s="31"/>
    </x:row>
    <x:row r="1571" ht="15" hidden="0" customHeight="1">
      <x:c r="A1571" s="31" t="str">
        <x:v>Anjoman accounting - refined.xlsx</x:v>
      </x:c>
      <x:c r="B1571" s="31" t="str">
        <x:v>اسناد و شواهد</x:v>
      </x:c>
      <x:c r="C1571" s="31" t="str">
        <x:v>A144</x:v>
      </x:c>
      <x:c r="D1571" s="31" t="str">
        <x:v>E-0141</x:v>
      </x:c>
      <x:c r="E1571" s="31"/>
    </x:row>
    <x:row r="1572" ht="15" hidden="0" customHeight="1">
      <x:c r="A1572" s="31" t="str">
        <x:v>Anjoman accounting - refined.xlsx</x:v>
      </x:c>
      <x:c r="B1572" s="31" t="str">
        <x:v>اسناد و شواهد</x:v>
      </x:c>
      <x:c r="C1572" s="31" t="str">
        <x:v>B144</x:v>
      </x:c>
      <x:c r="D1572" s="31" t="str">
        <x:v>telegram export\photos\photo_40@27-06-2026_18-31-08_thumb.jpg</x:v>
      </x:c>
      <x:c r="E1572" s="31"/>
    </x:row>
    <x:row r="1573" ht="15" hidden="0" customHeight="1">
      <x:c r="A1573" s="31" t="str">
        <x:v>Anjoman accounting - refined.xlsx</x:v>
      </x:c>
      <x:c r="B1573" s="31" t="str">
        <x:v>اسناد و شواهد</x:v>
      </x:c>
      <x:c r="C1573" s="31" t="str">
        <x:v>C144</x:v>
      </x:c>
      <x:c r="D1573" s="31" t="str">
        <x:v>jpg</x:v>
      </x:c>
      <x:c r="E1573" s="31"/>
    </x:row>
    <x:row r="1574" ht="15" hidden="0" customHeight="1">
      <x:c r="A1574" s="31" t="str">
        <x:v>Anjoman accounting - refined.xlsx</x:v>
      </x:c>
      <x:c r="B1574" s="31" t="str">
        <x:v>اسناد و شواهد</x:v>
      </x:c>
      <x:c r="C1574" s="31" t="str">
        <x:v>D144</x:v>
      </x:c>
      <x:c r="D1574" s="31" t="str">
        <x:v>10736</x:v>
      </x:c>
      <x:c r="E1574" s="31"/>
    </x:row>
    <x:row r="1575" ht="15" hidden="0" customHeight="1">
      <x:c r="A1575" s="31" t="str">
        <x:v>Anjoman accounting - refined.xlsx</x:v>
      </x:c>
      <x:c r="B1575" s="31" t="str">
        <x:v>اسناد و شواهد</x:v>
      </x:c>
      <x:c r="C1575" s="31" t="str">
        <x:v>E144</x:v>
      </x:c>
      <x:c r="D1575" s="31" t="str">
        <x:v>475b8f9e9d6d7857a536fd51c97eefbff25a0d15a46706933b616e52e9820b87</x:v>
      </x:c>
      <x:c r="E1575" s="31"/>
    </x:row>
    <x:row r="1576" ht="15" hidden="0" customHeight="1">
      <x:c r="A1576" s="31" t="str">
        <x:v>Anjoman accounting - refined.xlsx</x:v>
      </x:c>
      <x:c r="B1576" s="31" t="str">
        <x:v>اسناد و شواهد</x:v>
      </x:c>
      <x:c r="C1576" s="31" t="str">
        <x:v>A145</x:v>
      </x:c>
      <x:c r="D1576" s="31" t="str">
        <x:v>E-0142</x:v>
      </x:c>
      <x:c r="E1576" s="31"/>
    </x:row>
    <x:row r="1577" ht="15" hidden="0" customHeight="1">
      <x:c r="A1577" s="31" t="str">
        <x:v>Anjoman accounting - refined.xlsx</x:v>
      </x:c>
      <x:c r="B1577" s="31" t="str">
        <x:v>اسناد و شواهد</x:v>
      </x:c>
      <x:c r="C1577" s="31" t="str">
        <x:v>B145</x:v>
      </x:c>
      <x:c r="D1577" s="31" t="str">
        <x:v>telegram export\photos\photo_41@27-06-2026_18-36-09.jpg</x:v>
      </x:c>
      <x:c r="E1577" s="31"/>
    </x:row>
    <x:row r="1578" ht="15" hidden="0" customHeight="1">
      <x:c r="A1578" s="31" t="str">
        <x:v>Anjoman accounting - refined.xlsx</x:v>
      </x:c>
      <x:c r="B1578" s="31" t="str">
        <x:v>اسناد و شواهد</x:v>
      </x:c>
      <x:c r="C1578" s="31" t="str">
        <x:v>C145</x:v>
      </x:c>
      <x:c r="D1578" s="31" t="str">
        <x:v>jpg</x:v>
      </x:c>
      <x:c r="E1578" s="31"/>
    </x:row>
    <x:row r="1579" ht="15" hidden="0" customHeight="1">
      <x:c r="A1579" s="31" t="str">
        <x:v>Anjoman accounting - refined.xlsx</x:v>
      </x:c>
      <x:c r="B1579" s="31" t="str">
        <x:v>اسناد و شواهد</x:v>
      </x:c>
      <x:c r="C1579" s="31" t="str">
        <x:v>D145</x:v>
      </x:c>
      <x:c r="D1579" s="31" t="str">
        <x:v>77996</x:v>
      </x:c>
      <x:c r="E1579" s="31"/>
    </x:row>
    <x:row r="1580" ht="15" hidden="0" customHeight="1">
      <x:c r="A1580" s="31" t="str">
        <x:v>Anjoman accounting - refined.xlsx</x:v>
      </x:c>
      <x:c r="B1580" s="31" t="str">
        <x:v>اسناد و شواهد</x:v>
      </x:c>
      <x:c r="C1580" s="31" t="str">
        <x:v>E145</x:v>
      </x:c>
      <x:c r="D1580" s="31" t="str">
        <x:v>78ad7571d728263883b5dc1bb9cd22848b5c2e67370643caa12c8c8935da2b20</x:v>
      </x:c>
      <x:c r="E1580" s="31"/>
    </x:row>
    <x:row r="1581" ht="15" hidden="0" customHeight="1">
      <x:c r="A1581" s="31" t="str">
        <x:v>Anjoman accounting - refined.xlsx</x:v>
      </x:c>
      <x:c r="B1581" s="31" t="str">
        <x:v>اسناد و شواهد</x:v>
      </x:c>
      <x:c r="C1581" s="31" t="str">
        <x:v>A146</x:v>
      </x:c>
      <x:c r="D1581" s="31" t="str">
        <x:v>E-0143</x:v>
      </x:c>
      <x:c r="E1581" s="31"/>
    </x:row>
    <x:row r="1582" ht="15" hidden="0" customHeight="1">
      <x:c r="A1582" s="31" t="str">
        <x:v>Anjoman accounting - refined.xlsx</x:v>
      </x:c>
      <x:c r="B1582" s="31" t="str">
        <x:v>اسناد و شواهد</x:v>
      </x:c>
      <x:c r="C1582" s="31" t="str">
        <x:v>B146</x:v>
      </x:c>
      <x:c r="D1582" s="31" t="str">
        <x:v>telegram export\photos\photo_41@27-06-2026_18-36-09_thumb.jpg</x:v>
      </x:c>
      <x:c r="E1582" s="31"/>
    </x:row>
    <x:row r="1583" ht="15" hidden="0" customHeight="1">
      <x:c r="A1583" s="31" t="str">
        <x:v>Anjoman accounting - refined.xlsx</x:v>
      </x:c>
      <x:c r="B1583" s="31" t="str">
        <x:v>اسناد و شواهد</x:v>
      </x:c>
      <x:c r="C1583" s="31" t="str">
        <x:v>C146</x:v>
      </x:c>
      <x:c r="D1583" s="31" t="str">
        <x:v>jpg</x:v>
      </x:c>
      <x:c r="E1583" s="31"/>
    </x:row>
    <x:row r="1584" ht="15" hidden="0" customHeight="1">
      <x:c r="A1584" s="31" t="str">
        <x:v>Anjoman accounting - refined.xlsx</x:v>
      </x:c>
      <x:c r="B1584" s="31" t="str">
        <x:v>اسناد و شواهد</x:v>
      </x:c>
      <x:c r="C1584" s="31" t="str">
        <x:v>D146</x:v>
      </x:c>
      <x:c r="D1584" s="31" t="str">
        <x:v>20997</x:v>
      </x:c>
      <x:c r="E1584" s="31"/>
    </x:row>
    <x:row r="1585" ht="15" hidden="0" customHeight="1">
      <x:c r="A1585" s="31" t="str">
        <x:v>Anjoman accounting - refined.xlsx</x:v>
      </x:c>
      <x:c r="B1585" s="31" t="str">
        <x:v>اسناد و شواهد</x:v>
      </x:c>
      <x:c r="C1585" s="31" t="str">
        <x:v>E146</x:v>
      </x:c>
      <x:c r="D1585" s="31" t="str">
        <x:v>d7cfde7a096842521a7335b5d5d76d2114dc2c56e92caedad0f5667a0fef805a</x:v>
      </x:c>
      <x:c r="E1585" s="31"/>
    </x:row>
    <x:row r="1586" ht="15" hidden="0" customHeight="1">
      <x:c r="A1586" s="31" t="str">
        <x:v>Anjoman accounting - refined.xlsx</x:v>
      </x:c>
      <x:c r="B1586" s="31" t="str">
        <x:v>اسناد و شواهد</x:v>
      </x:c>
      <x:c r="C1586" s="31" t="str">
        <x:v>A147</x:v>
      </x:c>
      <x:c r="D1586" s="31" t="str">
        <x:v>E-0144</x:v>
      </x:c>
      <x:c r="E1586" s="31"/>
    </x:row>
    <x:row r="1587" ht="15" hidden="0" customHeight="1">
      <x:c r="A1587" s="31" t="str">
        <x:v>Anjoman accounting - refined.xlsx</x:v>
      </x:c>
      <x:c r="B1587" s="31" t="str">
        <x:v>اسناد و شواهد</x:v>
      </x:c>
      <x:c r="C1587" s="31" t="str">
        <x:v>B147</x:v>
      </x:c>
      <x:c r="D1587" s="31" t="str">
        <x:v>telegram export\photos\photo_42@27-06-2026_18-36-09.jpg</x:v>
      </x:c>
      <x:c r="E1587" s="31"/>
    </x:row>
    <x:row r="1588" ht="15" hidden="0" customHeight="1">
      <x:c r="A1588" s="31" t="str">
        <x:v>Anjoman accounting - refined.xlsx</x:v>
      </x:c>
      <x:c r="B1588" s="31" t="str">
        <x:v>اسناد و شواهد</x:v>
      </x:c>
      <x:c r="C1588" s="31" t="str">
        <x:v>C147</x:v>
      </x:c>
      <x:c r="D1588" s="31" t="str">
        <x:v>jpg</x:v>
      </x:c>
      <x:c r="E1588" s="31"/>
    </x:row>
    <x:row r="1589" ht="15" hidden="0" customHeight="1">
      <x:c r="A1589" s="31" t="str">
        <x:v>Anjoman accounting - refined.xlsx</x:v>
      </x:c>
      <x:c r="B1589" s="31" t="str">
        <x:v>اسناد و شواهد</x:v>
      </x:c>
      <x:c r="C1589" s="31" t="str">
        <x:v>D147</x:v>
      </x:c>
      <x:c r="D1589" s="31" t="str">
        <x:v>77238</x:v>
      </x:c>
      <x:c r="E1589" s="31"/>
    </x:row>
    <x:row r="1590" ht="15" hidden="0" customHeight="1">
      <x:c r="A1590" s="31" t="str">
        <x:v>Anjoman accounting - refined.xlsx</x:v>
      </x:c>
      <x:c r="B1590" s="31" t="str">
        <x:v>اسناد و شواهد</x:v>
      </x:c>
      <x:c r="C1590" s="31" t="str">
        <x:v>E147</x:v>
      </x:c>
      <x:c r="D1590" s="31" t="str">
        <x:v>94ca1e41dc1aa15b41dd5ec0b9bb664d54733c8559fe9e348d1adc782f316712</x:v>
      </x:c>
      <x:c r="E1590" s="31"/>
    </x:row>
    <x:row r="1591" ht="15" hidden="0" customHeight="1">
      <x:c r="A1591" s="31" t="str">
        <x:v>Anjoman accounting - refined.xlsx</x:v>
      </x:c>
      <x:c r="B1591" s="31" t="str">
        <x:v>اسناد و شواهد</x:v>
      </x:c>
      <x:c r="C1591" s="31" t="str">
        <x:v>A148</x:v>
      </x:c>
      <x:c r="D1591" s="31" t="str">
        <x:v>E-0145</x:v>
      </x:c>
      <x:c r="E1591" s="31"/>
    </x:row>
    <x:row r="1592" ht="15" hidden="0" customHeight="1">
      <x:c r="A1592" s="31" t="str">
        <x:v>Anjoman accounting - refined.xlsx</x:v>
      </x:c>
      <x:c r="B1592" s="31" t="str">
        <x:v>اسناد و شواهد</x:v>
      </x:c>
      <x:c r="C1592" s="31" t="str">
        <x:v>B148</x:v>
      </x:c>
      <x:c r="D1592" s="31" t="str">
        <x:v>telegram export\photos\photo_42@27-06-2026_18-36-09_thumb.jpg</x:v>
      </x:c>
      <x:c r="E1592" s="31"/>
    </x:row>
    <x:row r="1593" ht="15" hidden="0" customHeight="1">
      <x:c r="A1593" s="31" t="str">
        <x:v>Anjoman accounting - refined.xlsx</x:v>
      </x:c>
      <x:c r="B1593" s="31" t="str">
        <x:v>اسناد و شواهد</x:v>
      </x:c>
      <x:c r="C1593" s="31" t="str">
        <x:v>C148</x:v>
      </x:c>
      <x:c r="D1593" s="31" t="str">
        <x:v>jpg</x:v>
      </x:c>
      <x:c r="E1593" s="31"/>
    </x:row>
    <x:row r="1594" ht="15" hidden="0" customHeight="1">
      <x:c r="A1594" s="31" t="str">
        <x:v>Anjoman accounting - refined.xlsx</x:v>
      </x:c>
      <x:c r="B1594" s="31" t="str">
        <x:v>اسناد و شواهد</x:v>
      </x:c>
      <x:c r="C1594" s="31" t="str">
        <x:v>D148</x:v>
      </x:c>
      <x:c r="D1594" s="31" t="str">
        <x:v>20873</x:v>
      </x:c>
      <x:c r="E1594" s="31"/>
    </x:row>
    <x:row r="1595" ht="15" hidden="0" customHeight="1">
      <x:c r="A1595" s="31" t="str">
        <x:v>Anjoman accounting - refined.xlsx</x:v>
      </x:c>
      <x:c r="B1595" s="31" t="str">
        <x:v>اسناد و شواهد</x:v>
      </x:c>
      <x:c r="C1595" s="31" t="str">
        <x:v>E148</x:v>
      </x:c>
      <x:c r="D1595" s="31" t="str">
        <x:v>a5ffa1f6734f1697a7561713efd62e907ddce39c216df02c3f5d3b8c205a7fd6</x:v>
      </x:c>
      <x:c r="E1595" s="31"/>
    </x:row>
    <x:row r="1596" ht="15" hidden="0" customHeight="1">
      <x:c r="A1596" s="31" t="str">
        <x:v>Anjoman accounting - refined.xlsx</x:v>
      </x:c>
      <x:c r="B1596" s="31" t="str">
        <x:v>اسناد و شواهد</x:v>
      </x:c>
      <x:c r="C1596" s="31" t="str">
        <x:v>A149</x:v>
      </x:c>
      <x:c r="D1596" s="31" t="str">
        <x:v>E-0146</x:v>
      </x:c>
      <x:c r="E1596" s="31"/>
    </x:row>
    <x:row r="1597" ht="15" hidden="0" customHeight="1">
      <x:c r="A1597" s="31" t="str">
        <x:v>Anjoman accounting - refined.xlsx</x:v>
      </x:c>
      <x:c r="B1597" s="31" t="str">
        <x:v>اسناد و شواهد</x:v>
      </x:c>
      <x:c r="C1597" s="31" t="str">
        <x:v>B149</x:v>
      </x:c>
      <x:c r="D1597" s="31" t="str">
        <x:v>telegram export\photos\photo_43@27-06-2026_18-36-09.jpg</x:v>
      </x:c>
      <x:c r="E1597" s="31"/>
    </x:row>
    <x:row r="1598" ht="15" hidden="0" customHeight="1">
      <x:c r="A1598" s="31" t="str">
        <x:v>Anjoman accounting - refined.xlsx</x:v>
      </x:c>
      <x:c r="B1598" s="31" t="str">
        <x:v>اسناد و شواهد</x:v>
      </x:c>
      <x:c r="C1598" s="31" t="str">
        <x:v>C149</x:v>
      </x:c>
      <x:c r="D1598" s="31" t="str">
        <x:v>jpg</x:v>
      </x:c>
      <x:c r="E1598" s="31"/>
    </x:row>
    <x:row r="1599" ht="15" hidden="0" customHeight="1">
      <x:c r="A1599" s="31" t="str">
        <x:v>Anjoman accounting - refined.xlsx</x:v>
      </x:c>
      <x:c r="B1599" s="31" t="str">
        <x:v>اسناد و شواهد</x:v>
      </x:c>
      <x:c r="C1599" s="31" t="str">
        <x:v>D149</x:v>
      </x:c>
      <x:c r="D1599" s="31" t="str">
        <x:v>85618</x:v>
      </x:c>
      <x:c r="E1599" s="31"/>
    </x:row>
    <x:row r="1600" ht="15" hidden="0" customHeight="1">
      <x:c r="A1600" s="31" t="str">
        <x:v>Anjoman accounting - refined.xlsx</x:v>
      </x:c>
      <x:c r="B1600" s="31" t="str">
        <x:v>اسناد و شواهد</x:v>
      </x:c>
      <x:c r="C1600" s="31" t="str">
        <x:v>E149</x:v>
      </x:c>
      <x:c r="D1600" s="31" t="str">
        <x:v>35428512edee92243496c3104d792d4fd07c6d43257d697c19937ccfa0a98517</x:v>
      </x:c>
      <x:c r="E1600" s="31"/>
    </x:row>
    <x:row r="1601" ht="15" hidden="0" customHeight="1">
      <x:c r="A1601" s="31" t="str">
        <x:v>Anjoman accounting - refined.xlsx</x:v>
      </x:c>
      <x:c r="B1601" s="31" t="str">
        <x:v>اسناد و شواهد</x:v>
      </x:c>
      <x:c r="C1601" s="31" t="str">
        <x:v>A150</x:v>
      </x:c>
      <x:c r="D1601" s="31" t="str">
        <x:v>E-0147</x:v>
      </x:c>
      <x:c r="E1601" s="31"/>
    </x:row>
    <x:row r="1602" ht="15" hidden="0" customHeight="1">
      <x:c r="A1602" s="31" t="str">
        <x:v>Anjoman accounting - refined.xlsx</x:v>
      </x:c>
      <x:c r="B1602" s="31" t="str">
        <x:v>اسناد و شواهد</x:v>
      </x:c>
      <x:c r="C1602" s="31" t="str">
        <x:v>B150</x:v>
      </x:c>
      <x:c r="D1602" s="31" t="str">
        <x:v>telegram export\photos\photo_43@27-06-2026_18-36-09_thumb.jpg</x:v>
      </x:c>
      <x:c r="E1602" s="31"/>
    </x:row>
    <x:row r="1603" ht="15" hidden="0" customHeight="1">
      <x:c r="A1603" s="31" t="str">
        <x:v>Anjoman accounting - refined.xlsx</x:v>
      </x:c>
      <x:c r="B1603" s="31" t="str">
        <x:v>اسناد و شواهد</x:v>
      </x:c>
      <x:c r="C1603" s="31" t="str">
        <x:v>C150</x:v>
      </x:c>
      <x:c r="D1603" s="31" t="str">
        <x:v>jpg</x:v>
      </x:c>
      <x:c r="E1603" s="31"/>
    </x:row>
    <x:row r="1604" ht="15" hidden="0" customHeight="1">
      <x:c r="A1604" s="31" t="str">
        <x:v>Anjoman accounting - refined.xlsx</x:v>
      </x:c>
      <x:c r="B1604" s="31" t="str">
        <x:v>اسناد و شواهد</x:v>
      </x:c>
      <x:c r="C1604" s="31" t="str">
        <x:v>D150</x:v>
      </x:c>
      <x:c r="D1604" s="31" t="str">
        <x:v>23016</x:v>
      </x:c>
      <x:c r="E1604" s="31"/>
    </x:row>
    <x:row r="1605" ht="15" hidden="0" customHeight="1">
      <x:c r="A1605" s="31" t="str">
        <x:v>Anjoman accounting - refined.xlsx</x:v>
      </x:c>
      <x:c r="B1605" s="31" t="str">
        <x:v>اسناد و شواهد</x:v>
      </x:c>
      <x:c r="C1605" s="31" t="str">
        <x:v>E150</x:v>
      </x:c>
      <x:c r="D1605" s="31" t="str">
        <x:v>e41e56f083a0e7e83869ec1f74b77a894e4df8073df193ae1673883f1c94ed70</x:v>
      </x:c>
      <x:c r="E1605" s="31"/>
    </x:row>
    <x:row r="1606" ht="15" hidden="0" customHeight="1">
      <x:c r="A1606" s="31" t="str">
        <x:v>Anjoman accounting - refined.xlsx</x:v>
      </x:c>
      <x:c r="B1606" s="31" t="str">
        <x:v>اسناد و شواهد</x:v>
      </x:c>
      <x:c r="C1606" s="31" t="str">
        <x:v>A151</x:v>
      </x:c>
      <x:c r="D1606" s="31" t="str">
        <x:v>E-0148</x:v>
      </x:c>
      <x:c r="E1606" s="31"/>
    </x:row>
    <x:row r="1607" ht="15" hidden="0" customHeight="1">
      <x:c r="A1607" s="31" t="str">
        <x:v>Anjoman accounting - refined.xlsx</x:v>
      </x:c>
      <x:c r="B1607" s="31" t="str">
        <x:v>اسناد و شواهد</x:v>
      </x:c>
      <x:c r="C1607" s="31" t="str">
        <x:v>B151</x:v>
      </x:c>
      <x:c r="D1607" s="31" t="str">
        <x:v>telegram export\photos\photo_44@27-06-2026_18-36-09.jpg</x:v>
      </x:c>
      <x:c r="E1607" s="31"/>
    </x:row>
    <x:row r="1608" ht="15" hidden="0" customHeight="1">
      <x:c r="A1608" s="31" t="str">
        <x:v>Anjoman accounting - refined.xlsx</x:v>
      </x:c>
      <x:c r="B1608" s="31" t="str">
        <x:v>اسناد و شواهد</x:v>
      </x:c>
      <x:c r="C1608" s="31" t="str">
        <x:v>C151</x:v>
      </x:c>
      <x:c r="D1608" s="31" t="str">
        <x:v>jpg</x:v>
      </x:c>
      <x:c r="E1608" s="31"/>
    </x:row>
    <x:row r="1609" ht="15" hidden="0" customHeight="1">
      <x:c r="A1609" s="31" t="str">
        <x:v>Anjoman accounting - refined.xlsx</x:v>
      </x:c>
      <x:c r="B1609" s="31" t="str">
        <x:v>اسناد و شواهد</x:v>
      </x:c>
      <x:c r="C1609" s="31" t="str">
        <x:v>D151</x:v>
      </x:c>
      <x:c r="D1609" s="31" t="str">
        <x:v>85772</x:v>
      </x:c>
      <x:c r="E1609" s="31"/>
    </x:row>
    <x:row r="1610" ht="15" hidden="0" customHeight="1">
      <x:c r="A1610" s="31" t="str">
        <x:v>Anjoman accounting - refined.xlsx</x:v>
      </x:c>
      <x:c r="B1610" s="31" t="str">
        <x:v>اسناد و شواهد</x:v>
      </x:c>
      <x:c r="C1610" s="31" t="str">
        <x:v>E151</x:v>
      </x:c>
      <x:c r="D1610" s="31" t="str">
        <x:v>552ed592df76565fdf834836abf1da6c4b9784e66039b1efaa36e162e69d855b</x:v>
      </x:c>
      <x:c r="E1610" s="31"/>
    </x:row>
    <x:row r="1611" ht="15" hidden="0" customHeight="1">
      <x:c r="A1611" s="31" t="str">
        <x:v>Anjoman accounting - refined.xlsx</x:v>
      </x:c>
      <x:c r="B1611" s="31" t="str">
        <x:v>اسناد و شواهد</x:v>
      </x:c>
      <x:c r="C1611" s="31" t="str">
        <x:v>A152</x:v>
      </x:c>
      <x:c r="D1611" s="31" t="str">
        <x:v>E-0149</x:v>
      </x:c>
      <x:c r="E1611" s="31"/>
    </x:row>
    <x:row r="1612" ht="15" hidden="0" customHeight="1">
      <x:c r="A1612" s="31" t="str">
        <x:v>Anjoman accounting - refined.xlsx</x:v>
      </x:c>
      <x:c r="B1612" s="31" t="str">
        <x:v>اسناد و شواهد</x:v>
      </x:c>
      <x:c r="C1612" s="31" t="str">
        <x:v>B152</x:v>
      </x:c>
      <x:c r="D1612" s="31" t="str">
        <x:v>telegram export\photos\photo_44@27-06-2026_18-36-09_thumb.jpg</x:v>
      </x:c>
      <x:c r="E1612" s="31"/>
    </x:row>
    <x:row r="1613" ht="15" hidden="0" customHeight="1">
      <x:c r="A1613" s="31" t="str">
        <x:v>Anjoman accounting - refined.xlsx</x:v>
      </x:c>
      <x:c r="B1613" s="31" t="str">
        <x:v>اسناد و شواهد</x:v>
      </x:c>
      <x:c r="C1613" s="31" t="str">
        <x:v>C152</x:v>
      </x:c>
      <x:c r="D1613" s="31" t="str">
        <x:v>jpg</x:v>
      </x:c>
      <x:c r="E1613" s="31"/>
    </x:row>
    <x:row r="1614" ht="15" hidden="0" customHeight="1">
      <x:c r="A1614" s="31" t="str">
        <x:v>Anjoman accounting - refined.xlsx</x:v>
      </x:c>
      <x:c r="B1614" s="31" t="str">
        <x:v>اسناد و شواهد</x:v>
      </x:c>
      <x:c r="C1614" s="31" t="str">
        <x:v>D152</x:v>
      </x:c>
      <x:c r="D1614" s="31" t="str">
        <x:v>23156</x:v>
      </x:c>
      <x:c r="E1614" s="31"/>
    </x:row>
    <x:row r="1615" ht="15" hidden="0" customHeight="1">
      <x:c r="A1615" s="31" t="str">
        <x:v>Anjoman accounting - refined.xlsx</x:v>
      </x:c>
      <x:c r="B1615" s="31" t="str">
        <x:v>اسناد و شواهد</x:v>
      </x:c>
      <x:c r="C1615" s="31" t="str">
        <x:v>E152</x:v>
      </x:c>
      <x:c r="D1615" s="31" t="str">
        <x:v>08693d24e4fe7d93d4d5367bd7374b7a67a119e4d81e269c19e01394a86afa6d</x:v>
      </x:c>
      <x:c r="E1615" s="31"/>
    </x:row>
    <x:row r="1616" ht="15" hidden="0" customHeight="1">
      <x:c r="A1616" s="31" t="str">
        <x:v>Anjoman accounting - refined.xlsx</x:v>
      </x:c>
      <x:c r="B1616" s="31" t="str">
        <x:v>اسناد و شواهد</x:v>
      </x:c>
      <x:c r="C1616" s="31" t="str">
        <x:v>A153</x:v>
      </x:c>
      <x:c r="D1616" s="31" t="str">
        <x:v>E-0150</x:v>
      </x:c>
      <x:c r="E1616" s="31"/>
    </x:row>
    <x:row r="1617" ht="15" hidden="0" customHeight="1">
      <x:c r="A1617" s="31" t="str">
        <x:v>Anjoman accounting - refined.xlsx</x:v>
      </x:c>
      <x:c r="B1617" s="31" t="str">
        <x:v>اسناد و شواهد</x:v>
      </x:c>
      <x:c r="C1617" s="31" t="str">
        <x:v>B153</x:v>
      </x:c>
      <x:c r="D1617" s="31" t="str">
        <x:v>telegram export\photos\photo_45@27-06-2026_18-36-09.jpg</x:v>
      </x:c>
      <x:c r="E1617" s="31"/>
    </x:row>
    <x:row r="1618" ht="15" hidden="0" customHeight="1">
      <x:c r="A1618" s="31" t="str">
        <x:v>Anjoman accounting - refined.xlsx</x:v>
      </x:c>
      <x:c r="B1618" s="31" t="str">
        <x:v>اسناد و شواهد</x:v>
      </x:c>
      <x:c r="C1618" s="31" t="str">
        <x:v>C153</x:v>
      </x:c>
      <x:c r="D1618" s="31" t="str">
        <x:v>jpg</x:v>
      </x:c>
      <x:c r="E1618" s="31"/>
    </x:row>
    <x:row r="1619" ht="15" hidden="0" customHeight="1">
      <x:c r="A1619" s="31" t="str">
        <x:v>Anjoman accounting - refined.xlsx</x:v>
      </x:c>
      <x:c r="B1619" s="31" t="str">
        <x:v>اسناد و شواهد</x:v>
      </x:c>
      <x:c r="C1619" s="31" t="str">
        <x:v>D153</x:v>
      </x:c>
      <x:c r="D1619" s="31" t="str">
        <x:v>65390</x:v>
      </x:c>
      <x:c r="E1619" s="31"/>
    </x:row>
    <x:row r="1620" ht="15" hidden="0" customHeight="1">
      <x:c r="A1620" s="31" t="str">
        <x:v>Anjoman accounting - refined.xlsx</x:v>
      </x:c>
      <x:c r="B1620" s="31" t="str">
        <x:v>اسناد و شواهد</x:v>
      </x:c>
      <x:c r="C1620" s="31" t="str">
        <x:v>E153</x:v>
      </x:c>
      <x:c r="D1620" s="31" t="str">
        <x:v>d3cd5d400ad26b008c54a467ede8e780c9606b0a9a460d51c2e11bf69ede9a39</x:v>
      </x:c>
      <x:c r="E1620" s="31"/>
    </x:row>
    <x:row r="1621" ht="15" hidden="0" customHeight="1">
      <x:c r="A1621" s="31" t="str">
        <x:v>Anjoman accounting - refined.xlsx</x:v>
      </x:c>
      <x:c r="B1621" s="31" t="str">
        <x:v>اسناد و شواهد</x:v>
      </x:c>
      <x:c r="C1621" s="31" t="str">
        <x:v>A154</x:v>
      </x:c>
      <x:c r="D1621" s="31" t="str">
        <x:v>E-0151</x:v>
      </x:c>
      <x:c r="E1621" s="31"/>
    </x:row>
    <x:row r="1622" ht="15" hidden="0" customHeight="1">
      <x:c r="A1622" s="31" t="str">
        <x:v>Anjoman accounting - refined.xlsx</x:v>
      </x:c>
      <x:c r="B1622" s="31" t="str">
        <x:v>اسناد و شواهد</x:v>
      </x:c>
      <x:c r="C1622" s="31" t="str">
        <x:v>B154</x:v>
      </x:c>
      <x:c r="D1622" s="31" t="str">
        <x:v>telegram export\photos\photo_45@27-06-2026_18-36-09_thumb.jpg</x:v>
      </x:c>
      <x:c r="E1622" s="31"/>
    </x:row>
    <x:row r="1623" ht="15" hidden="0" customHeight="1">
      <x:c r="A1623" s="31" t="str">
        <x:v>Anjoman accounting - refined.xlsx</x:v>
      </x:c>
      <x:c r="B1623" s="31" t="str">
        <x:v>اسناد و شواهد</x:v>
      </x:c>
      <x:c r="C1623" s="31" t="str">
        <x:v>C154</x:v>
      </x:c>
      <x:c r="D1623" s="31" t="str">
        <x:v>jpg</x:v>
      </x:c>
      <x:c r="E1623" s="31"/>
    </x:row>
    <x:row r="1624" ht="15" hidden="0" customHeight="1">
      <x:c r="A1624" s="31" t="str">
        <x:v>Anjoman accounting - refined.xlsx</x:v>
      </x:c>
      <x:c r="B1624" s="31" t="str">
        <x:v>اسناد و شواهد</x:v>
      </x:c>
      <x:c r="C1624" s="31" t="str">
        <x:v>D154</x:v>
      </x:c>
      <x:c r="D1624" s="31" t="str">
        <x:v>15934</x:v>
      </x:c>
      <x:c r="E1624" s="31"/>
    </x:row>
    <x:row r="1625" ht="15" hidden="0" customHeight="1">
      <x:c r="A1625" s="31" t="str">
        <x:v>Anjoman accounting - refined.xlsx</x:v>
      </x:c>
      <x:c r="B1625" s="31" t="str">
        <x:v>اسناد و شواهد</x:v>
      </x:c>
      <x:c r="C1625" s="31" t="str">
        <x:v>E154</x:v>
      </x:c>
      <x:c r="D1625" s="31" t="str">
        <x:v>191eb597892e591a2f4e631dda89c8c46217cf567623a308bf5d67467c6e8c9b</x:v>
      </x:c>
      <x:c r="E1625" s="31"/>
    </x:row>
    <x:row r="1626" ht="15" hidden="0" customHeight="1">
      <x:c r="A1626" s="31" t="str">
        <x:v>Anjoman accounting - refined.xlsx</x:v>
      </x:c>
      <x:c r="B1626" s="31" t="str">
        <x:v>اسناد و شواهد</x:v>
      </x:c>
      <x:c r="C1626" s="31" t="str">
        <x:v>A155</x:v>
      </x:c>
      <x:c r="D1626" s="31" t="str">
        <x:v>E-0152</x:v>
      </x:c>
      <x:c r="E1626" s="31"/>
    </x:row>
    <x:row r="1627" ht="15" hidden="0" customHeight="1">
      <x:c r="A1627" s="31" t="str">
        <x:v>Anjoman accounting - refined.xlsx</x:v>
      </x:c>
      <x:c r="B1627" s="31" t="str">
        <x:v>اسناد و شواهد</x:v>
      </x:c>
      <x:c r="C1627" s="31" t="str">
        <x:v>B155</x:v>
      </x:c>
      <x:c r="D1627" s="31" t="str">
        <x:v>telegram export\photos\photo_46@27-06-2026_18-38-52.jpg</x:v>
      </x:c>
      <x:c r="E1627" s="31"/>
    </x:row>
    <x:row r="1628" ht="15" hidden="0" customHeight="1">
      <x:c r="A1628" s="31" t="str">
        <x:v>Anjoman accounting - refined.xlsx</x:v>
      </x:c>
      <x:c r="B1628" s="31" t="str">
        <x:v>اسناد و شواهد</x:v>
      </x:c>
      <x:c r="C1628" s="31" t="str">
        <x:v>C155</x:v>
      </x:c>
      <x:c r="D1628" s="31" t="str">
        <x:v>jpg</x:v>
      </x:c>
      <x:c r="E1628" s="31"/>
    </x:row>
    <x:row r="1629" ht="15" hidden="0" customHeight="1">
      <x:c r="A1629" s="31" t="str">
        <x:v>Anjoman accounting - refined.xlsx</x:v>
      </x:c>
      <x:c r="B1629" s="31" t="str">
        <x:v>اسناد و شواهد</x:v>
      </x:c>
      <x:c r="C1629" s="31" t="str">
        <x:v>D155</x:v>
      </x:c>
      <x:c r="D1629" s="31" t="str">
        <x:v>145310</x:v>
      </x:c>
      <x:c r="E1629" s="31"/>
    </x:row>
    <x:row r="1630" ht="15" hidden="0" customHeight="1">
      <x:c r="A1630" s="31" t="str">
        <x:v>Anjoman accounting - refined.xlsx</x:v>
      </x:c>
      <x:c r="B1630" s="31" t="str">
        <x:v>اسناد و شواهد</x:v>
      </x:c>
      <x:c r="C1630" s="31" t="str">
        <x:v>E155</x:v>
      </x:c>
      <x:c r="D1630" s="31" t="str">
        <x:v>22c0f55d35b72f746c979bd91c0f23f9862ff7f5a4851ab2293686a796fab727</x:v>
      </x:c>
      <x:c r="E1630" s="31"/>
    </x:row>
    <x:row r="1631" ht="15" hidden="0" customHeight="1">
      <x:c r="A1631" s="31" t="str">
        <x:v>Anjoman accounting - refined.xlsx</x:v>
      </x:c>
      <x:c r="B1631" s="31" t="str">
        <x:v>اسناد و شواهد</x:v>
      </x:c>
      <x:c r="C1631" s="31" t="str">
        <x:v>A156</x:v>
      </x:c>
      <x:c r="D1631" s="31" t="str">
        <x:v>E-0153</x:v>
      </x:c>
      <x:c r="E1631" s="31"/>
    </x:row>
    <x:row r="1632" ht="15" hidden="0" customHeight="1">
      <x:c r="A1632" s="31" t="str">
        <x:v>Anjoman accounting - refined.xlsx</x:v>
      </x:c>
      <x:c r="B1632" s="31" t="str">
        <x:v>اسناد و شواهد</x:v>
      </x:c>
      <x:c r="C1632" s="31" t="str">
        <x:v>B156</x:v>
      </x:c>
      <x:c r="D1632" s="31" t="str">
        <x:v>telegram export\photos\photo_46@27-06-2026_18-38-52_thumb.jpg</x:v>
      </x:c>
      <x:c r="E1632" s="31"/>
    </x:row>
    <x:row r="1633" ht="15" hidden="0" customHeight="1">
      <x:c r="A1633" s="31" t="str">
        <x:v>Anjoman accounting - refined.xlsx</x:v>
      </x:c>
      <x:c r="B1633" s="31" t="str">
        <x:v>اسناد و شواهد</x:v>
      </x:c>
      <x:c r="C1633" s="31" t="str">
        <x:v>C156</x:v>
      </x:c>
      <x:c r="D1633" s="31" t="str">
        <x:v>jpg</x:v>
      </x:c>
      <x:c r="E1633" s="31"/>
    </x:row>
    <x:row r="1634" ht="15" hidden="0" customHeight="1">
      <x:c r="A1634" s="31" t="str">
        <x:v>Anjoman accounting - refined.xlsx</x:v>
      </x:c>
      <x:c r="B1634" s="31" t="str">
        <x:v>اسناد و شواهد</x:v>
      </x:c>
      <x:c r="C1634" s="31" t="str">
        <x:v>D156</x:v>
      </x:c>
      <x:c r="D1634" s="31" t="str">
        <x:v>21027</x:v>
      </x:c>
      <x:c r="E1634" s="31"/>
    </x:row>
    <x:row r="1635" ht="15" hidden="0" customHeight="1">
      <x:c r="A1635" s="31" t="str">
        <x:v>Anjoman accounting - refined.xlsx</x:v>
      </x:c>
      <x:c r="B1635" s="31" t="str">
        <x:v>اسناد و شواهد</x:v>
      </x:c>
      <x:c r="C1635" s="31" t="str">
        <x:v>E156</x:v>
      </x:c>
      <x:c r="D1635" s="31" t="str">
        <x:v>70d5b7f1a70653de2322b22d6ecec86cab00add70221b3b888143f568da1ed9e</x:v>
      </x:c>
      <x:c r="E1635" s="31"/>
    </x:row>
    <x:row r="1636" ht="15" hidden="0" customHeight="1">
      <x:c r="A1636" s="31" t="str">
        <x:v>Anjoman accounting - refined.xlsx</x:v>
      </x:c>
      <x:c r="B1636" s="31" t="str">
        <x:v>اسناد و شواهد</x:v>
      </x:c>
      <x:c r="C1636" s="31" t="str">
        <x:v>A157</x:v>
      </x:c>
      <x:c r="D1636" s="31" t="str">
        <x:v>E-0154</x:v>
      </x:c>
      <x:c r="E1636" s="31"/>
    </x:row>
    <x:row r="1637" ht="15" hidden="0" customHeight="1">
      <x:c r="A1637" s="31" t="str">
        <x:v>Anjoman accounting - refined.xlsx</x:v>
      </x:c>
      <x:c r="B1637" s="31" t="str">
        <x:v>اسناد و شواهد</x:v>
      </x:c>
      <x:c r="C1637" s="31" t="str">
        <x:v>B157</x:v>
      </x:c>
      <x:c r="D1637" s="31" t="str">
        <x:v>telegram export\photos\photo_47@27-06-2026_18-43-30.jpg</x:v>
      </x:c>
      <x:c r="E1637" s="31"/>
    </x:row>
    <x:row r="1638" ht="15" hidden="0" customHeight="1">
      <x:c r="A1638" s="31" t="str">
        <x:v>Anjoman accounting - refined.xlsx</x:v>
      </x:c>
      <x:c r="B1638" s="31" t="str">
        <x:v>اسناد و شواهد</x:v>
      </x:c>
      <x:c r="C1638" s="31" t="str">
        <x:v>C157</x:v>
      </x:c>
      <x:c r="D1638" s="31" t="str">
        <x:v>jpg</x:v>
      </x:c>
      <x:c r="E1638" s="31"/>
    </x:row>
    <x:row r="1639" ht="15" hidden="0" customHeight="1">
      <x:c r="A1639" s="31" t="str">
        <x:v>Anjoman accounting - refined.xlsx</x:v>
      </x:c>
      <x:c r="B1639" s="31" t="str">
        <x:v>اسناد و شواهد</x:v>
      </x:c>
      <x:c r="C1639" s="31" t="str">
        <x:v>D157</x:v>
      </x:c>
      <x:c r="D1639" s="31" t="str">
        <x:v>145095</x:v>
      </x:c>
      <x:c r="E1639" s="31"/>
    </x:row>
    <x:row r="1640" ht="15" hidden="0" customHeight="1">
      <x:c r="A1640" s="31" t="str">
        <x:v>Anjoman accounting - refined.xlsx</x:v>
      </x:c>
      <x:c r="B1640" s="31" t="str">
        <x:v>اسناد و شواهد</x:v>
      </x:c>
      <x:c r="C1640" s="31" t="str">
        <x:v>E157</x:v>
      </x:c>
      <x:c r="D1640" s="31" t="str">
        <x:v>65c4560d70bc56c79da398701f9c98c8ae2ffada8d71d2c3e111e2e24ae1cd86</x:v>
      </x:c>
      <x:c r="E1640" s="31"/>
    </x:row>
    <x:row r="1641" ht="15" hidden="0" customHeight="1">
      <x:c r="A1641" s="31" t="str">
        <x:v>Anjoman accounting - refined.xlsx</x:v>
      </x:c>
      <x:c r="B1641" s="31" t="str">
        <x:v>اسناد و شواهد</x:v>
      </x:c>
      <x:c r="C1641" s="31" t="str">
        <x:v>A158</x:v>
      </x:c>
      <x:c r="D1641" s="31" t="str">
        <x:v>E-0155</x:v>
      </x:c>
      <x:c r="E1641" s="31"/>
    </x:row>
    <x:row r="1642" ht="15" hidden="0" customHeight="1">
      <x:c r="A1642" s="31" t="str">
        <x:v>Anjoman accounting - refined.xlsx</x:v>
      </x:c>
      <x:c r="B1642" s="31" t="str">
        <x:v>اسناد و شواهد</x:v>
      </x:c>
      <x:c r="C1642" s="31" t="str">
        <x:v>B158</x:v>
      </x:c>
      <x:c r="D1642" s="31" t="str">
        <x:v>telegram export\photos\photo_47@27-06-2026_18-43-30_thumb.jpg</x:v>
      </x:c>
      <x:c r="E1642" s="31"/>
    </x:row>
    <x:row r="1643" ht="15" hidden="0" customHeight="1">
      <x:c r="A1643" s="31" t="str">
        <x:v>Anjoman accounting - refined.xlsx</x:v>
      </x:c>
      <x:c r="B1643" s="31" t="str">
        <x:v>اسناد و شواهد</x:v>
      </x:c>
      <x:c r="C1643" s="31" t="str">
        <x:v>C158</x:v>
      </x:c>
      <x:c r="D1643" s="31" t="str">
        <x:v>jpg</x:v>
      </x:c>
      <x:c r="E1643" s="31"/>
    </x:row>
    <x:row r="1644" ht="15" hidden="0" customHeight="1">
      <x:c r="A1644" s="31" t="str">
        <x:v>Anjoman accounting - refined.xlsx</x:v>
      </x:c>
      <x:c r="B1644" s="31" t="str">
        <x:v>اسناد و شواهد</x:v>
      </x:c>
      <x:c r="C1644" s="31" t="str">
        <x:v>D158</x:v>
      </x:c>
      <x:c r="D1644" s="31" t="str">
        <x:v>20791</x:v>
      </x:c>
      <x:c r="E1644" s="31"/>
    </x:row>
    <x:row r="1645" ht="15" hidden="0" customHeight="1">
      <x:c r="A1645" s="31" t="str">
        <x:v>Anjoman accounting - refined.xlsx</x:v>
      </x:c>
      <x:c r="B1645" s="31" t="str">
        <x:v>اسناد و شواهد</x:v>
      </x:c>
      <x:c r="C1645" s="31" t="str">
        <x:v>E158</x:v>
      </x:c>
      <x:c r="D1645" s="31" t="str">
        <x:v>7c11d25d710870120c0c37637a411db4d2139333005c9016a759163a20208b85</x:v>
      </x:c>
      <x:c r="E1645" s="31"/>
    </x:row>
    <x:row r="1646" ht="15" hidden="0" customHeight="1">
      <x:c r="A1646" s="31" t="str">
        <x:v>Anjoman accounting - refined.xlsx</x:v>
      </x:c>
      <x:c r="B1646" s="31" t="str">
        <x:v>اسناد و شواهد</x:v>
      </x:c>
      <x:c r="C1646" s="31" t="str">
        <x:v>A159</x:v>
      </x:c>
      <x:c r="D1646" s="31" t="str">
        <x:v>E-0156</x:v>
      </x:c>
      <x:c r="E1646" s="31"/>
    </x:row>
    <x:row r="1647" ht="15" hidden="0" customHeight="1">
      <x:c r="A1647" s="31" t="str">
        <x:v>Anjoman accounting - refined.xlsx</x:v>
      </x:c>
      <x:c r="B1647" s="31" t="str">
        <x:v>اسناد و شواهد</x:v>
      </x:c>
      <x:c r="C1647" s="31" t="str">
        <x:v>B159</x:v>
      </x:c>
      <x:c r="D1647" s="31" t="str">
        <x:v>telegram export\photos\photo_48@27-06-2026_18-43-30.jpg</x:v>
      </x:c>
      <x:c r="E1647" s="31"/>
    </x:row>
    <x:row r="1648" ht="15" hidden="0" customHeight="1">
      <x:c r="A1648" s="31" t="str">
        <x:v>Anjoman accounting - refined.xlsx</x:v>
      </x:c>
      <x:c r="B1648" s="31" t="str">
        <x:v>اسناد و شواهد</x:v>
      </x:c>
      <x:c r="C1648" s="31" t="str">
        <x:v>C159</x:v>
      </x:c>
      <x:c r="D1648" s="31" t="str">
        <x:v>jpg</x:v>
      </x:c>
      <x:c r="E1648" s="31"/>
    </x:row>
    <x:row r="1649" ht="15" hidden="0" customHeight="1">
      <x:c r="A1649" s="31" t="str">
        <x:v>Anjoman accounting - refined.xlsx</x:v>
      </x:c>
      <x:c r="B1649" s="31" t="str">
        <x:v>اسناد و شواهد</x:v>
      </x:c>
      <x:c r="C1649" s="31" t="str">
        <x:v>D159</x:v>
      </x:c>
      <x:c r="D1649" s="31" t="str">
        <x:v>64244</x:v>
      </x:c>
      <x:c r="E1649" s="31"/>
    </x:row>
    <x:row r="1650" ht="15" hidden="0" customHeight="1">
      <x:c r="A1650" s="31" t="str">
        <x:v>Anjoman accounting - refined.xlsx</x:v>
      </x:c>
      <x:c r="B1650" s="31" t="str">
        <x:v>اسناد و شواهد</x:v>
      </x:c>
      <x:c r="C1650" s="31" t="str">
        <x:v>E159</x:v>
      </x:c>
      <x:c r="D1650" s="31" t="str">
        <x:v>20df96b527f0c957a11188d14f66f9281587d18e0b3e31457b0db70daf899449</x:v>
      </x:c>
      <x:c r="E1650" s="31"/>
    </x:row>
    <x:row r="1651" ht="15" hidden="0" customHeight="1">
      <x:c r="A1651" s="31" t="str">
        <x:v>Anjoman accounting - refined.xlsx</x:v>
      </x:c>
      <x:c r="B1651" s="31" t="str">
        <x:v>اسناد و شواهد</x:v>
      </x:c>
      <x:c r="C1651" s="31" t="str">
        <x:v>A160</x:v>
      </x:c>
      <x:c r="D1651" s="31" t="str">
        <x:v>E-0157</x:v>
      </x:c>
      <x:c r="E1651" s="31"/>
    </x:row>
    <x:row r="1652" ht="15" hidden="0" customHeight="1">
      <x:c r="A1652" s="31" t="str">
        <x:v>Anjoman accounting - refined.xlsx</x:v>
      </x:c>
      <x:c r="B1652" s="31" t="str">
        <x:v>اسناد و شواهد</x:v>
      </x:c>
      <x:c r="C1652" s="31" t="str">
        <x:v>B160</x:v>
      </x:c>
      <x:c r="D1652" s="31" t="str">
        <x:v>telegram export\photos\photo_48@27-06-2026_18-43-30_thumb.jpg</x:v>
      </x:c>
      <x:c r="E1652" s="31"/>
    </x:row>
    <x:row r="1653" ht="15" hidden="0" customHeight="1">
      <x:c r="A1653" s="31" t="str">
        <x:v>Anjoman accounting - refined.xlsx</x:v>
      </x:c>
      <x:c r="B1653" s="31" t="str">
        <x:v>اسناد و شواهد</x:v>
      </x:c>
      <x:c r="C1653" s="31" t="str">
        <x:v>C160</x:v>
      </x:c>
      <x:c r="D1653" s="31" t="str">
        <x:v>jpg</x:v>
      </x:c>
      <x:c r="E1653" s="31"/>
    </x:row>
    <x:row r="1654" ht="15" hidden="0" customHeight="1">
      <x:c r="A1654" s="31" t="str">
        <x:v>Anjoman accounting - refined.xlsx</x:v>
      </x:c>
      <x:c r="B1654" s="31" t="str">
        <x:v>اسناد و شواهد</x:v>
      </x:c>
      <x:c r="C1654" s="31" t="str">
        <x:v>D160</x:v>
      </x:c>
      <x:c r="D1654" s="31" t="str">
        <x:v>15509</x:v>
      </x:c>
      <x:c r="E1654" s="31"/>
    </x:row>
    <x:row r="1655" ht="15" hidden="0" customHeight="1">
      <x:c r="A1655" s="31" t="str">
        <x:v>Anjoman accounting - refined.xlsx</x:v>
      </x:c>
      <x:c r="B1655" s="31" t="str">
        <x:v>اسناد و شواهد</x:v>
      </x:c>
      <x:c r="C1655" s="31" t="str">
        <x:v>E160</x:v>
      </x:c>
      <x:c r="D1655" s="31" t="str">
        <x:v>270396b2616979116ecbbee3b2ca949a6b25412af041fbeb0d9b336dff52e09f</x:v>
      </x:c>
      <x:c r="E1655" s="31"/>
    </x:row>
    <x:row r="1656" ht="15" hidden="0" customHeight="1">
      <x:c r="A1656" s="31" t="str">
        <x:v>Anjoman accounting - refined.xlsx</x:v>
      </x:c>
      <x:c r="B1656" s="31" t="str">
        <x:v>اسناد و شواهد</x:v>
      </x:c>
      <x:c r="C1656" s="31" t="str">
        <x:v>A161</x:v>
      </x:c>
      <x:c r="D1656" s="31" t="str">
        <x:v>E-0158</x:v>
      </x:c>
      <x:c r="E1656" s="31"/>
    </x:row>
    <x:row r="1657" ht="15" hidden="0" customHeight="1">
      <x:c r="A1657" s="31" t="str">
        <x:v>Anjoman accounting - refined.xlsx</x:v>
      </x:c>
      <x:c r="B1657" s="31" t="str">
        <x:v>اسناد و شواهد</x:v>
      </x:c>
      <x:c r="C1657" s="31" t="str">
        <x:v>B161</x:v>
      </x:c>
      <x:c r="D1657" s="31" t="str">
        <x:v>telegram export\photos\photo_4@25-07-2025_04-04-24.jpg</x:v>
      </x:c>
      <x:c r="E1657" s="31"/>
    </x:row>
    <x:row r="1658" ht="15" hidden="0" customHeight="1">
      <x:c r="A1658" s="31" t="str">
        <x:v>Anjoman accounting - refined.xlsx</x:v>
      </x:c>
      <x:c r="B1658" s="31" t="str">
        <x:v>اسناد و شواهد</x:v>
      </x:c>
      <x:c r="C1658" s="31" t="str">
        <x:v>C161</x:v>
      </x:c>
      <x:c r="D1658" s="31" t="str">
        <x:v>jpg</x:v>
      </x:c>
      <x:c r="E1658" s="31"/>
    </x:row>
    <x:row r="1659" ht="15" hidden="0" customHeight="1">
      <x:c r="A1659" s="31" t="str">
        <x:v>Anjoman accounting - refined.xlsx</x:v>
      </x:c>
      <x:c r="B1659" s="31" t="str">
        <x:v>اسناد و شواهد</x:v>
      </x:c>
      <x:c r="C1659" s="31" t="str">
        <x:v>D161</x:v>
      </x:c>
      <x:c r="D1659" s="31" t="str">
        <x:v>74199</x:v>
      </x:c>
      <x:c r="E1659" s="31"/>
    </x:row>
    <x:row r="1660" ht="15" hidden="0" customHeight="1">
      <x:c r="A1660" s="31" t="str">
        <x:v>Anjoman accounting - refined.xlsx</x:v>
      </x:c>
      <x:c r="B1660" s="31" t="str">
        <x:v>اسناد و شواهد</x:v>
      </x:c>
      <x:c r="C1660" s="31" t="str">
        <x:v>E161</x:v>
      </x:c>
      <x:c r="D1660" s="31" t="str">
        <x:v>5034c1ebaa4bd3c07a59eaf0de3840e0ed1486387ba2b1e9c2832c748b3979a7</x:v>
      </x:c>
      <x:c r="E1660" s="31"/>
    </x:row>
    <x:row r="1661" ht="15" hidden="0" customHeight="1">
      <x:c r="A1661" s="31" t="str">
        <x:v>Anjoman accounting - refined.xlsx</x:v>
      </x:c>
      <x:c r="B1661" s="31" t="str">
        <x:v>اسناد و شواهد</x:v>
      </x:c>
      <x:c r="C1661" s="31" t="str">
        <x:v>A162</x:v>
      </x:c>
      <x:c r="D1661" s="31" t="str">
        <x:v>E-0159</x:v>
      </x:c>
      <x:c r="E1661" s="31"/>
    </x:row>
    <x:row r="1662" ht="15" hidden="0" customHeight="1">
      <x:c r="A1662" s="31" t="str">
        <x:v>Anjoman accounting - refined.xlsx</x:v>
      </x:c>
      <x:c r="B1662" s="31" t="str">
        <x:v>اسناد و شواهد</x:v>
      </x:c>
      <x:c r="C1662" s="31" t="str">
        <x:v>B162</x:v>
      </x:c>
      <x:c r="D1662" s="31" t="str">
        <x:v>telegram export\photos\photo_4@25-07-2025_04-04-24_thumb.jpg</x:v>
      </x:c>
      <x:c r="E1662" s="31"/>
    </x:row>
    <x:row r="1663" ht="15" hidden="0" customHeight="1">
      <x:c r="A1663" s="31" t="str">
        <x:v>Anjoman accounting - refined.xlsx</x:v>
      </x:c>
      <x:c r="B1663" s="31" t="str">
        <x:v>اسناد و شواهد</x:v>
      </x:c>
      <x:c r="C1663" s="31" t="str">
        <x:v>C162</x:v>
      </x:c>
      <x:c r="D1663" s="31" t="str">
        <x:v>jpg</x:v>
      </x:c>
      <x:c r="E1663" s="31"/>
    </x:row>
    <x:row r="1664" ht="15" hidden="0" customHeight="1">
      <x:c r="A1664" s="31" t="str">
        <x:v>Anjoman accounting - refined.xlsx</x:v>
      </x:c>
      <x:c r="B1664" s="31" t="str">
        <x:v>اسناد و شواهد</x:v>
      </x:c>
      <x:c r="C1664" s="31" t="str">
        <x:v>D162</x:v>
      </x:c>
      <x:c r="D1664" s="31" t="str">
        <x:v>19318</x:v>
      </x:c>
      <x:c r="E1664" s="31"/>
    </x:row>
    <x:row r="1665" ht="15" hidden="0" customHeight="1">
      <x:c r="A1665" s="31" t="str">
        <x:v>Anjoman accounting - refined.xlsx</x:v>
      </x:c>
      <x:c r="B1665" s="31" t="str">
        <x:v>اسناد و شواهد</x:v>
      </x:c>
      <x:c r="C1665" s="31" t="str">
        <x:v>E162</x:v>
      </x:c>
      <x:c r="D1665" s="31" t="str">
        <x:v>f03a08592292f2fc18197c3c438f580cf024dee8350589d169cf4a5c90361459</x:v>
      </x:c>
      <x:c r="E1665" s="31"/>
    </x:row>
    <x:row r="1666" ht="15" hidden="0" customHeight="1">
      <x:c r="A1666" s="31" t="str">
        <x:v>Anjoman accounting - refined.xlsx</x:v>
      </x:c>
      <x:c r="B1666" s="31" t="str">
        <x:v>اسناد و شواهد</x:v>
      </x:c>
      <x:c r="C1666" s="31" t="str">
        <x:v>A163</x:v>
      </x:c>
      <x:c r="D1666" s="31" t="str">
        <x:v>E-0160</x:v>
      </x:c>
      <x:c r="E1666" s="31"/>
    </x:row>
    <x:row r="1667" ht="15" hidden="0" customHeight="1">
      <x:c r="A1667" s="31" t="str">
        <x:v>Anjoman accounting - refined.xlsx</x:v>
      </x:c>
      <x:c r="B1667" s="31" t="str">
        <x:v>اسناد و شواهد</x:v>
      </x:c>
      <x:c r="C1667" s="31" t="str">
        <x:v>B163</x:v>
      </x:c>
      <x:c r="D1667" s="31" t="str">
        <x:v>telegram export\photos\photo_5@25-07-2025_04-08-41.jpg</x:v>
      </x:c>
      <x:c r="E1667" s="31"/>
    </x:row>
    <x:row r="1668" ht="15" hidden="0" customHeight="1">
      <x:c r="A1668" s="31" t="str">
        <x:v>Anjoman accounting - refined.xlsx</x:v>
      </x:c>
      <x:c r="B1668" s="31" t="str">
        <x:v>اسناد و شواهد</x:v>
      </x:c>
      <x:c r="C1668" s="31" t="str">
        <x:v>C163</x:v>
      </x:c>
      <x:c r="D1668" s="31" t="str">
        <x:v>jpg</x:v>
      </x:c>
      <x:c r="E1668" s="31"/>
    </x:row>
    <x:row r="1669" ht="15" hidden="0" customHeight="1">
      <x:c r="A1669" s="31" t="str">
        <x:v>Anjoman accounting - refined.xlsx</x:v>
      </x:c>
      <x:c r="B1669" s="31" t="str">
        <x:v>اسناد و شواهد</x:v>
      </x:c>
      <x:c r="C1669" s="31" t="str">
        <x:v>D163</x:v>
      </x:c>
      <x:c r="D1669" s="31" t="str">
        <x:v>74870</x:v>
      </x:c>
      <x:c r="E1669" s="31"/>
    </x:row>
    <x:row r="1670" ht="15" hidden="0" customHeight="1">
      <x:c r="A1670" s="31" t="str">
        <x:v>Anjoman accounting - refined.xlsx</x:v>
      </x:c>
      <x:c r="B1670" s="31" t="str">
        <x:v>اسناد و شواهد</x:v>
      </x:c>
      <x:c r="C1670" s="31" t="str">
        <x:v>E163</x:v>
      </x:c>
      <x:c r="D1670" s="31" t="str">
        <x:v>097c6be0efefe88b7e213d3f6aba5f4dc6a9e813bd3aed9162a991d6f68aeb4b</x:v>
      </x:c>
      <x:c r="E1670" s="31"/>
    </x:row>
    <x:row r="1671" ht="15" hidden="0" customHeight="1">
      <x:c r="A1671" s="31" t="str">
        <x:v>Anjoman accounting - refined.xlsx</x:v>
      </x:c>
      <x:c r="B1671" s="31" t="str">
        <x:v>اسناد و شواهد</x:v>
      </x:c>
      <x:c r="C1671" s="31" t="str">
        <x:v>A164</x:v>
      </x:c>
      <x:c r="D1671" s="31" t="str">
        <x:v>E-0161</x:v>
      </x:c>
      <x:c r="E1671" s="31"/>
    </x:row>
    <x:row r="1672" ht="15" hidden="0" customHeight="1">
      <x:c r="A1672" s="31" t="str">
        <x:v>Anjoman accounting - refined.xlsx</x:v>
      </x:c>
      <x:c r="B1672" s="31" t="str">
        <x:v>اسناد و شواهد</x:v>
      </x:c>
      <x:c r="C1672" s="31" t="str">
        <x:v>B164</x:v>
      </x:c>
      <x:c r="D1672" s="31" t="str">
        <x:v>telegram export\photos\photo_5@25-07-2025_04-08-41_thumb.jpg</x:v>
      </x:c>
      <x:c r="E1672" s="31"/>
    </x:row>
    <x:row r="1673" ht="15" hidden="0" customHeight="1">
      <x:c r="A1673" s="31" t="str">
        <x:v>Anjoman accounting - refined.xlsx</x:v>
      </x:c>
      <x:c r="B1673" s="31" t="str">
        <x:v>اسناد و شواهد</x:v>
      </x:c>
      <x:c r="C1673" s="31" t="str">
        <x:v>C164</x:v>
      </x:c>
      <x:c r="D1673" s="31" t="str">
        <x:v>jpg</x:v>
      </x:c>
      <x:c r="E1673" s="31"/>
    </x:row>
    <x:row r="1674" ht="15" hidden="0" customHeight="1">
      <x:c r="A1674" s="31" t="str">
        <x:v>Anjoman accounting - refined.xlsx</x:v>
      </x:c>
      <x:c r="B1674" s="31" t="str">
        <x:v>اسناد و شواهد</x:v>
      </x:c>
      <x:c r="C1674" s="31" t="str">
        <x:v>D164</x:v>
      </x:c>
      <x:c r="D1674" s="31" t="str">
        <x:v>19278</x:v>
      </x:c>
      <x:c r="E1674" s="31"/>
    </x:row>
    <x:row r="1675" ht="15" hidden="0" customHeight="1">
      <x:c r="A1675" s="31" t="str">
        <x:v>Anjoman accounting - refined.xlsx</x:v>
      </x:c>
      <x:c r="B1675" s="31" t="str">
        <x:v>اسناد و شواهد</x:v>
      </x:c>
      <x:c r="C1675" s="31" t="str">
        <x:v>E164</x:v>
      </x:c>
      <x:c r="D1675" s="31" t="str">
        <x:v>5e653d24385bd9edbb47c15db50821bd58697aa6e250a91803c71373f447cca2</x:v>
      </x:c>
      <x:c r="E1675" s="31"/>
    </x:row>
    <x:row r="1676" ht="15" hidden="0" customHeight="1">
      <x:c r="A1676" s="31" t="str">
        <x:v>Anjoman accounting - refined.xlsx</x:v>
      </x:c>
      <x:c r="B1676" s="31" t="str">
        <x:v>اسناد و شواهد</x:v>
      </x:c>
      <x:c r="C1676" s="31" t="str">
        <x:v>A165</x:v>
      </x:c>
      <x:c r="D1676" s="31" t="str">
        <x:v>E-0162</x:v>
      </x:c>
      <x:c r="E1676" s="31"/>
    </x:row>
    <x:row r="1677" ht="15" hidden="0" customHeight="1">
      <x:c r="A1677" s="31" t="str">
        <x:v>Anjoman accounting - refined.xlsx</x:v>
      </x:c>
      <x:c r="B1677" s="31" t="str">
        <x:v>اسناد و شواهد</x:v>
      </x:c>
      <x:c r="C1677" s="31" t="str">
        <x:v>B165</x:v>
      </x:c>
      <x:c r="D1677" s="31" t="str">
        <x:v>telegram export\photos\photo_6@25-07-2025_15-53-39.jpg</x:v>
      </x:c>
      <x:c r="E1677" s="31"/>
    </x:row>
    <x:row r="1678" ht="15" hidden="0" customHeight="1">
      <x:c r="A1678" s="31" t="str">
        <x:v>Anjoman accounting - refined.xlsx</x:v>
      </x:c>
      <x:c r="B1678" s="31" t="str">
        <x:v>اسناد و شواهد</x:v>
      </x:c>
      <x:c r="C1678" s="31" t="str">
        <x:v>C165</x:v>
      </x:c>
      <x:c r="D1678" s="31" t="str">
        <x:v>jpg</x:v>
      </x:c>
      <x:c r="E1678" s="31"/>
    </x:row>
    <x:row r="1679" ht="15" hidden="0" customHeight="1">
      <x:c r="A1679" s="31" t="str">
        <x:v>Anjoman accounting - refined.xlsx</x:v>
      </x:c>
      <x:c r="B1679" s="31" t="str">
        <x:v>اسناد و شواهد</x:v>
      </x:c>
      <x:c r="C1679" s="31" t="str">
        <x:v>D165</x:v>
      </x:c>
      <x:c r="D1679" s="31" t="str">
        <x:v>74748</x:v>
      </x:c>
      <x:c r="E1679" s="31"/>
    </x:row>
    <x:row r="1680" ht="15" hidden="0" customHeight="1">
      <x:c r="A1680" s="31" t="str">
        <x:v>Anjoman accounting - refined.xlsx</x:v>
      </x:c>
      <x:c r="B1680" s="31" t="str">
        <x:v>اسناد و شواهد</x:v>
      </x:c>
      <x:c r="C1680" s="31" t="str">
        <x:v>E165</x:v>
      </x:c>
      <x:c r="D1680" s="31" t="str">
        <x:v>26c18dafda65ecb48d670d908ff9a6c650df2905684e12dc23e64ef7a00a2547</x:v>
      </x:c>
      <x:c r="E1680" s="31"/>
    </x:row>
    <x:row r="1681" ht="15" hidden="0" customHeight="1">
      <x:c r="A1681" s="31" t="str">
        <x:v>Anjoman accounting - refined.xlsx</x:v>
      </x:c>
      <x:c r="B1681" s="31" t="str">
        <x:v>اسناد و شواهد</x:v>
      </x:c>
      <x:c r="C1681" s="31" t="str">
        <x:v>A166</x:v>
      </x:c>
      <x:c r="D1681" s="31" t="str">
        <x:v>E-0163</x:v>
      </x:c>
      <x:c r="E1681" s="31"/>
    </x:row>
    <x:row r="1682" ht="15" hidden="0" customHeight="1">
      <x:c r="A1682" s="31" t="str">
        <x:v>Anjoman accounting - refined.xlsx</x:v>
      </x:c>
      <x:c r="B1682" s="31" t="str">
        <x:v>اسناد و شواهد</x:v>
      </x:c>
      <x:c r="C1682" s="31" t="str">
        <x:v>B166</x:v>
      </x:c>
      <x:c r="D1682" s="31" t="str">
        <x:v>telegram export\photos\photo_6@25-07-2025_15-53-39_thumb.jpg</x:v>
      </x:c>
      <x:c r="E1682" s="31"/>
    </x:row>
    <x:row r="1683" ht="15" hidden="0" customHeight="1">
      <x:c r="A1683" s="31" t="str">
        <x:v>Anjoman accounting - refined.xlsx</x:v>
      </x:c>
      <x:c r="B1683" s="31" t="str">
        <x:v>اسناد و شواهد</x:v>
      </x:c>
      <x:c r="C1683" s="31" t="str">
        <x:v>C166</x:v>
      </x:c>
      <x:c r="D1683" s="31" t="str">
        <x:v>jpg</x:v>
      </x:c>
      <x:c r="E1683" s="31"/>
    </x:row>
    <x:row r="1684" ht="15" hidden="0" customHeight="1">
      <x:c r="A1684" s="31" t="str">
        <x:v>Anjoman accounting - refined.xlsx</x:v>
      </x:c>
      <x:c r="B1684" s="31" t="str">
        <x:v>اسناد و شواهد</x:v>
      </x:c>
      <x:c r="C1684" s="31" t="str">
        <x:v>D166</x:v>
      </x:c>
      <x:c r="D1684" s="31" t="str">
        <x:v>19480</x:v>
      </x:c>
      <x:c r="E1684" s="31"/>
    </x:row>
    <x:row r="1685" ht="15" hidden="0" customHeight="1">
      <x:c r="A1685" s="31" t="str">
        <x:v>Anjoman accounting - refined.xlsx</x:v>
      </x:c>
      <x:c r="B1685" s="31" t="str">
        <x:v>اسناد و شواهد</x:v>
      </x:c>
      <x:c r="C1685" s="31" t="str">
        <x:v>E166</x:v>
      </x:c>
      <x:c r="D1685" s="31" t="str">
        <x:v>100e3db11d7786876ae628e80e2fb5ddb7e0986e4336370623edc21199862537</x:v>
      </x:c>
      <x:c r="E1685" s="31"/>
    </x:row>
    <x:row r="1686" ht="15" hidden="0" customHeight="1">
      <x:c r="A1686" s="31" t="str">
        <x:v>Anjoman accounting - refined.xlsx</x:v>
      </x:c>
      <x:c r="B1686" s="31" t="str">
        <x:v>اسناد و شواهد</x:v>
      </x:c>
      <x:c r="C1686" s="31" t="str">
        <x:v>A167</x:v>
      </x:c>
      <x:c r="D1686" s="31" t="str">
        <x:v>E-0164</x:v>
      </x:c>
      <x:c r="E1686" s="31"/>
    </x:row>
    <x:row r="1687" ht="15" hidden="0" customHeight="1">
      <x:c r="A1687" s="31" t="str">
        <x:v>Anjoman accounting - refined.xlsx</x:v>
      </x:c>
      <x:c r="B1687" s="31" t="str">
        <x:v>اسناد و شواهد</x:v>
      </x:c>
      <x:c r="C1687" s="31" t="str">
        <x:v>B167</x:v>
      </x:c>
      <x:c r="D1687" s="31" t="str">
        <x:v>telegram export\photos\photo_7@11-08-2025_15-51-55.jpg</x:v>
      </x:c>
      <x:c r="E1687" s="31"/>
    </x:row>
    <x:row r="1688" ht="15" hidden="0" customHeight="1">
      <x:c r="A1688" s="31" t="str">
        <x:v>Anjoman accounting - refined.xlsx</x:v>
      </x:c>
      <x:c r="B1688" s="31" t="str">
        <x:v>اسناد و شواهد</x:v>
      </x:c>
      <x:c r="C1688" s="31" t="str">
        <x:v>C167</x:v>
      </x:c>
      <x:c r="D1688" s="31" t="str">
        <x:v>jpg</x:v>
      </x:c>
      <x:c r="E1688" s="31"/>
    </x:row>
    <x:row r="1689" ht="15" hidden="0" customHeight="1">
      <x:c r="A1689" s="31" t="str">
        <x:v>Anjoman accounting - refined.xlsx</x:v>
      </x:c>
      <x:c r="B1689" s="31" t="str">
        <x:v>اسناد و شواهد</x:v>
      </x:c>
      <x:c r="C1689" s="31" t="str">
        <x:v>D167</x:v>
      </x:c>
      <x:c r="D1689" s="31" t="str">
        <x:v>71573</x:v>
      </x:c>
      <x:c r="E1689" s="31"/>
    </x:row>
    <x:row r="1690" ht="15" hidden="0" customHeight="1">
      <x:c r="A1690" s="31" t="str">
        <x:v>Anjoman accounting - refined.xlsx</x:v>
      </x:c>
      <x:c r="B1690" s="31" t="str">
        <x:v>اسناد و شواهد</x:v>
      </x:c>
      <x:c r="C1690" s="31" t="str">
        <x:v>E167</x:v>
      </x:c>
      <x:c r="D1690" s="31" t="str">
        <x:v>7cea1f63bcc0623f6f084e71e2aeea383f1f5648bfcdf5e8b6785cc5a6ec980d</x:v>
      </x:c>
      <x:c r="E1690" s="31"/>
    </x:row>
    <x:row r="1691" ht="15" hidden="0" customHeight="1">
      <x:c r="A1691" s="31" t="str">
        <x:v>Anjoman accounting - refined.xlsx</x:v>
      </x:c>
      <x:c r="B1691" s="31" t="str">
        <x:v>اسناد و شواهد</x:v>
      </x:c>
      <x:c r="C1691" s="31" t="str">
        <x:v>A168</x:v>
      </x:c>
      <x:c r="D1691" s="31" t="str">
        <x:v>E-0165</x:v>
      </x:c>
      <x:c r="E1691" s="31"/>
    </x:row>
    <x:row r="1692" ht="15" hidden="0" customHeight="1">
      <x:c r="A1692" s="31" t="str">
        <x:v>Anjoman accounting - refined.xlsx</x:v>
      </x:c>
      <x:c r="B1692" s="31" t="str">
        <x:v>اسناد و شواهد</x:v>
      </x:c>
      <x:c r="C1692" s="31" t="str">
        <x:v>B168</x:v>
      </x:c>
      <x:c r="D1692" s="31" t="str">
        <x:v>telegram export\photos\photo_7@11-08-2025_15-51-55_thumb.jpg</x:v>
      </x:c>
      <x:c r="E1692" s="31"/>
    </x:row>
    <x:row r="1693" ht="15" hidden="0" customHeight="1">
      <x:c r="A1693" s="31" t="str">
        <x:v>Anjoman accounting - refined.xlsx</x:v>
      </x:c>
      <x:c r="B1693" s="31" t="str">
        <x:v>اسناد و شواهد</x:v>
      </x:c>
      <x:c r="C1693" s="31" t="str">
        <x:v>C168</x:v>
      </x:c>
      <x:c r="D1693" s="31" t="str">
        <x:v>jpg</x:v>
      </x:c>
      <x:c r="E1693" s="31"/>
    </x:row>
    <x:row r="1694" ht="15" hidden="0" customHeight="1">
      <x:c r="A1694" s="31" t="str">
        <x:v>Anjoman accounting - refined.xlsx</x:v>
      </x:c>
      <x:c r="B1694" s="31" t="str">
        <x:v>اسناد و شواهد</x:v>
      </x:c>
      <x:c r="C1694" s="31" t="str">
        <x:v>D168</x:v>
      </x:c>
      <x:c r="D1694" s="31" t="str">
        <x:v>19015</x:v>
      </x:c>
      <x:c r="E1694" s="31"/>
    </x:row>
    <x:row r="1695" ht="15" hidden="0" customHeight="1">
      <x:c r="A1695" s="31" t="str">
        <x:v>Anjoman accounting - refined.xlsx</x:v>
      </x:c>
      <x:c r="B1695" s="31" t="str">
        <x:v>اسناد و شواهد</x:v>
      </x:c>
      <x:c r="C1695" s="31" t="str">
        <x:v>E168</x:v>
      </x:c>
      <x:c r="D1695" s="31" t="str">
        <x:v>2fbcc98f948489160d0596359b251e10988b71fa0c13c20fc4a3969559d15c9f</x:v>
      </x:c>
      <x:c r="E1695" s="31"/>
    </x:row>
    <x:row r="1696" ht="15" hidden="0" customHeight="1">
      <x:c r="A1696" s="31" t="str">
        <x:v>Anjoman accounting - refined.xlsx</x:v>
      </x:c>
      <x:c r="B1696" s="31" t="str">
        <x:v>اسناد و شواهد</x:v>
      </x:c>
      <x:c r="C1696" s="31" t="str">
        <x:v>A169</x:v>
      </x:c>
      <x:c r="D1696" s="31" t="str">
        <x:v>E-0166</x:v>
      </x:c>
      <x:c r="E1696" s="31"/>
    </x:row>
    <x:row r="1697" ht="15" hidden="0" customHeight="1">
      <x:c r="A1697" s="31" t="str">
        <x:v>Anjoman accounting - refined.xlsx</x:v>
      </x:c>
      <x:c r="B1697" s="31" t="str">
        <x:v>اسناد و شواهد</x:v>
      </x:c>
      <x:c r="C1697" s="31" t="str">
        <x:v>B169</x:v>
      </x:c>
      <x:c r="D1697" s="31" t="str">
        <x:v>telegram export\photos\photo_8@12-08-2025_09-58-34.jpg</x:v>
      </x:c>
      <x:c r="E1697" s="31"/>
    </x:row>
    <x:row r="1698" ht="15" hidden="0" customHeight="1">
      <x:c r="A1698" s="31" t="str">
        <x:v>Anjoman accounting - refined.xlsx</x:v>
      </x:c>
      <x:c r="B1698" s="31" t="str">
        <x:v>اسناد و شواهد</x:v>
      </x:c>
      <x:c r="C1698" s="31" t="str">
        <x:v>C169</x:v>
      </x:c>
      <x:c r="D1698" s="31" t="str">
        <x:v>jpg</x:v>
      </x:c>
      <x:c r="E1698" s="31"/>
    </x:row>
    <x:row r="1699" ht="15" hidden="0" customHeight="1">
      <x:c r="A1699" s="31" t="str">
        <x:v>Anjoman accounting - refined.xlsx</x:v>
      </x:c>
      <x:c r="B1699" s="31" t="str">
        <x:v>اسناد و شواهد</x:v>
      </x:c>
      <x:c r="C1699" s="31" t="str">
        <x:v>D169</x:v>
      </x:c>
      <x:c r="D1699" s="31" t="str">
        <x:v>74246</x:v>
      </x:c>
      <x:c r="E1699" s="31"/>
    </x:row>
    <x:row r="1700" ht="15" hidden="0" customHeight="1">
      <x:c r="A1700" s="31" t="str">
        <x:v>Anjoman accounting - refined.xlsx</x:v>
      </x:c>
      <x:c r="B1700" s="31" t="str">
        <x:v>اسناد و شواهد</x:v>
      </x:c>
      <x:c r="C1700" s="31" t="str">
        <x:v>E169</x:v>
      </x:c>
      <x:c r="D1700" s="31" t="str">
        <x:v>644eada63dc0f6deb5768ffcb5bf455d0cda0ea15dd20247a08aedaf6a6c2863</x:v>
      </x:c>
      <x:c r="E1700" s="31"/>
    </x:row>
    <x:row r="1701" ht="15" hidden="0" customHeight="1">
      <x:c r="A1701" s="31" t="str">
        <x:v>Anjoman accounting - refined.xlsx</x:v>
      </x:c>
      <x:c r="B1701" s="31" t="str">
        <x:v>اسناد و شواهد</x:v>
      </x:c>
      <x:c r="C1701" s="31" t="str">
        <x:v>A170</x:v>
      </x:c>
      <x:c r="D1701" s="31" t="str">
        <x:v>E-0167</x:v>
      </x:c>
      <x:c r="E1701" s="31"/>
    </x:row>
    <x:row r="1702" ht="15" hidden="0" customHeight="1">
      <x:c r="A1702" s="31" t="str">
        <x:v>Anjoman accounting - refined.xlsx</x:v>
      </x:c>
      <x:c r="B1702" s="31" t="str">
        <x:v>اسناد و شواهد</x:v>
      </x:c>
      <x:c r="C1702" s="31" t="str">
        <x:v>B170</x:v>
      </x:c>
      <x:c r="D1702" s="31" t="str">
        <x:v>telegram export\photos\photo_8@12-08-2025_09-58-34_thumb.jpg</x:v>
      </x:c>
      <x:c r="E1702" s="31"/>
    </x:row>
    <x:row r="1703" ht="15" hidden="0" customHeight="1">
      <x:c r="A1703" s="31" t="str">
        <x:v>Anjoman accounting - refined.xlsx</x:v>
      </x:c>
      <x:c r="B1703" s="31" t="str">
        <x:v>اسناد و شواهد</x:v>
      </x:c>
      <x:c r="C1703" s="31" t="str">
        <x:v>C170</x:v>
      </x:c>
      <x:c r="D1703" s="31" t="str">
        <x:v>jpg</x:v>
      </x:c>
      <x:c r="E1703" s="31"/>
    </x:row>
    <x:row r="1704" ht="15" hidden="0" customHeight="1">
      <x:c r="A1704" s="31" t="str">
        <x:v>Anjoman accounting - refined.xlsx</x:v>
      </x:c>
      <x:c r="B1704" s="31" t="str">
        <x:v>اسناد و شواهد</x:v>
      </x:c>
      <x:c r="C1704" s="31" t="str">
        <x:v>D170</x:v>
      </x:c>
      <x:c r="D1704" s="31" t="str">
        <x:v>19315</x:v>
      </x:c>
      <x:c r="E1704" s="31"/>
    </x:row>
    <x:row r="1705" ht="15" hidden="0" customHeight="1">
      <x:c r="A1705" s="31" t="str">
        <x:v>Anjoman accounting - refined.xlsx</x:v>
      </x:c>
      <x:c r="B1705" s="31" t="str">
        <x:v>اسناد و شواهد</x:v>
      </x:c>
      <x:c r="C1705" s="31" t="str">
        <x:v>E170</x:v>
      </x:c>
      <x:c r="D1705" s="31" t="str">
        <x:v>dd98cf87499f0b7b62ab6d318825970115fe092461464a390ae20edceb4d0d13</x:v>
      </x:c>
      <x:c r="E1705" s="31"/>
    </x:row>
    <x:row r="1706" ht="15" hidden="0" customHeight="1">
      <x:c r="A1706" s="31" t="str">
        <x:v>Anjoman accounting - refined.xlsx</x:v>
      </x:c>
      <x:c r="B1706" s="31" t="str">
        <x:v>اسناد و شواهد</x:v>
      </x:c>
      <x:c r="C1706" s="31" t="str">
        <x:v>A171</x:v>
      </x:c>
      <x:c r="D1706" s="31" t="str">
        <x:v>E-0168</x:v>
      </x:c>
      <x:c r="E1706" s="31"/>
    </x:row>
    <x:row r="1707" ht="15" hidden="0" customHeight="1">
      <x:c r="A1707" s="31" t="str">
        <x:v>Anjoman accounting - refined.xlsx</x:v>
      </x:c>
      <x:c r="B1707" s="31" t="str">
        <x:v>اسناد و شواهد</x:v>
      </x:c>
      <x:c r="C1707" s="31" t="str">
        <x:v>B171</x:v>
      </x:c>
      <x:c r="D1707" s="31" t="str">
        <x:v>telegram export\photos\photo_9@12-08-2025_09-58-34.jpg</x:v>
      </x:c>
      <x:c r="E1707" s="31"/>
    </x:row>
    <x:row r="1708" ht="15" hidden="0" customHeight="1">
      <x:c r="A1708" s="31" t="str">
        <x:v>Anjoman accounting - refined.xlsx</x:v>
      </x:c>
      <x:c r="B1708" s="31" t="str">
        <x:v>اسناد و شواهد</x:v>
      </x:c>
      <x:c r="C1708" s="31" t="str">
        <x:v>C171</x:v>
      </x:c>
      <x:c r="D1708" s="31" t="str">
        <x:v>jpg</x:v>
      </x:c>
      <x:c r="E1708" s="31"/>
    </x:row>
    <x:row r="1709" ht="15" hidden="0" customHeight="1">
      <x:c r="A1709" s="31" t="str">
        <x:v>Anjoman accounting - refined.xlsx</x:v>
      </x:c>
      <x:c r="B1709" s="31" t="str">
        <x:v>اسناد و شواهد</x:v>
      </x:c>
      <x:c r="C1709" s="31" t="str">
        <x:v>D171</x:v>
      </x:c>
      <x:c r="D1709" s="31" t="str">
        <x:v>254809</x:v>
      </x:c>
      <x:c r="E1709" s="31"/>
    </x:row>
    <x:row r="1710" ht="15" hidden="0" customHeight="1">
      <x:c r="A1710" s="31" t="str">
        <x:v>Anjoman accounting - refined.xlsx</x:v>
      </x:c>
      <x:c r="B1710" s="31" t="str">
        <x:v>اسناد و شواهد</x:v>
      </x:c>
      <x:c r="C1710" s="31" t="str">
        <x:v>E171</x:v>
      </x:c>
      <x:c r="D1710" s="31" t="str">
        <x:v>5c47322f7a512fb80b48f0044a38ac5a9222176efd200637dbdac21211145ca5</x:v>
      </x:c>
      <x:c r="E1710" s="31"/>
    </x:row>
    <x:row r="1711" ht="15" hidden="0" customHeight="1">
      <x:c r="A1711" s="31" t="str">
        <x:v>Anjoman accounting - refined.xlsx</x:v>
      </x:c>
      <x:c r="B1711" s="31" t="str">
        <x:v>اسناد و شواهد</x:v>
      </x:c>
      <x:c r="C1711" s="31" t="str">
        <x:v>A172</x:v>
      </x:c>
      <x:c r="D1711" s="31" t="str">
        <x:v>E-0169</x:v>
      </x:c>
      <x:c r="E1711" s="31"/>
    </x:row>
    <x:row r="1712" ht="15" hidden="0" customHeight="1">
      <x:c r="A1712" s="31" t="str">
        <x:v>Anjoman accounting - refined.xlsx</x:v>
      </x:c>
      <x:c r="B1712" s="31" t="str">
        <x:v>اسناد و شواهد</x:v>
      </x:c>
      <x:c r="C1712" s="31" t="str">
        <x:v>B172</x:v>
      </x:c>
      <x:c r="D1712" s="31" t="str">
        <x:v>telegram export\photos\photo_9@12-08-2025_09-58-34_thumb.jpg</x:v>
      </x:c>
      <x:c r="E1712" s="31"/>
    </x:row>
    <x:row r="1713" ht="15" hidden="0" customHeight="1">
      <x:c r="A1713" s="31" t="str">
        <x:v>Anjoman accounting - refined.xlsx</x:v>
      </x:c>
      <x:c r="B1713" s="31" t="str">
        <x:v>اسناد و شواهد</x:v>
      </x:c>
      <x:c r="C1713" s="31" t="str">
        <x:v>C172</x:v>
      </x:c>
      <x:c r="D1713" s="31" t="str">
        <x:v>jpg</x:v>
      </x:c>
      <x:c r="E1713" s="31"/>
    </x:row>
    <x:row r="1714" ht="15" hidden="0" customHeight="1">
      <x:c r="A1714" s="31" t="str">
        <x:v>Anjoman accounting - refined.xlsx</x:v>
      </x:c>
      <x:c r="B1714" s="31" t="str">
        <x:v>اسناد و شواهد</x:v>
      </x:c>
      <x:c r="C1714" s="31" t="str">
        <x:v>D172</x:v>
      </x:c>
      <x:c r="D1714" s="31" t="str">
        <x:v>13467</x:v>
      </x:c>
      <x:c r="E1714" s="31"/>
    </x:row>
    <x:row r="1715" ht="15" hidden="0" customHeight="1">
      <x:c r="A1715" s="31" t="str">
        <x:v>Anjoman accounting - refined.xlsx</x:v>
      </x:c>
      <x:c r="B1715" s="31" t="str">
        <x:v>اسناد و شواهد</x:v>
      </x:c>
      <x:c r="C1715" s="31" t="str">
        <x:v>E172</x:v>
      </x:c>
      <x:c r="D1715" s="31" t="str">
        <x:v>4dc62e7e22fa80a04cabd493748d0fc35496fbfd0af31082e80682e9d85dc277</x:v>
      </x:c>
      <x:c r="E1715" s="31"/>
    </x:row>
    <x:row r="1716" ht="15" hidden="0" customHeight="1">
      <x:c r="A1716" s="31" t="str">
        <x:v>Anjoman accounting - refined.xlsx</x:v>
      </x:c>
      <x:c r="B1716" s="31" t="str">
        <x:v>صف بررسی رسیدها</x:v>
      </x:c>
      <x:c r="C1716" s="31" t="str">
        <x:v>A1</x:v>
      </x:c>
      <x:c r="D1716" s="31" t="str">
        <x:v>صف بررسی دستی رسیدها</x:v>
      </x:c>
      <x:c r="E1716" s="31"/>
    </x:row>
    <x:row r="1717" ht="15" hidden="0" customHeight="1">
      <x:c r="A1717" s="31" t="str">
        <x:v>Anjoman accounting - refined.xlsx</x:v>
      </x:c>
      <x:c r="B1717" s="31" t="str">
        <x:v>صف بررسی رسیدها</x:v>
      </x:c>
      <x:c r="C1717" s="31" t="str">
        <x:v>A2</x:v>
      </x:c>
      <x:c r="D1717" s="31" t="str">
        <x:v>نسخه refined | واحد گزارش: تومان | مبالغ نامطمئن در صف بررسی از جمع تاییدشده حذف می‌شوند.</x:v>
      </x:c>
      <x:c r="E1717" s="31"/>
    </x:row>
    <x:row r="1718" ht="15" hidden="0" customHeight="1">
      <x:c r="A1718" s="31" t="str">
        <x:v>Anjoman accounting - refined.xlsx</x:v>
      </x:c>
      <x:c r="B1718" s="31" t="str">
        <x:v>صف بررسی رسیدها</x:v>
      </x:c>
      <x:c r="C1718" s="31" t="str">
        <x:v>A3</x:v>
      </x:c>
      <x:c r="D1718" s="31" t="str">
        <x:v>شناسه بررسی</x:v>
      </x:c>
      <x:c r="E1718" s="31"/>
    </x:row>
    <x:row r="1719" ht="15" hidden="0" customHeight="1">
      <x:c r="A1719" s="31" t="str">
        <x:v>Anjoman accounting - refined.xlsx</x:v>
      </x:c>
      <x:c r="B1719" s="31" t="str">
        <x:v>صف بررسی رسیدها</x:v>
      </x:c>
      <x:c r="C1719" s="31" t="str">
        <x:v>B3</x:v>
      </x:c>
      <x:c r="D1719" s="31" t="str">
        <x:v>فایل رسید</x:v>
      </x:c>
      <x:c r="E1719" s="31"/>
    </x:row>
    <x:row r="1720" ht="15" hidden="0" customHeight="1">
      <x:c r="A1720" s="31" t="str">
        <x:v>Anjoman accounting - refined.xlsx</x:v>
      </x:c>
      <x:c r="B1720" s="31" t="str">
        <x:v>صف بررسی رسیدها</x:v>
      </x:c>
      <x:c r="C1720" s="31" t="str">
        <x:v>C3</x:v>
      </x:c>
      <x:c r="D1720" s="31" t="str">
        <x:v>حجم</x:v>
      </x:c>
      <x:c r="E1720" s="31"/>
    </x:row>
    <x:row r="1721" ht="15" hidden="0" customHeight="1">
      <x:c r="A1721" s="31" t="str">
        <x:v>Anjoman accounting - refined.xlsx</x:v>
      </x:c>
      <x:c r="B1721" s="31" t="str">
        <x:v>صف بررسی رسیدها</x:v>
      </x:c>
      <x:c r="C1721" s="31" t="str">
        <x:v>D3</x:v>
      </x:c>
      <x:c r="D1721" s="31" t="str">
        <x:v>SHA-256</x:v>
      </x:c>
      <x:c r="E1721" s="31"/>
    </x:row>
    <x:row r="1722" ht="15" hidden="0" customHeight="1">
      <x:c r="A1722" s="31" t="str">
        <x:v>Anjoman accounting - refined.xlsx</x:v>
      </x:c>
      <x:c r="B1722" s="31" t="str">
        <x:v>صف بررسی رسیدها</x:v>
      </x:c>
      <x:c r="C1722" s="31" t="str">
        <x:v>E3</x:v>
      </x:c>
      <x:c r="D1722" s="31" t="str">
        <x:v>ابعاد</x:v>
      </x:c>
      <x:c r="E1722" s="31"/>
    </x:row>
    <x:row r="1723" ht="15" hidden="0" customHeight="1">
      <x:c r="A1723" s="31" t="str">
        <x:v>Anjoman accounting - refined.xlsx</x:v>
      </x:c>
      <x:c r="B1723" s="31" t="str">
        <x:v>صف بررسی رسیدها</x:v>
      </x:c>
      <x:c r="C1723" s="31" t="str">
        <x:v>F3</x:v>
      </x:c>
      <x:c r="D1723" s="31" t="str">
        <x:v>وضعیت</x:v>
      </x:c>
      <x:c r="E1723" s="31"/>
    </x:row>
    <x:row r="1724" ht="15" hidden="0" customHeight="1">
      <x:c r="A1724" s="31" t="str">
        <x:v>Anjoman accounting - refined.xlsx</x:v>
      </x:c>
      <x:c r="B1724" s="31" t="str">
        <x:v>صف بررسی رسیدها</x:v>
      </x:c>
      <x:c r="C1724" s="31" t="str">
        <x:v>G3</x:v>
      </x:c>
      <x:c r="D1724" s="31" t="str">
        <x:v>مبلغ تومان</x:v>
      </x:c>
      <x:c r="E1724" s="31"/>
    </x:row>
    <x:row r="1725" ht="15" hidden="0" customHeight="1">
      <x:c r="A1725" s="31" t="str">
        <x:v>Anjoman accounting - refined.xlsx</x:v>
      </x:c>
      <x:c r="B1725" s="31" t="str">
        <x:v>صف بررسی رسیدها</x:v>
      </x:c>
      <x:c r="C1725" s="31" t="str">
        <x:v>H3</x:v>
      </x:c>
      <x:c r="D1725" s="31" t="str">
        <x:v>تاریخ</x:v>
      </x:c>
      <x:c r="E1725" s="31"/>
    </x:row>
    <x:row r="1726" ht="15" hidden="0" customHeight="1">
      <x:c r="A1726" s="31" t="str">
        <x:v>Anjoman accounting - refined.xlsx</x:v>
      </x:c>
      <x:c r="B1726" s="31" t="str">
        <x:v>صف بررسی رسیدها</x:v>
      </x:c>
      <x:c r="C1726" s="31" t="str">
        <x:v>I3</x:v>
      </x:c>
      <x:c r="D1726" s="31" t="str">
        <x:v>طرف حساب</x:v>
      </x:c>
      <x:c r="E1726" s="31"/>
    </x:row>
    <x:row r="1727" ht="15" hidden="0" customHeight="1">
      <x:c r="A1727" s="31" t="str">
        <x:v>Anjoman accounting - refined.xlsx</x:v>
      </x:c>
      <x:c r="B1727" s="31" t="str">
        <x:v>صف بررسی رسیدها</x:v>
      </x:c>
      <x:c r="C1727" s="31" t="str">
        <x:v>J3</x:v>
      </x:c>
      <x:c r="D1727" s="31" t="str">
        <x:v>شرح/دسته‌بندی</x:v>
      </x:c>
      <x:c r="E1727" s="31"/>
    </x:row>
    <x:row r="1728" ht="15" hidden="0" customHeight="1">
      <x:c r="A1728" s="31" t="str">
        <x:v>Anjoman accounting - refined.xlsx</x:v>
      </x:c>
      <x:c r="B1728" s="31" t="str">
        <x:v>صف بررسی رسیدها</x:v>
      </x:c>
      <x:c r="C1728" s="31" t="str">
        <x:v>K3</x:v>
      </x:c>
      <x:c r="D1728" s="31" t="str">
        <x:v>اقدام بعدی</x:v>
      </x:c>
      <x:c r="E1728" s="31"/>
    </x:row>
    <x:row r="1729" ht="15" hidden="0" customHeight="1">
      <x:c r="A1729" s="31" t="str">
        <x:v>Anjoman accounting - refined.xlsx</x:v>
      </x:c>
      <x:c r="B1729" s="31" t="str">
        <x:v>صف بررسی رسیدها</x:v>
      </x:c>
      <x:c r="C1729" s="31" t="str">
        <x:v>A4</x:v>
      </x:c>
      <x:c r="D1729" s="31" t="str">
        <x:v>RV-001</x:v>
      </x:c>
      <x:c r="E1729" s="31"/>
    </x:row>
    <x:row r="1730" ht="15" hidden="0" customHeight="1">
      <x:c r="A1730" s="31" t="str">
        <x:v>Anjoman accounting - refined.xlsx</x:v>
      </x:c>
      <x:c r="B1730" s="31" t="str">
        <x:v>صف بررسی رسیدها</x:v>
      </x:c>
      <x:c r="C1730" s="31" t="str">
        <x:v>B4</x:v>
      </x:c>
      <x:c r="D1730" s="31" t="str">
        <x:v>recipts\photo_10_2026-10-10_11-09-04.jpg</x:v>
      </x:c>
      <x:c r="E1730" s="31"/>
    </x:row>
    <x:row r="1731" ht="15" hidden="0" customHeight="1">
      <x:c r="A1731" s="31" t="str">
        <x:v>Anjoman accounting - refined.xlsx</x:v>
      </x:c>
      <x:c r="B1731" s="31" t="str">
        <x:v>صف بررسی رسیدها</x:v>
      </x:c>
      <x:c r="C1731" s="31" t="str">
        <x:v>C4</x:v>
      </x:c>
      <x:c r="D1731" s="31" t="str">
        <x:v>49752</x:v>
      </x:c>
      <x:c r="E1731" s="31"/>
    </x:row>
    <x:row r="1732" ht="15" hidden="0" customHeight="1">
      <x:c r="A1732" s="31" t="str">
        <x:v>Anjoman accounting - refined.xlsx</x:v>
      </x:c>
      <x:c r="B1732" s="31" t="str">
        <x:v>صف بررسی رسیدها</x:v>
      </x:c>
      <x:c r="C1732" s="31" t="str">
        <x:v>D4</x:v>
      </x:c>
      <x:c r="D1732" s="31" t="str">
        <x:v>b424f88e66186c7fdfcd19043e65ade1aef245c80f81328c53bd4c1354047ea3</x:v>
      </x:c>
      <x:c r="E1732" s="31"/>
    </x:row>
    <x:row r="1733" ht="15" hidden="0" customHeight="1">
      <x:c r="A1733" s="31" t="str">
        <x:v>Anjoman accounting - refined.xlsx</x:v>
      </x:c>
      <x:c r="B1733" s="31" t="str">
        <x:v>صف بررسی رسیدها</x:v>
      </x:c>
      <x:c r="C1733" s="31" t="str">
        <x:v>E4</x:v>
      </x:c>
      <x:c r="D1733" s="31" t="str">
        <x:v>1200x1224</x:v>
      </x:c>
      <x:c r="E1733" s="31"/>
    </x:row>
    <x:row r="1734" ht="15" hidden="0" customHeight="1">
      <x:c r="A1734" s="31" t="str">
        <x:v>Anjoman accounting - refined.xlsx</x:v>
      </x:c>
      <x:c r="B1734" s="31" t="str">
        <x:v>صف بررسی رسیدها</x:v>
      </x:c>
      <x:c r="C1734" s="31" t="str">
        <x:v>F4</x:v>
      </x:c>
      <x:c r="D1734" s="31" t="str">
        <x:v>نیازمند ورود دستی</x:v>
      </x:c>
      <x:c r="E1734" s="31"/>
    </x:row>
    <x:row r="1735" ht="15" hidden="0" customHeight="1">
      <x:c r="A1735" s="31" t="str">
        <x:v>Anjoman accounting - refined.xlsx</x:v>
      </x:c>
      <x:c r="B1735" s="31" t="str">
        <x:v>صف بررسی رسیدها</x:v>
      </x:c>
      <x:c r="C1735" s="31" t="str">
        <x:v>K4</x:v>
      </x:c>
      <x:c r="D1735" s="31" t="str">
        <x:v>ثبت مبلغ/تاریخ/طرف حساب و بررسی تکراری بودن</x:v>
      </x:c>
      <x:c r="E1735" s="31"/>
    </x:row>
    <x:row r="1736" ht="15" hidden="0" customHeight="1">
      <x:c r="A1736" s="31" t="str">
        <x:v>Anjoman accounting - refined.xlsx</x:v>
      </x:c>
      <x:c r="B1736" s="31" t="str">
        <x:v>صف بررسی رسیدها</x:v>
      </x:c>
      <x:c r="C1736" s="31" t="str">
        <x:v>A5</x:v>
      </x:c>
      <x:c r="D1736" s="31" t="str">
        <x:v>RV-002</x:v>
      </x:c>
      <x:c r="E1736" s="31"/>
    </x:row>
    <x:row r="1737" ht="15" hidden="0" customHeight="1">
      <x:c r="A1737" s="31" t="str">
        <x:v>Anjoman accounting - refined.xlsx</x:v>
      </x:c>
      <x:c r="B1737" s="31" t="str">
        <x:v>صف بررسی رسیدها</x:v>
      </x:c>
      <x:c r="C1737" s="31" t="str">
        <x:v>B5</x:v>
      </x:c>
      <x:c r="D1737" s="31" t="str">
        <x:v>recipts\photo_11_2026-10-10_11-09-04.jpg</x:v>
      </x:c>
      <x:c r="E1737" s="31"/>
    </x:row>
    <x:row r="1738" ht="15" hidden="0" customHeight="1">
      <x:c r="A1738" s="31" t="str">
        <x:v>Anjoman accounting - refined.xlsx</x:v>
      </x:c>
      <x:c r="B1738" s="31" t="str">
        <x:v>صف بررسی رسیدها</x:v>
      </x:c>
      <x:c r="C1738" s="31" t="str">
        <x:v>C5</x:v>
      </x:c>
      <x:c r="D1738" s="31" t="str">
        <x:v>31986</x:v>
      </x:c>
      <x:c r="E1738" s="31"/>
    </x:row>
    <x:row r="1739" ht="15" hidden="0" customHeight="1">
      <x:c r="A1739" s="31" t="str">
        <x:v>Anjoman accounting - refined.xlsx</x:v>
      </x:c>
      <x:c r="B1739" s="31" t="str">
        <x:v>صف بررسی رسیدها</x:v>
      </x:c>
      <x:c r="C1739" s="31" t="str">
        <x:v>D5</x:v>
      </x:c>
      <x:c r="D1739" s="31" t="str">
        <x:v>4b6a665eaaa0ff0a14e2f665cd7ef1480d78c90efa576fa0f1cf910698baacc6</x:v>
      </x:c>
      <x:c r="E1739" s="31"/>
    </x:row>
    <x:row r="1740" ht="15" hidden="0" customHeight="1">
      <x:c r="A1740" s="31" t="str">
        <x:v>Anjoman accounting - refined.xlsx</x:v>
      </x:c>
      <x:c r="B1740" s="31" t="str">
        <x:v>صف بررسی رسیدها</x:v>
      </x:c>
      <x:c r="C1740" s="31" t="str">
        <x:v>E5</x:v>
      </x:c>
      <x:c r="D1740" s="31" t="str">
        <x:v>768x1280</x:v>
      </x:c>
      <x:c r="E1740" s="31"/>
    </x:row>
    <x:row r="1741" ht="15" hidden="0" customHeight="1">
      <x:c r="A1741" s="31" t="str">
        <x:v>Anjoman accounting - refined.xlsx</x:v>
      </x:c>
      <x:c r="B1741" s="31" t="str">
        <x:v>صف بررسی رسیدها</x:v>
      </x:c>
      <x:c r="C1741" s="31" t="str">
        <x:v>F5</x:v>
      </x:c>
      <x:c r="D1741" s="31" t="str">
        <x:v>نیازمند ورود دستی</x:v>
      </x:c>
      <x:c r="E1741" s="31"/>
    </x:row>
    <x:row r="1742" ht="15" hidden="0" customHeight="1">
      <x:c r="A1742" s="31" t="str">
        <x:v>Anjoman accounting - refined.xlsx</x:v>
      </x:c>
      <x:c r="B1742" s="31" t="str">
        <x:v>صف بررسی رسیدها</x:v>
      </x:c>
      <x:c r="C1742" s="31" t="str">
        <x:v>K5</x:v>
      </x:c>
      <x:c r="D1742" s="31" t="str">
        <x:v>ثبت مبلغ/تاریخ/طرف حساب و بررسی تکراری بودن</x:v>
      </x:c>
      <x:c r="E1742" s="31"/>
    </x:row>
    <x:row r="1743" ht="15" hidden="0" customHeight="1">
      <x:c r="A1743" s="31" t="str">
        <x:v>Anjoman accounting - refined.xlsx</x:v>
      </x:c>
      <x:c r="B1743" s="31" t="str">
        <x:v>صف بررسی رسیدها</x:v>
      </x:c>
      <x:c r="C1743" s="31" t="str">
        <x:v>A6</x:v>
      </x:c>
      <x:c r="D1743" s="31" t="str">
        <x:v>RV-003</x:v>
      </x:c>
      <x:c r="E1743" s="31"/>
    </x:row>
    <x:row r="1744" ht="15" hidden="0" customHeight="1">
      <x:c r="A1744" s="31" t="str">
        <x:v>Anjoman accounting - refined.xlsx</x:v>
      </x:c>
      <x:c r="B1744" s="31" t="str">
        <x:v>صف بررسی رسیدها</x:v>
      </x:c>
      <x:c r="C1744" s="31" t="str">
        <x:v>B6</x:v>
      </x:c>
      <x:c r="D1744" s="31" t="str">
        <x:v>recipts\photo_12_2026-10-10_11-09-04.jpg</x:v>
      </x:c>
      <x:c r="E1744" s="31"/>
    </x:row>
    <x:row r="1745" ht="15" hidden="0" customHeight="1">
      <x:c r="A1745" s="31" t="str">
        <x:v>Anjoman accounting - refined.xlsx</x:v>
      </x:c>
      <x:c r="B1745" s="31" t="str">
        <x:v>صف بررسی رسیدها</x:v>
      </x:c>
      <x:c r="C1745" s="31" t="str">
        <x:v>C6</x:v>
      </x:c>
      <x:c r="D1745" s="31" t="str">
        <x:v>50026</x:v>
      </x:c>
      <x:c r="E1745" s="31"/>
    </x:row>
    <x:row r="1746" ht="15" hidden="0" customHeight="1">
      <x:c r="A1746" s="31" t="str">
        <x:v>Anjoman accounting - refined.xlsx</x:v>
      </x:c>
      <x:c r="B1746" s="31" t="str">
        <x:v>صف بررسی رسیدها</x:v>
      </x:c>
      <x:c r="C1746" s="31" t="str">
        <x:v>D6</x:v>
      </x:c>
      <x:c r="D1746" s="31" t="str">
        <x:v>77e952d643e05bc03bdd136daa677561a5610e8049fb8d8aedfc24280909d917</x:v>
      </x:c>
      <x:c r="E1746" s="31"/>
    </x:row>
    <x:row r="1747" ht="15" hidden="0" customHeight="1">
      <x:c r="A1747" s="31" t="str">
        <x:v>Anjoman accounting - refined.xlsx</x:v>
      </x:c>
      <x:c r="B1747" s="31" t="str">
        <x:v>صف بررسی رسیدها</x:v>
      </x:c>
      <x:c r="C1747" s="31" t="str">
        <x:v>E6</x:v>
      </x:c>
      <x:c r="D1747" s="31" t="str">
        <x:v>1200x1224</x:v>
      </x:c>
      <x:c r="E1747" s="31"/>
    </x:row>
    <x:row r="1748" ht="15" hidden="0" customHeight="1">
      <x:c r="A1748" s="31" t="str">
        <x:v>Anjoman accounting - refined.xlsx</x:v>
      </x:c>
      <x:c r="B1748" s="31" t="str">
        <x:v>صف بررسی رسیدها</x:v>
      </x:c>
      <x:c r="C1748" s="31" t="str">
        <x:v>F6</x:v>
      </x:c>
      <x:c r="D1748" s="31" t="str">
        <x:v>نیازمند ورود دستی</x:v>
      </x:c>
      <x:c r="E1748" s="31"/>
    </x:row>
    <x:row r="1749" ht="15" hidden="0" customHeight="1">
      <x:c r="A1749" s="31" t="str">
        <x:v>Anjoman accounting - refined.xlsx</x:v>
      </x:c>
      <x:c r="B1749" s="31" t="str">
        <x:v>صف بررسی رسیدها</x:v>
      </x:c>
      <x:c r="C1749" s="31" t="str">
        <x:v>K6</x:v>
      </x:c>
      <x:c r="D1749" s="31" t="str">
        <x:v>ثبت مبلغ/تاریخ/طرف حساب و بررسی تکراری بودن</x:v>
      </x:c>
      <x:c r="E1749" s="31"/>
    </x:row>
    <x:row r="1750" ht="15" hidden="0" customHeight="1">
      <x:c r="A1750" s="31" t="str">
        <x:v>Anjoman accounting - refined.xlsx</x:v>
      </x:c>
      <x:c r="B1750" s="31" t="str">
        <x:v>صف بررسی رسیدها</x:v>
      </x:c>
      <x:c r="C1750" s="31" t="str">
        <x:v>A7</x:v>
      </x:c>
      <x:c r="D1750" s="31" t="str">
        <x:v>RV-004</x:v>
      </x:c>
      <x:c r="E1750" s="31"/>
    </x:row>
    <x:row r="1751" ht="15" hidden="0" customHeight="1">
      <x:c r="A1751" s="31" t="str">
        <x:v>Anjoman accounting - refined.xlsx</x:v>
      </x:c>
      <x:c r="B1751" s="31" t="str">
        <x:v>صف بررسی رسیدها</x:v>
      </x:c>
      <x:c r="C1751" s="31" t="str">
        <x:v>B7</x:v>
      </x:c>
      <x:c r="D1751" s="31" t="str">
        <x:v>recipts\photo_1_2026-10-10_11-09-04.jpg</x:v>
      </x:c>
      <x:c r="E1751" s="31"/>
    </x:row>
    <x:row r="1752" ht="15" hidden="0" customHeight="1">
      <x:c r="A1752" s="31" t="str">
        <x:v>Anjoman accounting - refined.xlsx</x:v>
      </x:c>
      <x:c r="B1752" s="31" t="str">
        <x:v>صف بررسی رسیدها</x:v>
      </x:c>
      <x:c r="C1752" s="31" t="str">
        <x:v>C7</x:v>
      </x:c>
      <x:c r="D1752" s="31" t="str">
        <x:v>58923</x:v>
      </x:c>
      <x:c r="E1752" s="31"/>
    </x:row>
    <x:row r="1753" ht="15" hidden="0" customHeight="1">
      <x:c r="A1753" s="31" t="str">
        <x:v>Anjoman accounting - refined.xlsx</x:v>
      </x:c>
      <x:c r="B1753" s="31" t="str">
        <x:v>صف بررسی رسیدها</x:v>
      </x:c>
      <x:c r="C1753" s="31" t="str">
        <x:v>D7</x:v>
      </x:c>
      <x:c r="D1753" s="31" t="str">
        <x:v>9b398cb3fd79cacf08994828e10209d3739b9ec072ff9dbdb29e456ad1a29262</x:v>
      </x:c>
      <x:c r="E1753" s="31"/>
    </x:row>
    <x:row r="1754" ht="15" hidden="0" customHeight="1">
      <x:c r="A1754" s="31" t="str">
        <x:v>Anjoman accounting - refined.xlsx</x:v>
      </x:c>
      <x:c r="B1754" s="31" t="str">
        <x:v>صف بررسی رسیدها</x:v>
      </x:c>
      <x:c r="C1754" s="31" t="str">
        <x:v>E7</x:v>
      </x:c>
      <x:c r="D1754" s="31" t="str">
        <x:v>1200x1163</x:v>
      </x:c>
      <x:c r="E1754" s="31"/>
    </x:row>
    <x:row r="1755" ht="15" hidden="0" customHeight="1">
      <x:c r="A1755" s="31" t="str">
        <x:v>Anjoman accounting - refined.xlsx</x:v>
      </x:c>
      <x:c r="B1755" s="31" t="str">
        <x:v>صف بررسی رسیدها</x:v>
      </x:c>
      <x:c r="C1755" s="31" t="str">
        <x:v>F7</x:v>
      </x:c>
      <x:c r="D1755" s="31" t="str">
        <x:v>نیازمند ورود دستی</x:v>
      </x:c>
      <x:c r="E1755" s="31"/>
    </x:row>
    <x:row r="1756" ht="15" hidden="0" customHeight="1">
      <x:c r="A1756" s="31" t="str">
        <x:v>Anjoman accounting - refined.xlsx</x:v>
      </x:c>
      <x:c r="B1756" s="31" t="str">
        <x:v>صف بررسی رسیدها</x:v>
      </x:c>
      <x:c r="C1756" s="31" t="str">
        <x:v>K7</x:v>
      </x:c>
      <x:c r="D1756" s="31" t="str">
        <x:v>ثبت مبلغ/تاریخ/طرف حساب و بررسی تکراری بودن</x:v>
      </x:c>
      <x:c r="E1756" s="31"/>
    </x:row>
    <x:row r="1757" ht="15" hidden="0" customHeight="1">
      <x:c r="A1757" s="31" t="str">
        <x:v>Anjoman accounting - refined.xlsx</x:v>
      </x:c>
      <x:c r="B1757" s="31" t="str">
        <x:v>صف بررسی رسیدها</x:v>
      </x:c>
      <x:c r="C1757" s="31" t="str">
        <x:v>A8</x:v>
      </x:c>
      <x:c r="D1757" s="31" t="str">
        <x:v>RV-005</x:v>
      </x:c>
      <x:c r="E1757" s="31"/>
    </x:row>
    <x:row r="1758" ht="15" hidden="0" customHeight="1">
      <x:c r="A1758" s="31" t="str">
        <x:v>Anjoman accounting - refined.xlsx</x:v>
      </x:c>
      <x:c r="B1758" s="31" t="str">
        <x:v>صف بررسی رسیدها</x:v>
      </x:c>
      <x:c r="C1758" s="31" t="str">
        <x:v>B8</x:v>
      </x:c>
      <x:c r="D1758" s="31" t="str">
        <x:v>recipts\photo_1_2026-10-10_14-07-27.jpg</x:v>
      </x:c>
      <x:c r="E1758" s="31"/>
    </x:row>
    <x:row r="1759" ht="15" hidden="0" customHeight="1">
      <x:c r="A1759" s="31" t="str">
        <x:v>Anjoman accounting - refined.xlsx</x:v>
      </x:c>
      <x:c r="B1759" s="31" t="str">
        <x:v>صف بررسی رسیدها</x:v>
      </x:c>
      <x:c r="C1759" s="31" t="str">
        <x:v>C8</x:v>
      </x:c>
      <x:c r="D1759" s="31" t="str">
        <x:v>44693</x:v>
      </x:c>
      <x:c r="E1759" s="31"/>
    </x:row>
    <x:row r="1760" ht="15" hidden="0" customHeight="1">
      <x:c r="A1760" s="31" t="str">
        <x:v>Anjoman accounting - refined.xlsx</x:v>
      </x:c>
      <x:c r="B1760" s="31" t="str">
        <x:v>صف بررسی رسیدها</x:v>
      </x:c>
      <x:c r="C1760" s="31" t="str">
        <x:v>D8</x:v>
      </x:c>
      <x:c r="D1760" s="31" t="str">
        <x:v>a50d13d6abcf5b4aacd05fa7fa773b5c01a6d2739577691d719c1bf334433b52</x:v>
      </x:c>
      <x:c r="E1760" s="31"/>
    </x:row>
    <x:row r="1761" ht="15" hidden="0" customHeight="1">
      <x:c r="A1761" s="31" t="str">
        <x:v>Anjoman accounting - refined.xlsx</x:v>
      </x:c>
      <x:c r="B1761" s="31" t="str">
        <x:v>صف بررسی رسیدها</x:v>
      </x:c>
      <x:c r="C1761" s="31" t="str">
        <x:v>E8</x:v>
      </x:c>
      <x:c r="D1761" s="31" t="str">
        <x:v>1280x714</x:v>
      </x:c>
      <x:c r="E1761" s="31"/>
    </x:row>
    <x:row r="1762" ht="15" hidden="0" customHeight="1">
      <x:c r="A1762" s="31" t="str">
        <x:v>Anjoman accounting - refined.xlsx</x:v>
      </x:c>
      <x:c r="B1762" s="31" t="str">
        <x:v>صف بررسی رسیدها</x:v>
      </x:c>
      <x:c r="C1762" s="31" t="str">
        <x:v>F8</x:v>
      </x:c>
      <x:c r="D1762" s="31" t="str">
        <x:v>نیازمند ورود دستی</x:v>
      </x:c>
      <x:c r="E1762" s="31"/>
    </x:row>
    <x:row r="1763" ht="15" hidden="0" customHeight="1">
      <x:c r="A1763" s="31" t="str">
        <x:v>Anjoman accounting - refined.xlsx</x:v>
      </x:c>
      <x:c r="B1763" s="31" t="str">
        <x:v>صف بررسی رسیدها</x:v>
      </x:c>
      <x:c r="C1763" s="31" t="str">
        <x:v>K8</x:v>
      </x:c>
      <x:c r="D1763" s="31" t="str">
        <x:v>ثبت مبلغ/تاریخ/طرف حساب و بررسی تکراری بودن</x:v>
      </x:c>
      <x:c r="E1763" s="31"/>
    </x:row>
    <x:row r="1764" ht="15" hidden="0" customHeight="1">
      <x:c r="A1764" s="31" t="str">
        <x:v>Anjoman accounting - refined.xlsx</x:v>
      </x:c>
      <x:c r="B1764" s="31" t="str">
        <x:v>صف بررسی رسیدها</x:v>
      </x:c>
      <x:c r="C1764" s="31" t="str">
        <x:v>A9</x:v>
      </x:c>
      <x:c r="D1764" s="31" t="str">
        <x:v>RV-006</x:v>
      </x:c>
      <x:c r="E1764" s="31"/>
    </x:row>
    <x:row r="1765" ht="15" hidden="0" customHeight="1">
      <x:c r="A1765" s="31" t="str">
        <x:v>Anjoman accounting - refined.xlsx</x:v>
      </x:c>
      <x:c r="B1765" s="31" t="str">
        <x:v>صف بررسی رسیدها</x:v>
      </x:c>
      <x:c r="C1765" s="31" t="str">
        <x:v>B9</x:v>
      </x:c>
      <x:c r="D1765" s="31" t="str">
        <x:v>recipts\photo_2026-10-10_12-16-28.jpg</x:v>
      </x:c>
      <x:c r="E1765" s="31"/>
    </x:row>
    <x:row r="1766" ht="15" hidden="0" customHeight="1">
      <x:c r="A1766" s="31" t="str">
        <x:v>Anjoman accounting - refined.xlsx</x:v>
      </x:c>
      <x:c r="B1766" s="31" t="str">
        <x:v>صف بررسی رسیدها</x:v>
      </x:c>
      <x:c r="C1766" s="31" t="str">
        <x:v>C9</x:v>
      </x:c>
      <x:c r="D1766" s="31" t="str">
        <x:v>160143</x:v>
      </x:c>
      <x:c r="E1766" s="31"/>
    </x:row>
    <x:row r="1767" ht="15" hidden="0" customHeight="1">
      <x:c r="A1767" s="31" t="str">
        <x:v>Anjoman accounting - refined.xlsx</x:v>
      </x:c>
      <x:c r="B1767" s="31" t="str">
        <x:v>صف بررسی رسیدها</x:v>
      </x:c>
      <x:c r="C1767" s="31" t="str">
        <x:v>D9</x:v>
      </x:c>
      <x:c r="D1767" s="31" t="str">
        <x:v>99a77eab001c2f3c72a639a7ec75b0a97bb90c5e5e244a8cf575d61107bedcc9</x:v>
      </x:c>
      <x:c r="E1767" s="31"/>
    </x:row>
    <x:row r="1768" ht="15" hidden="0" customHeight="1">
      <x:c r="A1768" s="31" t="str">
        <x:v>Anjoman accounting - refined.xlsx</x:v>
      </x:c>
      <x:c r="B1768" s="31" t="str">
        <x:v>صف بررسی رسیدها</x:v>
      </x:c>
      <x:c r="C1768" s="31" t="str">
        <x:v>E9</x:v>
      </x:c>
      <x:c r="D1768" s="31" t="str">
        <x:v>578x1280</x:v>
      </x:c>
      <x:c r="E1768" s="31"/>
    </x:row>
    <x:row r="1769" ht="15" hidden="0" customHeight="1">
      <x:c r="A1769" s="31" t="str">
        <x:v>Anjoman accounting - refined.xlsx</x:v>
      </x:c>
      <x:c r="B1769" s="31" t="str">
        <x:v>صف بررسی رسیدها</x:v>
      </x:c>
      <x:c r="C1769" s="31" t="str">
        <x:v>F9</x:v>
      </x:c>
      <x:c r="D1769" s="31" t="str">
        <x:v>نیازمند ورود دستی</x:v>
      </x:c>
      <x:c r="E1769" s="31"/>
    </x:row>
    <x:row r="1770" ht="15" hidden="0" customHeight="1">
      <x:c r="A1770" s="31" t="str">
        <x:v>Anjoman accounting - refined.xlsx</x:v>
      </x:c>
      <x:c r="B1770" s="31" t="str">
        <x:v>صف بررسی رسیدها</x:v>
      </x:c>
      <x:c r="C1770" s="31" t="str">
        <x:v>K9</x:v>
      </x:c>
      <x:c r="D1770" s="31" t="str">
        <x:v>ثبت مبلغ/تاریخ/طرف حساب و بررسی تکراری بودن</x:v>
      </x:c>
      <x:c r="E1770" s="31"/>
    </x:row>
    <x:row r="1771" ht="15" hidden="0" customHeight="1">
      <x:c r="A1771" s="31" t="str">
        <x:v>Anjoman accounting - refined.xlsx</x:v>
      </x:c>
      <x:c r="B1771" s="31" t="str">
        <x:v>صف بررسی رسیدها</x:v>
      </x:c>
      <x:c r="C1771" s="31" t="str">
        <x:v>A10</x:v>
      </x:c>
      <x:c r="D1771" s="31" t="str">
        <x:v>RV-007</x:v>
      </x:c>
      <x:c r="E1771" s="31"/>
    </x:row>
    <x:row r="1772" ht="15" hidden="0" customHeight="1">
      <x:c r="A1772" s="31" t="str">
        <x:v>Anjoman accounting - refined.xlsx</x:v>
      </x:c>
      <x:c r="B1772" s="31" t="str">
        <x:v>صف بررسی رسیدها</x:v>
      </x:c>
      <x:c r="C1772" s="31" t="str">
        <x:v>B10</x:v>
      </x:c>
      <x:c r="D1772" s="31" t="str">
        <x:v>recipts\photo_2_2026-10-10_11-09-04.jpg</x:v>
      </x:c>
      <x:c r="E1772" s="31"/>
    </x:row>
    <x:row r="1773" ht="15" hidden="0" customHeight="1">
      <x:c r="A1773" s="31" t="str">
        <x:v>Anjoman accounting - refined.xlsx</x:v>
      </x:c>
      <x:c r="B1773" s="31" t="str">
        <x:v>صف بررسی رسیدها</x:v>
      </x:c>
      <x:c r="C1773" s="31" t="str">
        <x:v>C10</x:v>
      </x:c>
      <x:c r="D1773" s="31" t="str">
        <x:v>57944</x:v>
      </x:c>
      <x:c r="E1773" s="31"/>
    </x:row>
    <x:row r="1774" ht="15" hidden="0" customHeight="1">
      <x:c r="A1774" s="31" t="str">
        <x:v>Anjoman accounting - refined.xlsx</x:v>
      </x:c>
      <x:c r="B1774" s="31" t="str">
        <x:v>صف بررسی رسیدها</x:v>
      </x:c>
      <x:c r="C1774" s="31" t="str">
        <x:v>D10</x:v>
      </x:c>
      <x:c r="D1774" s="31" t="str">
        <x:v>5b8abe4d9a9d270a1a5cb0583fbb4ff555d551b16023d63343affe459769150f</x:v>
      </x:c>
      <x:c r="E1774" s="31"/>
    </x:row>
    <x:row r="1775" ht="15" hidden="0" customHeight="1">
      <x:c r="A1775" s="31" t="str">
        <x:v>Anjoman accounting - refined.xlsx</x:v>
      </x:c>
      <x:c r="B1775" s="31" t="str">
        <x:v>صف بررسی رسیدها</x:v>
      </x:c>
      <x:c r="C1775" s="31" t="str">
        <x:v>E10</x:v>
      </x:c>
      <x:c r="D1775" s="31" t="str">
        <x:v>1200x1163</x:v>
      </x:c>
      <x:c r="E1775" s="31"/>
    </x:row>
    <x:row r="1776" ht="15" hidden="0" customHeight="1">
      <x:c r="A1776" s="31" t="str">
        <x:v>Anjoman accounting - refined.xlsx</x:v>
      </x:c>
      <x:c r="B1776" s="31" t="str">
        <x:v>صف بررسی رسیدها</x:v>
      </x:c>
      <x:c r="C1776" s="31" t="str">
        <x:v>F10</x:v>
      </x:c>
      <x:c r="D1776" s="31" t="str">
        <x:v>نیازمند ورود دستی</x:v>
      </x:c>
      <x:c r="E1776" s="31"/>
    </x:row>
    <x:row r="1777" ht="15" hidden="0" customHeight="1">
      <x:c r="A1777" s="31" t="str">
        <x:v>Anjoman accounting - refined.xlsx</x:v>
      </x:c>
      <x:c r="B1777" s="31" t="str">
        <x:v>صف بررسی رسیدها</x:v>
      </x:c>
      <x:c r="C1777" s="31" t="str">
        <x:v>K10</x:v>
      </x:c>
      <x:c r="D1777" s="31" t="str">
        <x:v>ثبت مبلغ/تاریخ/طرف حساب و بررسی تکراری بودن</x:v>
      </x:c>
      <x:c r="E1777" s="31"/>
    </x:row>
    <x:row r="1778" ht="15" hidden="0" customHeight="1">
      <x:c r="A1778" s="31" t="str">
        <x:v>Anjoman accounting - refined.xlsx</x:v>
      </x:c>
      <x:c r="B1778" s="31" t="str">
        <x:v>صف بررسی رسیدها</x:v>
      </x:c>
      <x:c r="C1778" s="31" t="str">
        <x:v>A11</x:v>
      </x:c>
      <x:c r="D1778" s="31" t="str">
        <x:v>RV-008</x:v>
      </x:c>
      <x:c r="E1778" s="31"/>
    </x:row>
    <x:row r="1779" ht="15" hidden="0" customHeight="1">
      <x:c r="A1779" s="31" t="str">
        <x:v>Anjoman accounting - refined.xlsx</x:v>
      </x:c>
      <x:c r="B1779" s="31" t="str">
        <x:v>صف بررسی رسیدها</x:v>
      </x:c>
      <x:c r="C1779" s="31" t="str">
        <x:v>B11</x:v>
      </x:c>
      <x:c r="D1779" s="31" t="str">
        <x:v>recipts\photo_2_2026-10-10_14-07-27.jpg</x:v>
      </x:c>
      <x:c r="E1779" s="31"/>
    </x:row>
    <x:row r="1780" ht="15" hidden="0" customHeight="1">
      <x:c r="A1780" s="31" t="str">
        <x:v>Anjoman accounting - refined.xlsx</x:v>
      </x:c>
      <x:c r="B1780" s="31" t="str">
        <x:v>صف بررسی رسیدها</x:v>
      </x:c>
      <x:c r="C1780" s="31" t="str">
        <x:v>C11</x:v>
      </x:c>
      <x:c r="D1780" s="31" t="str">
        <x:v>39945</x:v>
      </x:c>
      <x:c r="E1780" s="31"/>
    </x:row>
    <x:row r="1781" ht="15" hidden="0" customHeight="1">
      <x:c r="A1781" s="31" t="str">
        <x:v>Anjoman accounting - refined.xlsx</x:v>
      </x:c>
      <x:c r="B1781" s="31" t="str">
        <x:v>صف بررسی رسیدها</x:v>
      </x:c>
      <x:c r="C1781" s="31" t="str">
        <x:v>D11</x:v>
      </x:c>
      <x:c r="D1781" s="31" t="str">
        <x:v>6f9a6e2d264b36faa78b41d76c6a1448122e4a243a95c361fd1281ae2bc47e4a</x:v>
      </x:c>
      <x:c r="E1781" s="31"/>
    </x:row>
    <x:row r="1782" ht="15" hidden="0" customHeight="1">
      <x:c r="A1782" s="31" t="str">
        <x:v>Anjoman accounting - refined.xlsx</x:v>
      </x:c>
      <x:c r="B1782" s="31" t="str">
        <x:v>صف بررسی رسیدها</x:v>
      </x:c>
      <x:c r="C1782" s="31" t="str">
        <x:v>E11</x:v>
      </x:c>
      <x:c r="D1782" s="31" t="str">
        <x:v>1280x714</x:v>
      </x:c>
      <x:c r="E1782" s="31"/>
    </x:row>
    <x:row r="1783" ht="15" hidden="0" customHeight="1">
      <x:c r="A1783" s="31" t="str">
        <x:v>Anjoman accounting - refined.xlsx</x:v>
      </x:c>
      <x:c r="B1783" s="31" t="str">
        <x:v>صف بررسی رسیدها</x:v>
      </x:c>
      <x:c r="C1783" s="31" t="str">
        <x:v>F11</x:v>
      </x:c>
      <x:c r="D1783" s="31" t="str">
        <x:v>نیازمند ورود دستی</x:v>
      </x:c>
      <x:c r="E1783" s="31"/>
    </x:row>
    <x:row r="1784" ht="15" hidden="0" customHeight="1">
      <x:c r="A1784" s="31" t="str">
        <x:v>Anjoman accounting - refined.xlsx</x:v>
      </x:c>
      <x:c r="B1784" s="31" t="str">
        <x:v>صف بررسی رسیدها</x:v>
      </x:c>
      <x:c r="C1784" s="31" t="str">
        <x:v>K11</x:v>
      </x:c>
      <x:c r="D1784" s="31" t="str">
        <x:v>ثبت مبلغ/تاریخ/طرف حساب و بررسی تکراری بودن</x:v>
      </x:c>
      <x:c r="E1784" s="31"/>
    </x:row>
    <x:row r="1785" ht="15" hidden="0" customHeight="1">
      <x:c r="A1785" s="31" t="str">
        <x:v>Anjoman accounting - refined.xlsx</x:v>
      </x:c>
      <x:c r="B1785" s="31" t="str">
        <x:v>صف بررسی رسیدها</x:v>
      </x:c>
      <x:c r="C1785" s="31" t="str">
        <x:v>A12</x:v>
      </x:c>
      <x:c r="D1785" s="31" t="str">
        <x:v>RV-009</x:v>
      </x:c>
      <x:c r="E1785" s="31"/>
    </x:row>
    <x:row r="1786" ht="15" hidden="0" customHeight="1">
      <x:c r="A1786" s="31" t="str">
        <x:v>Anjoman accounting - refined.xlsx</x:v>
      </x:c>
      <x:c r="B1786" s="31" t="str">
        <x:v>صف بررسی رسیدها</x:v>
      </x:c>
      <x:c r="C1786" s="31" t="str">
        <x:v>B12</x:v>
      </x:c>
      <x:c r="D1786" s="31" t="str">
        <x:v>recipts\photo_3_2026-10-10_11-09-04.jpg</x:v>
      </x:c>
      <x:c r="E1786" s="31"/>
    </x:row>
    <x:row r="1787" ht="15" hidden="0" customHeight="1">
      <x:c r="A1787" s="31" t="str">
        <x:v>Anjoman accounting - refined.xlsx</x:v>
      </x:c>
      <x:c r="B1787" s="31" t="str">
        <x:v>صف بررسی رسیدها</x:v>
      </x:c>
      <x:c r="C1787" s="31" t="str">
        <x:v>C12</x:v>
      </x:c>
      <x:c r="D1787" s="31" t="str">
        <x:v>48603</x:v>
      </x:c>
      <x:c r="E1787" s="31"/>
    </x:row>
    <x:row r="1788" ht="15" hidden="0" customHeight="1">
      <x:c r="A1788" s="31" t="str">
        <x:v>Anjoman accounting - refined.xlsx</x:v>
      </x:c>
      <x:c r="B1788" s="31" t="str">
        <x:v>صف بررسی رسیدها</x:v>
      </x:c>
      <x:c r="C1788" s="31" t="str">
        <x:v>D12</x:v>
      </x:c>
      <x:c r="D1788" s="31" t="str">
        <x:v>5e9f3828411eb9b655e40edf6506756897d37de7bd8a35ea38c9eee80d9742c0</x:v>
      </x:c>
      <x:c r="E1788" s="31"/>
    </x:row>
    <x:row r="1789" ht="15" hidden="0" customHeight="1">
      <x:c r="A1789" s="31" t="str">
        <x:v>Anjoman accounting - refined.xlsx</x:v>
      </x:c>
      <x:c r="B1789" s="31" t="str">
        <x:v>صف بررسی رسیدها</x:v>
      </x:c>
      <x:c r="C1789" s="31" t="str">
        <x:v>E12</x:v>
      </x:c>
      <x:c r="D1789" s="31" t="str">
        <x:v>1200x1078</x:v>
      </x:c>
      <x:c r="E1789" s="31"/>
    </x:row>
    <x:row r="1790" ht="15" hidden="0" customHeight="1">
      <x:c r="A1790" s="31" t="str">
        <x:v>Anjoman accounting - refined.xlsx</x:v>
      </x:c>
      <x:c r="B1790" s="31" t="str">
        <x:v>صف بررسی رسیدها</x:v>
      </x:c>
      <x:c r="C1790" s="31" t="str">
        <x:v>F12</x:v>
      </x:c>
      <x:c r="D1790" s="31" t="str">
        <x:v>نیازمند ورود دستی</x:v>
      </x:c>
      <x:c r="E1790" s="31"/>
    </x:row>
    <x:row r="1791" ht="15" hidden="0" customHeight="1">
      <x:c r="A1791" s="31" t="str">
        <x:v>Anjoman accounting - refined.xlsx</x:v>
      </x:c>
      <x:c r="B1791" s="31" t="str">
        <x:v>صف بررسی رسیدها</x:v>
      </x:c>
      <x:c r="C1791" s="31" t="str">
        <x:v>K12</x:v>
      </x:c>
      <x:c r="D1791" s="31" t="str">
        <x:v>ثبت مبلغ/تاریخ/طرف حساب و بررسی تکراری بودن</x:v>
      </x:c>
      <x:c r="E1791" s="31"/>
    </x:row>
    <x:row r="1792" ht="15" hidden="0" customHeight="1">
      <x:c r="A1792" s="31" t="str">
        <x:v>Anjoman accounting - refined.xlsx</x:v>
      </x:c>
      <x:c r="B1792" s="31" t="str">
        <x:v>صف بررسی رسیدها</x:v>
      </x:c>
      <x:c r="C1792" s="31" t="str">
        <x:v>A13</x:v>
      </x:c>
      <x:c r="D1792" s="31" t="str">
        <x:v>RV-010</x:v>
      </x:c>
      <x:c r="E1792" s="31"/>
    </x:row>
    <x:row r="1793" ht="15" hidden="0" customHeight="1">
      <x:c r="A1793" s="31" t="str">
        <x:v>Anjoman accounting - refined.xlsx</x:v>
      </x:c>
      <x:c r="B1793" s="31" t="str">
        <x:v>صف بررسی رسیدها</x:v>
      </x:c>
      <x:c r="C1793" s="31" t="str">
        <x:v>B13</x:v>
      </x:c>
      <x:c r="D1793" s="31" t="str">
        <x:v>recipts\photo_3_2026-10-10_14-07-27.jpg</x:v>
      </x:c>
      <x:c r="E1793" s="31"/>
    </x:row>
    <x:row r="1794" ht="15" hidden="0" customHeight="1">
      <x:c r="A1794" s="31" t="str">
        <x:v>Anjoman accounting - refined.xlsx</x:v>
      </x:c>
      <x:c r="B1794" s="31" t="str">
        <x:v>صف بررسی رسیدها</x:v>
      </x:c>
      <x:c r="C1794" s="31" t="str">
        <x:v>C13</x:v>
      </x:c>
      <x:c r="D1794" s="31" t="str">
        <x:v>45037</x:v>
      </x:c>
      <x:c r="E1794" s="31"/>
    </x:row>
    <x:row r="1795" ht="15" hidden="0" customHeight="1">
      <x:c r="A1795" s="31" t="str">
        <x:v>Anjoman accounting - refined.xlsx</x:v>
      </x:c>
      <x:c r="B1795" s="31" t="str">
        <x:v>صف بررسی رسیدها</x:v>
      </x:c>
      <x:c r="C1795" s="31" t="str">
        <x:v>D13</x:v>
      </x:c>
      <x:c r="D1795" s="31" t="str">
        <x:v>89cfe54d6ab70d44461da04c4318c4b7a11f78947d9a61bda0e7266fbcc3bdab</x:v>
      </x:c>
      <x:c r="E1795" s="31"/>
    </x:row>
    <x:row r="1796" ht="15" hidden="0" customHeight="1">
      <x:c r="A1796" s="31" t="str">
        <x:v>Anjoman accounting - refined.xlsx</x:v>
      </x:c>
      <x:c r="B1796" s="31" t="str">
        <x:v>صف بررسی رسیدها</x:v>
      </x:c>
      <x:c r="C1796" s="31" t="str">
        <x:v>E13</x:v>
      </x:c>
      <x:c r="D1796" s="31" t="str">
        <x:v>1280x714</x:v>
      </x:c>
      <x:c r="E1796" s="31"/>
    </x:row>
    <x:row r="1797" ht="15" hidden="0" customHeight="1">
      <x:c r="A1797" s="31" t="str">
        <x:v>Anjoman accounting - refined.xlsx</x:v>
      </x:c>
      <x:c r="B1797" s="31" t="str">
        <x:v>صف بررسی رسیدها</x:v>
      </x:c>
      <x:c r="C1797" s="31" t="str">
        <x:v>F13</x:v>
      </x:c>
      <x:c r="D1797" s="31" t="str">
        <x:v>نیازمند ورود دستی</x:v>
      </x:c>
      <x:c r="E1797" s="31"/>
    </x:row>
    <x:row r="1798" ht="15" hidden="0" customHeight="1">
      <x:c r="A1798" s="31" t="str">
        <x:v>Anjoman accounting - refined.xlsx</x:v>
      </x:c>
      <x:c r="B1798" s="31" t="str">
        <x:v>صف بررسی رسیدها</x:v>
      </x:c>
      <x:c r="C1798" s="31" t="str">
        <x:v>K13</x:v>
      </x:c>
      <x:c r="D1798" s="31" t="str">
        <x:v>ثبت مبلغ/تاریخ/طرف حساب و بررسی تکراری بودن</x:v>
      </x:c>
      <x:c r="E1798" s="31"/>
    </x:row>
    <x:row r="1799" ht="15" hidden="0" customHeight="1">
      <x:c r="A1799" s="31" t="str">
        <x:v>Anjoman accounting - refined.xlsx</x:v>
      </x:c>
      <x:c r="B1799" s="31" t="str">
        <x:v>صف بررسی رسیدها</x:v>
      </x:c>
      <x:c r="C1799" s="31" t="str">
        <x:v>A14</x:v>
      </x:c>
      <x:c r="D1799" s="31" t="str">
        <x:v>RV-011</x:v>
      </x:c>
      <x:c r="E1799" s="31"/>
    </x:row>
    <x:row r="1800" ht="15" hidden="0" customHeight="1">
      <x:c r="A1800" s="31" t="str">
        <x:v>Anjoman accounting - refined.xlsx</x:v>
      </x:c>
      <x:c r="B1800" s="31" t="str">
        <x:v>صف بررسی رسیدها</x:v>
      </x:c>
      <x:c r="C1800" s="31" t="str">
        <x:v>B14</x:v>
      </x:c>
      <x:c r="D1800" s="31" t="str">
        <x:v>recipts\photo_4_2026-10-10_11-09-04.jpg</x:v>
      </x:c>
      <x:c r="E1800" s="31"/>
    </x:row>
    <x:row r="1801" ht="15" hidden="0" customHeight="1">
      <x:c r="A1801" s="31" t="str">
        <x:v>Anjoman accounting - refined.xlsx</x:v>
      </x:c>
      <x:c r="B1801" s="31" t="str">
        <x:v>صف بررسی رسیدها</x:v>
      </x:c>
      <x:c r="C1801" s="31" t="str">
        <x:v>C14</x:v>
      </x:c>
      <x:c r="D1801" s="31" t="str">
        <x:v>49704</x:v>
      </x:c>
      <x:c r="E1801" s="31"/>
    </x:row>
    <x:row r="1802" ht="15" hidden="0" customHeight="1">
      <x:c r="A1802" s="31" t="str">
        <x:v>Anjoman accounting - refined.xlsx</x:v>
      </x:c>
      <x:c r="B1802" s="31" t="str">
        <x:v>صف بررسی رسیدها</x:v>
      </x:c>
      <x:c r="C1802" s="31" t="str">
        <x:v>D14</x:v>
      </x:c>
      <x:c r="D1802" s="31" t="str">
        <x:v>da2ff247cc7b5f3f295635d3052d3d599eebc0806a657613e584d1cce0639769</x:v>
      </x:c>
      <x:c r="E1802" s="31"/>
    </x:row>
    <x:row r="1803" ht="15" hidden="0" customHeight="1">
      <x:c r="A1803" s="31" t="str">
        <x:v>Anjoman accounting - refined.xlsx</x:v>
      </x:c>
      <x:c r="B1803" s="31" t="str">
        <x:v>صف بررسی رسیدها</x:v>
      </x:c>
      <x:c r="C1803" s="31" t="str">
        <x:v>E14</x:v>
      </x:c>
      <x:c r="D1803" s="31" t="str">
        <x:v>1200x1224</x:v>
      </x:c>
      <x:c r="E1803" s="31"/>
    </x:row>
    <x:row r="1804" ht="15" hidden="0" customHeight="1">
      <x:c r="A1804" s="31" t="str">
        <x:v>Anjoman accounting - refined.xlsx</x:v>
      </x:c>
      <x:c r="B1804" s="31" t="str">
        <x:v>صف بررسی رسیدها</x:v>
      </x:c>
      <x:c r="C1804" s="31" t="str">
        <x:v>F14</x:v>
      </x:c>
      <x:c r="D1804" s="31" t="str">
        <x:v>نیازمند ورود دستی</x:v>
      </x:c>
      <x:c r="E1804" s="31"/>
    </x:row>
    <x:row r="1805" ht="15" hidden="0" customHeight="1">
      <x:c r="A1805" s="31" t="str">
        <x:v>Anjoman accounting - refined.xlsx</x:v>
      </x:c>
      <x:c r="B1805" s="31" t="str">
        <x:v>صف بررسی رسیدها</x:v>
      </x:c>
      <x:c r="C1805" s="31" t="str">
        <x:v>K14</x:v>
      </x:c>
      <x:c r="D1805" s="31" t="str">
        <x:v>ثبت مبلغ/تاریخ/طرف حساب و بررسی تکراری بودن</x:v>
      </x:c>
      <x:c r="E1805" s="31"/>
    </x:row>
    <x:row r="1806" ht="15" hidden="0" customHeight="1">
      <x:c r="A1806" s="31" t="str">
        <x:v>Anjoman accounting - refined.xlsx</x:v>
      </x:c>
      <x:c r="B1806" s="31" t="str">
        <x:v>صف بررسی رسیدها</x:v>
      </x:c>
      <x:c r="C1806" s="31" t="str">
        <x:v>A15</x:v>
      </x:c>
      <x:c r="D1806" s="31" t="str">
        <x:v>RV-012</x:v>
      </x:c>
      <x:c r="E1806" s="31"/>
    </x:row>
    <x:row r="1807" ht="15" hidden="0" customHeight="1">
      <x:c r="A1807" s="31" t="str">
        <x:v>Anjoman accounting - refined.xlsx</x:v>
      </x:c>
      <x:c r="B1807" s="31" t="str">
        <x:v>صف بررسی رسیدها</x:v>
      </x:c>
      <x:c r="C1807" s="31" t="str">
        <x:v>B15</x:v>
      </x:c>
      <x:c r="D1807" s="31" t="str">
        <x:v>recipts\photo_4_2026-10-10_14-07-27.jpg</x:v>
      </x:c>
      <x:c r="E1807" s="31"/>
    </x:row>
    <x:row r="1808" ht="15" hidden="0" customHeight="1">
      <x:c r="A1808" s="31" t="str">
        <x:v>Anjoman accounting - refined.xlsx</x:v>
      </x:c>
      <x:c r="B1808" s="31" t="str">
        <x:v>صف بررسی رسیدها</x:v>
      </x:c>
      <x:c r="C1808" s="31" t="str">
        <x:v>C15</x:v>
      </x:c>
      <x:c r="D1808" s="31" t="str">
        <x:v>44990</x:v>
      </x:c>
      <x:c r="E1808" s="31"/>
    </x:row>
    <x:row r="1809" ht="15" hidden="0" customHeight="1">
      <x:c r="A1809" s="31" t="str">
        <x:v>Anjoman accounting - refined.xlsx</x:v>
      </x:c>
      <x:c r="B1809" s="31" t="str">
        <x:v>صف بررسی رسیدها</x:v>
      </x:c>
      <x:c r="C1809" s="31" t="str">
        <x:v>D15</x:v>
      </x:c>
      <x:c r="D1809" s="31" t="str">
        <x:v>44a438cc79650702edcbab92c8d1b6d5bc74008f068089c928f463f0657d2162</x:v>
      </x:c>
      <x:c r="E1809" s="31"/>
    </x:row>
    <x:row r="1810" ht="15" hidden="0" customHeight="1">
      <x:c r="A1810" s="31" t="str">
        <x:v>Anjoman accounting - refined.xlsx</x:v>
      </x:c>
      <x:c r="B1810" s="31" t="str">
        <x:v>صف بررسی رسیدها</x:v>
      </x:c>
      <x:c r="C1810" s="31" t="str">
        <x:v>E15</x:v>
      </x:c>
      <x:c r="D1810" s="31" t="str">
        <x:v>1280x714</x:v>
      </x:c>
      <x:c r="E1810" s="31"/>
    </x:row>
    <x:row r="1811" ht="15" hidden="0" customHeight="1">
      <x:c r="A1811" s="31" t="str">
        <x:v>Anjoman accounting - refined.xlsx</x:v>
      </x:c>
      <x:c r="B1811" s="31" t="str">
        <x:v>صف بررسی رسیدها</x:v>
      </x:c>
      <x:c r="C1811" s="31" t="str">
        <x:v>F15</x:v>
      </x:c>
      <x:c r="D1811" s="31" t="str">
        <x:v>نیازمند ورود دستی</x:v>
      </x:c>
      <x:c r="E1811" s="31"/>
    </x:row>
    <x:row r="1812" ht="15" hidden="0" customHeight="1">
      <x:c r="A1812" s="31" t="str">
        <x:v>Anjoman accounting - refined.xlsx</x:v>
      </x:c>
      <x:c r="B1812" s="31" t="str">
        <x:v>صف بررسی رسیدها</x:v>
      </x:c>
      <x:c r="C1812" s="31" t="str">
        <x:v>K15</x:v>
      </x:c>
      <x:c r="D1812" s="31" t="str">
        <x:v>ثبت مبلغ/تاریخ/طرف حساب و بررسی تکراری بودن</x:v>
      </x:c>
      <x:c r="E1812" s="31"/>
    </x:row>
    <x:row r="1813" ht="15" hidden="0" customHeight="1">
      <x:c r="A1813" s="31" t="str">
        <x:v>Anjoman accounting - refined.xlsx</x:v>
      </x:c>
      <x:c r="B1813" s="31" t="str">
        <x:v>صف بررسی رسیدها</x:v>
      </x:c>
      <x:c r="C1813" s="31" t="str">
        <x:v>A16</x:v>
      </x:c>
      <x:c r="D1813" s="31" t="str">
        <x:v>RV-013</x:v>
      </x:c>
      <x:c r="E1813" s="31"/>
    </x:row>
    <x:row r="1814" ht="15" hidden="0" customHeight="1">
      <x:c r="A1814" s="31" t="str">
        <x:v>Anjoman accounting - refined.xlsx</x:v>
      </x:c>
      <x:c r="B1814" s="31" t="str">
        <x:v>صف بررسی رسیدها</x:v>
      </x:c>
      <x:c r="C1814" s="31" t="str">
        <x:v>B16</x:v>
      </x:c>
      <x:c r="D1814" s="31" t="str">
        <x:v>recipts\photo_5_2026-10-10_11-09-04.jpg</x:v>
      </x:c>
      <x:c r="E1814" s="31"/>
    </x:row>
    <x:row r="1815" ht="15" hidden="0" customHeight="1">
      <x:c r="A1815" s="31" t="str">
        <x:v>Anjoman accounting - refined.xlsx</x:v>
      </x:c>
      <x:c r="B1815" s="31" t="str">
        <x:v>صف بررسی رسیدها</x:v>
      </x:c>
      <x:c r="C1815" s="31" t="str">
        <x:v>C16</x:v>
      </x:c>
      <x:c r="D1815" s="31" t="str">
        <x:v>49513</x:v>
      </x:c>
      <x:c r="E1815" s="31"/>
    </x:row>
    <x:row r="1816" ht="15" hidden="0" customHeight="1">
      <x:c r="A1816" s="31" t="str">
        <x:v>Anjoman accounting - refined.xlsx</x:v>
      </x:c>
      <x:c r="B1816" s="31" t="str">
        <x:v>صف بررسی رسیدها</x:v>
      </x:c>
      <x:c r="C1816" s="31" t="str">
        <x:v>D16</x:v>
      </x:c>
      <x:c r="D1816" s="31" t="str">
        <x:v>556c6c35f9ce9e0fb5845f3b0d5b9a1b2696d7e1377af7f4c39d6a23e4360af2</x:v>
      </x:c>
      <x:c r="E1816" s="31"/>
    </x:row>
    <x:row r="1817" ht="15" hidden="0" customHeight="1">
      <x:c r="A1817" s="31" t="str">
        <x:v>Anjoman accounting - refined.xlsx</x:v>
      </x:c>
      <x:c r="B1817" s="31" t="str">
        <x:v>صف بررسی رسیدها</x:v>
      </x:c>
      <x:c r="C1817" s="31" t="str">
        <x:v>E16</x:v>
      </x:c>
      <x:c r="D1817" s="31" t="str">
        <x:v>1200x1145</x:v>
      </x:c>
      <x:c r="E1817" s="31"/>
    </x:row>
    <x:row r="1818" ht="15" hidden="0" customHeight="1">
      <x:c r="A1818" s="31" t="str">
        <x:v>Anjoman accounting - refined.xlsx</x:v>
      </x:c>
      <x:c r="B1818" s="31" t="str">
        <x:v>صف بررسی رسیدها</x:v>
      </x:c>
      <x:c r="C1818" s="31" t="str">
        <x:v>F16</x:v>
      </x:c>
      <x:c r="D1818" s="31" t="str">
        <x:v>نیازمند ورود دستی</x:v>
      </x:c>
      <x:c r="E1818" s="31"/>
    </x:row>
    <x:row r="1819" ht="15" hidden="0" customHeight="1">
      <x:c r="A1819" s="31" t="str">
        <x:v>Anjoman accounting - refined.xlsx</x:v>
      </x:c>
      <x:c r="B1819" s="31" t="str">
        <x:v>صف بررسی رسیدها</x:v>
      </x:c>
      <x:c r="C1819" s="31" t="str">
        <x:v>K16</x:v>
      </x:c>
      <x:c r="D1819" s="31" t="str">
        <x:v>ثبت مبلغ/تاریخ/طرف حساب و بررسی تکراری بودن</x:v>
      </x:c>
      <x:c r="E1819" s="31"/>
    </x:row>
    <x:row r="1820" ht="15" hidden="0" customHeight="1">
      <x:c r="A1820" s="31" t="str">
        <x:v>Anjoman accounting - refined.xlsx</x:v>
      </x:c>
      <x:c r="B1820" s="31" t="str">
        <x:v>صف بررسی رسیدها</x:v>
      </x:c>
      <x:c r="C1820" s="31" t="str">
        <x:v>A17</x:v>
      </x:c>
      <x:c r="D1820" s="31" t="str">
        <x:v>RV-014</x:v>
      </x:c>
      <x:c r="E1820" s="31"/>
    </x:row>
    <x:row r="1821" ht="15" hidden="0" customHeight="1">
      <x:c r="A1821" s="31" t="str">
        <x:v>Anjoman accounting - refined.xlsx</x:v>
      </x:c>
      <x:c r="B1821" s="31" t="str">
        <x:v>صف بررسی رسیدها</x:v>
      </x:c>
      <x:c r="C1821" s="31" t="str">
        <x:v>B17</x:v>
      </x:c>
      <x:c r="D1821" s="31" t="str">
        <x:v>recipts\photo_5_2026-10-10_14-07-27.jpg</x:v>
      </x:c>
      <x:c r="E1821" s="31"/>
    </x:row>
    <x:row r="1822" ht="15" hidden="0" customHeight="1">
      <x:c r="A1822" s="31" t="str">
        <x:v>Anjoman accounting - refined.xlsx</x:v>
      </x:c>
      <x:c r="B1822" s="31" t="str">
        <x:v>صف بررسی رسیدها</x:v>
      </x:c>
      <x:c r="C1822" s="31" t="str">
        <x:v>C17</x:v>
      </x:c>
      <x:c r="D1822" s="31" t="str">
        <x:v>39739</x:v>
      </x:c>
      <x:c r="E1822" s="31"/>
    </x:row>
    <x:row r="1823" ht="15" hidden="0" customHeight="1">
      <x:c r="A1823" s="31" t="str">
        <x:v>Anjoman accounting - refined.xlsx</x:v>
      </x:c>
      <x:c r="B1823" s="31" t="str">
        <x:v>صف بررسی رسیدها</x:v>
      </x:c>
      <x:c r="C1823" s="31" t="str">
        <x:v>D17</x:v>
      </x:c>
      <x:c r="D1823" s="31" t="str">
        <x:v>63f59a169b5a2bb5dd1bc0587d75173d88da586a0b9b30cbe7effcd5b676c67c</x:v>
      </x:c>
      <x:c r="E1823" s="31"/>
    </x:row>
    <x:row r="1824" ht="15" hidden="0" customHeight="1">
      <x:c r="A1824" s="31" t="str">
        <x:v>Anjoman accounting - refined.xlsx</x:v>
      </x:c>
      <x:c r="B1824" s="31" t="str">
        <x:v>صف بررسی رسیدها</x:v>
      </x:c>
      <x:c r="C1824" s="31" t="str">
        <x:v>E17</x:v>
      </x:c>
      <x:c r="D1824" s="31" t="str">
        <x:v>1280x714</x:v>
      </x:c>
      <x:c r="E1824" s="31"/>
    </x:row>
    <x:row r="1825" ht="15" hidden="0" customHeight="1">
      <x:c r="A1825" s="31" t="str">
        <x:v>Anjoman accounting - refined.xlsx</x:v>
      </x:c>
      <x:c r="B1825" s="31" t="str">
        <x:v>صف بررسی رسیدها</x:v>
      </x:c>
      <x:c r="C1825" s="31" t="str">
        <x:v>F17</x:v>
      </x:c>
      <x:c r="D1825" s="31" t="str">
        <x:v>نیازمند ورود دستی</x:v>
      </x:c>
      <x:c r="E1825" s="31"/>
    </x:row>
    <x:row r="1826" ht="15" hidden="0" customHeight="1">
      <x:c r="A1826" s="31" t="str">
        <x:v>Anjoman accounting - refined.xlsx</x:v>
      </x:c>
      <x:c r="B1826" s="31" t="str">
        <x:v>صف بررسی رسیدها</x:v>
      </x:c>
      <x:c r="C1826" s="31" t="str">
        <x:v>K17</x:v>
      </x:c>
      <x:c r="D1826" s="31" t="str">
        <x:v>ثبت مبلغ/تاریخ/طرف حساب و بررسی تکراری بودن</x:v>
      </x:c>
      <x:c r="E1826" s="31"/>
    </x:row>
    <x:row r="1827" ht="15" hidden="0" customHeight="1">
      <x:c r="A1827" s="31" t="str">
        <x:v>Anjoman accounting - refined.xlsx</x:v>
      </x:c>
      <x:c r="B1827" s="31" t="str">
        <x:v>صف بررسی رسیدها</x:v>
      </x:c>
      <x:c r="C1827" s="31" t="str">
        <x:v>A18</x:v>
      </x:c>
      <x:c r="D1827" s="31" t="str">
        <x:v>RV-015</x:v>
      </x:c>
      <x:c r="E1827" s="31"/>
    </x:row>
    <x:row r="1828" ht="15" hidden="0" customHeight="1">
      <x:c r="A1828" s="31" t="str">
        <x:v>Anjoman accounting - refined.xlsx</x:v>
      </x:c>
      <x:c r="B1828" s="31" t="str">
        <x:v>صف بررسی رسیدها</x:v>
      </x:c>
      <x:c r="C1828" s="31" t="str">
        <x:v>B18</x:v>
      </x:c>
      <x:c r="D1828" s="31" t="str">
        <x:v>recipts\photo_6_2026-10-10_11-09-04.jpg</x:v>
      </x:c>
      <x:c r="E1828" s="31"/>
    </x:row>
    <x:row r="1829" ht="15" hidden="0" customHeight="1">
      <x:c r="A1829" s="31" t="str">
        <x:v>Anjoman accounting - refined.xlsx</x:v>
      </x:c>
      <x:c r="B1829" s="31" t="str">
        <x:v>صف بررسی رسیدها</x:v>
      </x:c>
      <x:c r="C1829" s="31" t="str">
        <x:v>C18</x:v>
      </x:c>
      <x:c r="D1829" s="31" t="str">
        <x:v>57246</x:v>
      </x:c>
      <x:c r="E1829" s="31"/>
    </x:row>
    <x:row r="1830" ht="15" hidden="0" customHeight="1">
      <x:c r="A1830" s="31" t="str">
        <x:v>Anjoman accounting - refined.xlsx</x:v>
      </x:c>
      <x:c r="B1830" s="31" t="str">
        <x:v>صف بررسی رسیدها</x:v>
      </x:c>
      <x:c r="C1830" s="31" t="str">
        <x:v>D18</x:v>
      </x:c>
      <x:c r="D1830" s="31" t="str">
        <x:v>3e2419ef0ccbe67c3e775ffb4f32e97152e3923bab3c3760071727253938e142</x:v>
      </x:c>
      <x:c r="E1830" s="31"/>
    </x:row>
    <x:row r="1831" ht="15" hidden="0" customHeight="1">
      <x:c r="A1831" s="31" t="str">
        <x:v>Anjoman accounting - refined.xlsx</x:v>
      </x:c>
      <x:c r="B1831" s="31" t="str">
        <x:v>صف بررسی رسیدها</x:v>
      </x:c>
      <x:c r="C1831" s="31" t="str">
        <x:v>E18</x:v>
      </x:c>
      <x:c r="D1831" s="31" t="str">
        <x:v>1200x1163</x:v>
      </x:c>
      <x:c r="E1831" s="31"/>
    </x:row>
    <x:row r="1832" ht="15" hidden="0" customHeight="1">
      <x:c r="A1832" s="31" t="str">
        <x:v>Anjoman accounting - refined.xlsx</x:v>
      </x:c>
      <x:c r="B1832" s="31" t="str">
        <x:v>صف بررسی رسیدها</x:v>
      </x:c>
      <x:c r="C1832" s="31" t="str">
        <x:v>F18</x:v>
      </x:c>
      <x:c r="D1832" s="31" t="str">
        <x:v>نیازمند ورود دستی</x:v>
      </x:c>
      <x:c r="E1832" s="31"/>
    </x:row>
    <x:row r="1833" ht="15" hidden="0" customHeight="1">
      <x:c r="A1833" s="31" t="str">
        <x:v>Anjoman accounting - refined.xlsx</x:v>
      </x:c>
      <x:c r="B1833" s="31" t="str">
        <x:v>صف بررسی رسیدها</x:v>
      </x:c>
      <x:c r="C1833" s="31" t="str">
        <x:v>K18</x:v>
      </x:c>
      <x:c r="D1833" s="31" t="str">
        <x:v>ثبت مبلغ/تاریخ/طرف حساب و بررسی تکراری بودن</x:v>
      </x:c>
      <x:c r="E1833" s="31"/>
    </x:row>
    <x:row r="1834" ht="15" hidden="0" customHeight="1">
      <x:c r="A1834" s="31" t="str">
        <x:v>Anjoman accounting - refined.xlsx</x:v>
      </x:c>
      <x:c r="B1834" s="31" t="str">
        <x:v>صف بررسی رسیدها</x:v>
      </x:c>
      <x:c r="C1834" s="31" t="str">
        <x:v>A19</x:v>
      </x:c>
      <x:c r="D1834" s="31" t="str">
        <x:v>RV-016</x:v>
      </x:c>
      <x:c r="E1834" s="31"/>
    </x:row>
    <x:row r="1835" ht="15" hidden="0" customHeight="1">
      <x:c r="A1835" s="31" t="str">
        <x:v>Anjoman accounting - refined.xlsx</x:v>
      </x:c>
      <x:c r="B1835" s="31" t="str">
        <x:v>صف بررسی رسیدها</x:v>
      </x:c>
      <x:c r="C1835" s="31" t="str">
        <x:v>B19</x:v>
      </x:c>
      <x:c r="D1835" s="31" t="str">
        <x:v>recipts\photo_6_2026-10-10_14-07-27.jpg</x:v>
      </x:c>
      <x:c r="E1835" s="31"/>
    </x:row>
    <x:row r="1836" ht="15" hidden="0" customHeight="1">
      <x:c r="A1836" s="31" t="str">
        <x:v>Anjoman accounting - refined.xlsx</x:v>
      </x:c>
      <x:c r="B1836" s="31" t="str">
        <x:v>صف بررسی رسیدها</x:v>
      </x:c>
      <x:c r="C1836" s="31" t="str">
        <x:v>C19</x:v>
      </x:c>
      <x:c r="D1836" s="31" t="str">
        <x:v>41211</x:v>
      </x:c>
      <x:c r="E1836" s="31"/>
    </x:row>
    <x:row r="1837" ht="15" hidden="0" customHeight="1">
      <x:c r="A1837" s="31" t="str">
        <x:v>Anjoman accounting - refined.xlsx</x:v>
      </x:c>
      <x:c r="B1837" s="31" t="str">
        <x:v>صف بررسی رسیدها</x:v>
      </x:c>
      <x:c r="C1837" s="31" t="str">
        <x:v>D19</x:v>
      </x:c>
      <x:c r="D1837" s="31" t="str">
        <x:v>2a51ef05147371b78e220f491a2c3e82578cb8a9cc8a65128cd503f3f2eaf183</x:v>
      </x:c>
      <x:c r="E1837" s="31"/>
    </x:row>
    <x:row r="1838" ht="15" hidden="0" customHeight="1">
      <x:c r="A1838" s="31" t="str">
        <x:v>Anjoman accounting - refined.xlsx</x:v>
      </x:c>
      <x:c r="B1838" s="31" t="str">
        <x:v>صف بررسی رسیدها</x:v>
      </x:c>
      <x:c r="C1838" s="31" t="str">
        <x:v>E19</x:v>
      </x:c>
      <x:c r="D1838" s="31" t="str">
        <x:v>1280x714</x:v>
      </x:c>
      <x:c r="E1838" s="31"/>
    </x:row>
    <x:row r="1839" ht="15" hidden="0" customHeight="1">
      <x:c r="A1839" s="31" t="str">
        <x:v>Anjoman accounting - refined.xlsx</x:v>
      </x:c>
      <x:c r="B1839" s="31" t="str">
        <x:v>صف بررسی رسیدها</x:v>
      </x:c>
      <x:c r="C1839" s="31" t="str">
        <x:v>F19</x:v>
      </x:c>
      <x:c r="D1839" s="31" t="str">
        <x:v>نیازمند ورود دستی</x:v>
      </x:c>
      <x:c r="E1839" s="31"/>
    </x:row>
    <x:row r="1840" ht="15" hidden="0" customHeight="1">
      <x:c r="A1840" s="31" t="str">
        <x:v>Anjoman accounting - refined.xlsx</x:v>
      </x:c>
      <x:c r="B1840" s="31" t="str">
        <x:v>صف بررسی رسیدها</x:v>
      </x:c>
      <x:c r="C1840" s="31" t="str">
        <x:v>K19</x:v>
      </x:c>
      <x:c r="D1840" s="31" t="str">
        <x:v>ثبت مبلغ/تاریخ/طرف حساب و بررسی تکراری بودن</x:v>
      </x:c>
      <x:c r="E1840" s="31"/>
    </x:row>
    <x:row r="1841" ht="15" hidden="0" customHeight="1">
      <x:c r="A1841" s="31" t="str">
        <x:v>Anjoman accounting - refined.xlsx</x:v>
      </x:c>
      <x:c r="B1841" s="31" t="str">
        <x:v>صف بررسی رسیدها</x:v>
      </x:c>
      <x:c r="C1841" s="31" t="str">
        <x:v>A20</x:v>
      </x:c>
      <x:c r="D1841" s="31" t="str">
        <x:v>RV-017</x:v>
      </x:c>
      <x:c r="E1841" s="31"/>
    </x:row>
    <x:row r="1842" ht="15" hidden="0" customHeight="1">
      <x:c r="A1842" s="31" t="str">
        <x:v>Anjoman accounting - refined.xlsx</x:v>
      </x:c>
      <x:c r="B1842" s="31" t="str">
        <x:v>صف بررسی رسیدها</x:v>
      </x:c>
      <x:c r="C1842" s="31" t="str">
        <x:v>B20</x:v>
      </x:c>
      <x:c r="D1842" s="31" t="str">
        <x:v>recipts\photo_7_2026-10-10_11-09-04.jpg</x:v>
      </x:c>
      <x:c r="E1842" s="31"/>
    </x:row>
    <x:row r="1843" ht="15" hidden="0" customHeight="1">
      <x:c r="A1843" s="31" t="str">
        <x:v>Anjoman accounting - refined.xlsx</x:v>
      </x:c>
      <x:c r="B1843" s="31" t="str">
        <x:v>صف بررسی رسیدها</x:v>
      </x:c>
      <x:c r="C1843" s="31" t="str">
        <x:v>C20</x:v>
      </x:c>
      <x:c r="D1843" s="31" t="str">
        <x:v>49510</x:v>
      </x:c>
      <x:c r="E1843" s="31"/>
    </x:row>
    <x:row r="1844" ht="15" hidden="0" customHeight="1">
      <x:c r="A1844" s="31" t="str">
        <x:v>Anjoman accounting - refined.xlsx</x:v>
      </x:c>
      <x:c r="B1844" s="31" t="str">
        <x:v>صف بررسی رسیدها</x:v>
      </x:c>
      <x:c r="C1844" s="31" t="str">
        <x:v>D20</x:v>
      </x:c>
      <x:c r="D1844" s="31" t="str">
        <x:v>805ebbd2b231c7cf1c2858b5a056938b59dd5c7ccaed44d74c4edc20f4b57ce2</x:v>
      </x:c>
      <x:c r="E1844" s="31"/>
    </x:row>
    <x:row r="1845" ht="15" hidden="0" customHeight="1">
      <x:c r="A1845" s="31" t="str">
        <x:v>Anjoman accounting - refined.xlsx</x:v>
      </x:c>
      <x:c r="B1845" s="31" t="str">
        <x:v>صف بررسی رسیدها</x:v>
      </x:c>
      <x:c r="C1845" s="31" t="str">
        <x:v>E20</x:v>
      </x:c>
      <x:c r="D1845" s="31" t="str">
        <x:v>1200x1145</x:v>
      </x:c>
      <x:c r="E1845" s="31"/>
    </x:row>
    <x:row r="1846" ht="15" hidden="0" customHeight="1">
      <x:c r="A1846" s="31" t="str">
        <x:v>Anjoman accounting - refined.xlsx</x:v>
      </x:c>
      <x:c r="B1846" s="31" t="str">
        <x:v>صف بررسی رسیدها</x:v>
      </x:c>
      <x:c r="C1846" s="31" t="str">
        <x:v>F20</x:v>
      </x:c>
      <x:c r="D1846" s="31" t="str">
        <x:v>نیازمند ورود دستی</x:v>
      </x:c>
      <x:c r="E1846" s="31"/>
    </x:row>
    <x:row r="1847" ht="15" hidden="0" customHeight="1">
      <x:c r="A1847" s="31" t="str">
        <x:v>Anjoman accounting - refined.xlsx</x:v>
      </x:c>
      <x:c r="B1847" s="31" t="str">
        <x:v>صف بررسی رسیدها</x:v>
      </x:c>
      <x:c r="C1847" s="31" t="str">
        <x:v>K20</x:v>
      </x:c>
      <x:c r="D1847" s="31" t="str">
        <x:v>ثبت مبلغ/تاریخ/طرف حساب و بررسی تکراری بودن</x:v>
      </x:c>
      <x:c r="E1847" s="31"/>
    </x:row>
    <x:row r="1848" ht="15" hidden="0" customHeight="1">
      <x:c r="A1848" s="31" t="str">
        <x:v>Anjoman accounting - refined.xlsx</x:v>
      </x:c>
      <x:c r="B1848" s="31" t="str">
        <x:v>صف بررسی رسیدها</x:v>
      </x:c>
      <x:c r="C1848" s="31" t="str">
        <x:v>A21</x:v>
      </x:c>
      <x:c r="D1848" s="31" t="str">
        <x:v>RV-018</x:v>
      </x:c>
      <x:c r="E1848" s="31"/>
    </x:row>
    <x:row r="1849" ht="15" hidden="0" customHeight="1">
      <x:c r="A1849" s="31" t="str">
        <x:v>Anjoman accounting - refined.xlsx</x:v>
      </x:c>
      <x:c r="B1849" s="31" t="str">
        <x:v>صف بررسی رسیدها</x:v>
      </x:c>
      <x:c r="C1849" s="31" t="str">
        <x:v>B21</x:v>
      </x:c>
      <x:c r="D1849" s="31" t="str">
        <x:v>recipts\photo_7_2026-10-10_14-07-27.jpg</x:v>
      </x:c>
      <x:c r="E1849" s="31"/>
    </x:row>
    <x:row r="1850" ht="15" hidden="0" customHeight="1">
      <x:c r="A1850" s="31" t="str">
        <x:v>Anjoman accounting - refined.xlsx</x:v>
      </x:c>
      <x:c r="B1850" s="31" t="str">
        <x:v>صف بررسی رسیدها</x:v>
      </x:c>
      <x:c r="C1850" s="31" t="str">
        <x:v>C21</x:v>
      </x:c>
      <x:c r="D1850" s="31" t="str">
        <x:v>44918</x:v>
      </x:c>
      <x:c r="E1850" s="31"/>
    </x:row>
    <x:row r="1851" ht="15" hidden="0" customHeight="1">
      <x:c r="A1851" s="31" t="str">
        <x:v>Anjoman accounting - refined.xlsx</x:v>
      </x:c>
      <x:c r="B1851" s="31" t="str">
        <x:v>صف بررسی رسیدها</x:v>
      </x:c>
      <x:c r="C1851" s="31" t="str">
        <x:v>D21</x:v>
      </x:c>
      <x:c r="D1851" s="31" t="str">
        <x:v>1bfe3e9b9076ece14313b068bc35b4b58c247e5b9fbf0c8ac9d9161c5a1eab10</x:v>
      </x:c>
      <x:c r="E1851" s="31"/>
    </x:row>
    <x:row r="1852" ht="15" hidden="0" customHeight="1">
      <x:c r="A1852" s="31" t="str">
        <x:v>Anjoman accounting - refined.xlsx</x:v>
      </x:c>
      <x:c r="B1852" s="31" t="str">
        <x:v>صف بررسی رسیدها</x:v>
      </x:c>
      <x:c r="C1852" s="31" t="str">
        <x:v>E21</x:v>
      </x:c>
      <x:c r="D1852" s="31" t="str">
        <x:v>1280x714</x:v>
      </x:c>
      <x:c r="E1852" s="31"/>
    </x:row>
    <x:row r="1853" ht="15" hidden="0" customHeight="1">
      <x:c r="A1853" s="31" t="str">
        <x:v>Anjoman accounting - refined.xlsx</x:v>
      </x:c>
      <x:c r="B1853" s="31" t="str">
        <x:v>صف بررسی رسیدها</x:v>
      </x:c>
      <x:c r="C1853" s="31" t="str">
        <x:v>F21</x:v>
      </x:c>
      <x:c r="D1853" s="31" t="str">
        <x:v>نیازمند ورود دستی</x:v>
      </x:c>
      <x:c r="E1853" s="31"/>
    </x:row>
    <x:row r="1854" ht="15" hidden="0" customHeight="1">
      <x:c r="A1854" s="31" t="str">
        <x:v>Anjoman accounting - refined.xlsx</x:v>
      </x:c>
      <x:c r="B1854" s="31" t="str">
        <x:v>صف بررسی رسیدها</x:v>
      </x:c>
      <x:c r="C1854" s="31" t="str">
        <x:v>K21</x:v>
      </x:c>
      <x:c r="D1854" s="31" t="str">
        <x:v>ثبت مبلغ/تاریخ/طرف حساب و بررسی تکراری بودن</x:v>
      </x:c>
      <x:c r="E1854" s="31"/>
    </x:row>
    <x:row r="1855" ht="15" hidden="0" customHeight="1">
      <x:c r="A1855" s="31" t="str">
        <x:v>Anjoman accounting - refined.xlsx</x:v>
      </x:c>
      <x:c r="B1855" s="31" t="str">
        <x:v>صف بررسی رسیدها</x:v>
      </x:c>
      <x:c r="C1855" s="31" t="str">
        <x:v>A22</x:v>
      </x:c>
      <x:c r="D1855" s="31" t="str">
        <x:v>RV-019</x:v>
      </x:c>
      <x:c r="E1855" s="31"/>
    </x:row>
    <x:row r="1856" ht="15" hidden="0" customHeight="1">
      <x:c r="A1856" s="31" t="str">
        <x:v>Anjoman accounting - refined.xlsx</x:v>
      </x:c>
      <x:c r="B1856" s="31" t="str">
        <x:v>صف بررسی رسیدها</x:v>
      </x:c>
      <x:c r="C1856" s="31" t="str">
        <x:v>B22</x:v>
      </x:c>
      <x:c r="D1856" s="31" t="str">
        <x:v>recipts\photo_8_2026-10-10_11-09-04.jpg</x:v>
      </x:c>
      <x:c r="E1856" s="31"/>
    </x:row>
    <x:row r="1857" ht="15" hidden="0" customHeight="1">
      <x:c r="A1857" s="31" t="str">
        <x:v>Anjoman accounting - refined.xlsx</x:v>
      </x:c>
      <x:c r="B1857" s="31" t="str">
        <x:v>صف بررسی رسیدها</x:v>
      </x:c>
      <x:c r="C1857" s="31" t="str">
        <x:v>C22</x:v>
      </x:c>
      <x:c r="D1857" s="31" t="str">
        <x:v>48893</x:v>
      </x:c>
      <x:c r="E1857" s="31"/>
    </x:row>
    <x:row r="1858" ht="15" hidden="0" customHeight="1">
      <x:c r="A1858" s="31" t="str">
        <x:v>Anjoman accounting - refined.xlsx</x:v>
      </x:c>
      <x:c r="B1858" s="31" t="str">
        <x:v>صف بررسی رسیدها</x:v>
      </x:c>
      <x:c r="C1858" s="31" t="str">
        <x:v>D22</x:v>
      </x:c>
      <x:c r="D1858" s="31" t="str">
        <x:v>75fee797d13ddb85ea935721b36fb145c6c9fe6b2ea11406f10a551c57acac32</x:v>
      </x:c>
      <x:c r="E1858" s="31"/>
    </x:row>
    <x:row r="1859" ht="15" hidden="0" customHeight="1">
      <x:c r="A1859" s="31" t="str">
        <x:v>Anjoman accounting - refined.xlsx</x:v>
      </x:c>
      <x:c r="B1859" s="31" t="str">
        <x:v>صف بررسی رسیدها</x:v>
      </x:c>
      <x:c r="C1859" s="31" t="str">
        <x:v>E22</x:v>
      </x:c>
      <x:c r="D1859" s="31" t="str">
        <x:v>1200x1145</x:v>
      </x:c>
      <x:c r="E1859" s="31"/>
    </x:row>
    <x:row r="1860" ht="15" hidden="0" customHeight="1">
      <x:c r="A1860" s="31" t="str">
        <x:v>Anjoman accounting - refined.xlsx</x:v>
      </x:c>
      <x:c r="B1860" s="31" t="str">
        <x:v>صف بررسی رسیدها</x:v>
      </x:c>
      <x:c r="C1860" s="31" t="str">
        <x:v>F22</x:v>
      </x:c>
      <x:c r="D1860" s="31" t="str">
        <x:v>نیازمند ورود دستی</x:v>
      </x:c>
      <x:c r="E1860" s="31"/>
    </x:row>
    <x:row r="1861" ht="15" hidden="0" customHeight="1">
      <x:c r="A1861" s="31" t="str">
        <x:v>Anjoman accounting - refined.xlsx</x:v>
      </x:c>
      <x:c r="B1861" s="31" t="str">
        <x:v>صف بررسی رسیدها</x:v>
      </x:c>
      <x:c r="C1861" s="31" t="str">
        <x:v>K22</x:v>
      </x:c>
      <x:c r="D1861" s="31" t="str">
        <x:v>ثبت مبلغ/تاریخ/طرف حساب و بررسی تکراری بودن</x:v>
      </x:c>
      <x:c r="E1861" s="31"/>
    </x:row>
    <x:row r="1862" ht="15" hidden="0" customHeight="1">
      <x:c r="A1862" s="31" t="str">
        <x:v>Anjoman accounting - refined.xlsx</x:v>
      </x:c>
      <x:c r="B1862" s="31" t="str">
        <x:v>صف بررسی رسیدها</x:v>
      </x:c>
      <x:c r="C1862" s="31" t="str">
        <x:v>A23</x:v>
      </x:c>
      <x:c r="D1862" s="31" t="str">
        <x:v>RV-020</x:v>
      </x:c>
      <x:c r="E1862" s="31"/>
    </x:row>
    <x:row r="1863" ht="15" hidden="0" customHeight="1">
      <x:c r="A1863" s="31" t="str">
        <x:v>Anjoman accounting - refined.xlsx</x:v>
      </x:c>
      <x:c r="B1863" s="31" t="str">
        <x:v>صف بررسی رسیدها</x:v>
      </x:c>
      <x:c r="C1863" s="31" t="str">
        <x:v>B23</x:v>
      </x:c>
      <x:c r="D1863" s="31" t="str">
        <x:v>recipts\photo_8_2026-10-10_14-07-27.jpg</x:v>
      </x:c>
      <x:c r="E1863" s="31"/>
    </x:row>
    <x:row r="1864" ht="15" hidden="0" customHeight="1">
      <x:c r="A1864" s="31" t="str">
        <x:v>Anjoman accounting - refined.xlsx</x:v>
      </x:c>
      <x:c r="B1864" s="31" t="str">
        <x:v>صف بررسی رسیدها</x:v>
      </x:c>
      <x:c r="C1864" s="31" t="str">
        <x:v>C23</x:v>
      </x:c>
      <x:c r="D1864" s="31" t="str">
        <x:v>39907</x:v>
      </x:c>
      <x:c r="E1864" s="31"/>
    </x:row>
    <x:row r="1865" ht="15" hidden="0" customHeight="1">
      <x:c r="A1865" s="31" t="str">
        <x:v>Anjoman accounting - refined.xlsx</x:v>
      </x:c>
      <x:c r="B1865" s="31" t="str">
        <x:v>صف بررسی رسیدها</x:v>
      </x:c>
      <x:c r="C1865" s="31" t="str">
        <x:v>D23</x:v>
      </x:c>
      <x:c r="D1865" s="31" t="str">
        <x:v>ae9fe7eccdae6bf86a1de9ecb8dc330494dec3835c76a1f55a0dd695297689b8</x:v>
      </x:c>
      <x:c r="E1865" s="31"/>
    </x:row>
    <x:row r="1866" ht="15" hidden="0" customHeight="1">
      <x:c r="A1866" s="31" t="str">
        <x:v>Anjoman accounting - refined.xlsx</x:v>
      </x:c>
      <x:c r="B1866" s="31" t="str">
        <x:v>صف بررسی رسیدها</x:v>
      </x:c>
      <x:c r="C1866" s="31" t="str">
        <x:v>E23</x:v>
      </x:c>
      <x:c r="D1866" s="31" t="str">
        <x:v>1280x714</x:v>
      </x:c>
      <x:c r="E1866" s="31"/>
    </x:row>
    <x:row r="1867" ht="15" hidden="0" customHeight="1">
      <x:c r="A1867" s="31" t="str">
        <x:v>Anjoman accounting - refined.xlsx</x:v>
      </x:c>
      <x:c r="B1867" s="31" t="str">
        <x:v>صف بررسی رسیدها</x:v>
      </x:c>
      <x:c r="C1867" s="31" t="str">
        <x:v>F23</x:v>
      </x:c>
      <x:c r="D1867" s="31" t="str">
        <x:v>نیازمند ورود دستی</x:v>
      </x:c>
      <x:c r="E1867" s="31"/>
    </x:row>
    <x:row r="1868" ht="15" hidden="0" customHeight="1">
      <x:c r="A1868" s="31" t="str">
        <x:v>Anjoman accounting - refined.xlsx</x:v>
      </x:c>
      <x:c r="B1868" s="31" t="str">
        <x:v>صف بررسی رسیدها</x:v>
      </x:c>
      <x:c r="C1868" s="31" t="str">
        <x:v>K23</x:v>
      </x:c>
      <x:c r="D1868" s="31" t="str">
        <x:v>ثبت مبلغ/تاریخ/طرف حساب و بررسی تکراری بودن</x:v>
      </x:c>
      <x:c r="E1868" s="31"/>
    </x:row>
    <x:row r="1869" ht="15" hidden="0" customHeight="1">
      <x:c r="A1869" s="31" t="str">
        <x:v>Anjoman accounting - refined.xlsx</x:v>
      </x:c>
      <x:c r="B1869" s="31" t="str">
        <x:v>خام_تلگرام</x:v>
      </x:c>
      <x:c r="C1869" s="31" t="str">
        <x:v>A1</x:v>
      </x:c>
      <x:c r="D1869" s="31" t="str">
        <x:v>خام پیام‌های تلگرام</x:v>
      </x:c>
      <x:c r="E1869" s="31"/>
    </x:row>
    <x:row r="1870" ht="15" hidden="0" customHeight="1">
      <x:c r="A1870" s="31" t="str">
        <x:v>Anjoman accounting - refined.xlsx</x:v>
      </x:c>
      <x:c r="B1870" s="31" t="str">
        <x:v>خام_تلگرام</x:v>
      </x:c>
      <x:c r="C1870" s="31" t="str">
        <x:v>A2</x:v>
      </x:c>
      <x:c r="D1870" s="31" t="str">
        <x:v>نسخه refined | واحد گزارش: تومان | مبالغ نامطمئن در صف بررسی از جمع تاییدشده حذف می‌شوند.</x:v>
      </x:c>
      <x:c r="E1870" s="31"/>
    </x:row>
    <x:row r="1871" ht="15" hidden="0" customHeight="1">
      <x:c r="A1871" s="31" t="str">
        <x:v>Anjoman accounting - refined.xlsx</x:v>
      </x:c>
      <x:c r="B1871" s="31" t="str">
        <x:v>خام_تلگرام</x:v>
      </x:c>
      <x:c r="C1871" s="31" t="str">
        <x:v>A3</x:v>
      </x:c>
      <x:c r="D1871" s="31" t="str">
        <x:v>شناسه پیام</x:v>
      </x:c>
      <x:c r="E1871" s="31"/>
    </x:row>
    <x:row r="1872" ht="15" hidden="0" customHeight="1">
      <x:c r="A1872" s="31" t="str">
        <x:v>Anjoman accounting - refined.xlsx</x:v>
      </x:c>
      <x:c r="B1872" s="31" t="str">
        <x:v>خام_تلگرام</x:v>
      </x:c>
      <x:c r="C1872" s="31" t="str">
        <x:v>B3</x:v>
      </x:c>
      <x:c r="D1872" s="31" t="str">
        <x:v>تاریخ منبع</x:v>
      </x:c>
      <x:c r="E1872" s="31"/>
    </x:row>
    <x:row r="1873" ht="15" hidden="0" customHeight="1">
      <x:c r="A1873" s="31" t="str">
        <x:v>Anjoman accounting - refined.xlsx</x:v>
      </x:c>
      <x:c r="B1873" s="31" t="str">
        <x:v>خام_تلگرام</x:v>
      </x:c>
      <x:c r="C1873" s="31" t="str">
        <x:v>C3</x:v>
      </x:c>
      <x:c r="D1873" s="31" t="str">
        <x:v>فرستنده</x:v>
      </x:c>
      <x:c r="E1873" s="31"/>
    </x:row>
    <x:row r="1874" ht="15" hidden="0" customHeight="1">
      <x:c r="A1874" s="31" t="str">
        <x:v>Anjoman accounting - refined.xlsx</x:v>
      </x:c>
      <x:c r="B1874" s="31" t="str">
        <x:v>خام_تلگرام</x:v>
      </x:c>
      <x:c r="C1874" s="31" t="str">
        <x:v>D3</x:v>
      </x:c>
      <x:c r="D1874" s="31" t="str">
        <x:v>متن</x:v>
      </x:c>
      <x:c r="E1874" s="31"/>
    </x:row>
    <x:row r="1875" ht="15" hidden="0" customHeight="1">
      <x:c r="A1875" s="31" t="str">
        <x:v>Anjoman accounting - refined.xlsx</x:v>
      </x:c>
      <x:c r="B1875" s="31" t="str">
        <x:v>خام_تلگرام</x:v>
      </x:c>
      <x:c r="C1875" s="31" t="str">
        <x:v>E3</x:v>
      </x:c>
      <x:c r="D1875" s="31" t="str">
        <x:v>پیوندها</x:v>
      </x:c>
      <x:c r="E1875" s="31"/>
    </x:row>
    <x:row r="1876" ht="15" hidden="0" customHeight="1">
      <x:c r="A1876" s="31" t="str">
        <x:v>Anjoman accounting - refined.xlsx</x:v>
      </x:c>
      <x:c r="B1876" s="31" t="str">
        <x:v>خام_تلگرام</x:v>
      </x:c>
      <x:c r="C1876" s="31" t="str">
        <x:v>A4</x:v>
      </x:c>
      <x:c r="D1876" s="31" t="str">
        <x:v>message-1</x:v>
      </x:c>
      <x:c r="E1876" s="31"/>
    </x:row>
    <x:row r="1877" ht="15" hidden="0" customHeight="1">
      <x:c r="A1877" s="31" t="str">
        <x:v>Anjoman accounting - refined.xlsx</x:v>
      </x:c>
      <x:c r="B1877" s="31" t="str">
        <x:v>خام_تلگرام</x:v>
      </x:c>
      <x:c r="C1877" s="31" t="str">
        <x:v>D4</x:v>
      </x:c>
      <x:c r="D1877" s="31" t="str">
        <x:v>24 July 2025</x:v>
      </x:c>
      <x:c r="E1877" s="31"/>
    </x:row>
    <x:row r="1878" ht="15" hidden="0" customHeight="1">
      <x:c r="A1878" s="31" t="str">
        <x:v>Anjoman accounting - refined.xlsx</x:v>
      </x:c>
      <x:c r="B1878" s="31" t="str">
        <x:v>خام_تلگرام</x:v>
      </x:c>
      <x:c r="C1878" s="31" t="str">
        <x:v>A5</x:v>
      </x:c>
      <x:c r="D1878" s="31" t="str">
        <x:v>message1</x:v>
      </x:c>
      <x:c r="E1878" s="31"/>
    </x:row>
    <x:row r="1879" ht="15" hidden="0" customHeight="1">
      <x:c r="A1879" s="31" t="str">
        <x:v>Anjoman accounting - refined.xlsx</x:v>
      </x:c>
      <x:c r="B1879" s="31" t="str">
        <x:v>خام_تلگرام</x:v>
      </x:c>
      <x:c r="C1879" s="31" t="str">
        <x:v>D5</x:v>
      </x:c>
      <x:c r="D1879" s="31" t="str">
        <x:v>Anjoman 404_accounting converted a basic group to this supergroup «Anjoman 404_accounting»</x:v>
      </x:c>
      <x:c r="E1879" s="31"/>
    </x:row>
    <x:row r="1880" ht="15" hidden="0" customHeight="1">
      <x:c r="A1880" s="31" t="str">
        <x:v>Anjoman accounting - refined.xlsx</x:v>
      </x:c>
      <x:c r="B1880" s="31" t="str">
        <x:v>خام_تلگرام</x:v>
      </x:c>
      <x:c r="C1880" s="31" t="str">
        <x:v>A6</x:v>
      </x:c>
      <x:c r="D1880" s="31" t="str">
        <x:v>message5</x:v>
      </x:c>
      <x:c r="E1880" s="31"/>
    </x:row>
    <x:row r="1881" ht="15" hidden="0" customHeight="1">
      <x:c r="A1881" s="31" t="str">
        <x:v>Anjoman accounting - refined.xlsx</x:v>
      </x:c>
      <x:c r="B1881" s="31" t="str">
        <x:v>خام_تلگرام</x:v>
      </x:c>
      <x:c r="C1881" s="31" t="str">
        <x:v>B6</x:v>
      </x:c>
      <x:c r="D1881" s="31" t="str">
        <x:v>24.07.2025 20:46:34 UTC+03:30</x:v>
      </x:c>
      <x:c r="E1881" s="31"/>
    </x:row>
    <x:row r="1882" ht="15" hidden="0" customHeight="1">
      <x:c r="A1882" s="31" t="str">
        <x:v>Anjoman accounting - refined.xlsx</x:v>
      </x:c>
      <x:c r="B1882" s="31" t="str">
        <x:v>خام_تلگرام</x:v>
      </x:c>
      <x:c r="C1882" s="31" t="str">
        <x:v>C6</x:v>
      </x:c>
      <x:c r="D1882" s="31" t="str">
        <x:v>امین عزیزی</x:v>
      </x:c>
      <x:c r="E1882" s="31"/>
    </x:row>
    <x:row r="1883" ht="15" hidden="0" customHeight="1">
      <x:c r="A1883" s="31" t="str">
        <x:v>Anjoman accounting - refined.xlsx</x:v>
      </x:c>
      <x:c r="B1883" s="31" t="str">
        <x:v>خام_تلگرام</x:v>
      </x:c>
      <x:c r="C1883" s="31" t="str">
        <x:v>D6</x:v>
      </x:c>
      <x:c r="D1883" s="31" t="str">
        <x:v>ا 20:46 امین عزیزی Animation Not included, change data exporting settings to download. 198.3 KB</x:v>
      </x:c>
      <x:c r="E1883" s="31"/>
    </x:row>
    <x:row r="1884" ht="15" hidden="0" customHeight="1">
      <x:c r="A1884" s="31" t="str">
        <x:v>Anjoman accounting - refined.xlsx</x:v>
      </x:c>
      <x:c r="B1884" s="31" t="str">
        <x:v>خام_تلگرام</x:v>
      </x:c>
      <x:c r="C1884" s="31" t="str">
        <x:v>A7</x:v>
      </x:c>
      <x:c r="D1884" s="31" t="str">
        <x:v>message6</x:v>
      </x:c>
      <x:c r="E1884" s="31"/>
    </x:row>
    <x:row r="1885" ht="15" hidden="0" customHeight="1">
      <x:c r="A1885" s="31" t="str">
        <x:v>Anjoman accounting - refined.xlsx</x:v>
      </x:c>
      <x:c r="B1885" s="31" t="str">
        <x:v>خام_تلگرام</x:v>
      </x:c>
      <x:c r="C1885" s="31" t="str">
        <x:v>B7</x:v>
      </x:c>
      <x:c r="D1885" s="31" t="str">
        <x:v>24.07.2025 20:47:03 UTC+03:30</x:v>
      </x:c>
      <x:c r="E1885" s="31"/>
    </x:row>
    <x:row r="1886" ht="15" hidden="0" customHeight="1">
      <x:c r="A1886" s="31" t="str">
        <x:v>Anjoman accounting - refined.xlsx</x:v>
      </x:c>
      <x:c r="B1886" s="31" t="str">
        <x:v>خام_تلگرام</x:v>
      </x:c>
      <x:c r="C1886" s="31" t="str">
        <x:v>C7</x:v>
      </x:c>
      <x:c r="D1886" s="31" t="str">
        <x:v>Deleted Account</x:v>
      </x:c>
      <x:c r="E1886" s="31"/>
    </x:row>
    <x:row r="1887" ht="15" hidden="0" customHeight="1">
      <x:c r="A1887" s="31" t="str">
        <x:v>Anjoman accounting - refined.xlsx</x:v>
      </x:c>
      <x:c r="B1887" s="31" t="str">
        <x:v>خام_تلگرام</x:v>
      </x:c>
      <x:c r="C1887" s="31" t="str">
        <x:v>D7</x:v>
      </x:c>
      <x:c r="D1887" s="31" t="str">
        <x:v>20:47 Deleted Account report_Python.txt 6.2 KB</x:v>
      </x:c>
      <x:c r="E1887" s="31"/>
    </x:row>
    <x:row r="1888" ht="15" hidden="0" customHeight="1">
      <x:c r="A1888" s="31" t="str">
        <x:v>Anjoman accounting - refined.xlsx</x:v>
      </x:c>
      <x:c r="B1888" s="31" t="str">
        <x:v>خام_تلگرام</x:v>
      </x:c>
      <x:c r="C1888" s="31" t="str">
        <x:v>E7</x:v>
      </x:c>
      <x:c r="D1888" s="31" t="str">
        <x:v>files/report_Python.txt</x:v>
      </x:c>
      <x:c r="E1888" s="31"/>
    </x:row>
    <x:row r="1889" ht="15" hidden="0" customHeight="1">
      <x:c r="A1889" s="31" t="str">
        <x:v>Anjoman accounting - refined.xlsx</x:v>
      </x:c>
      <x:c r="B1889" s="31" t="str">
        <x:v>خام_تلگرام</x:v>
      </x:c>
      <x:c r="C1889" s="31" t="str">
        <x:v>A8</x:v>
      </x:c>
      <x:c r="D1889" s="31" t="str">
        <x:v>message7</x:v>
      </x:c>
      <x:c r="E1889" s="31"/>
    </x:row>
    <x:row r="1890" ht="15" hidden="0" customHeight="1">
      <x:c r="A1890" s="31" t="str">
        <x:v>Anjoman accounting - refined.xlsx</x:v>
      </x:c>
      <x:c r="B1890" s="31" t="str">
        <x:v>خام_تلگرام</x:v>
      </x:c>
      <x:c r="C1890" s="31" t="str">
        <x:v>B8</x:v>
      </x:c>
      <x:c r="D1890" s="31" t="str">
        <x:v>24.07.2025 20:47:03 UTC+03:30</x:v>
      </x:c>
      <x:c r="E1890" s="31"/>
    </x:row>
    <x:row r="1891" ht="15" hidden="0" customHeight="1">
      <x:c r="A1891" s="31" t="str">
        <x:v>Anjoman accounting - refined.xlsx</x:v>
      </x:c>
      <x:c r="B1891" s="31" t="str">
        <x:v>خام_تلگرام</x:v>
      </x:c>
      <x:c r="C1891" s="31" t="str">
        <x:v>D8</x:v>
      </x:c>
      <x:c r="D1891" s="31" t="str">
        <x:v>20:47 report_LaTeX.txt 6.7 KB</x:v>
      </x:c>
      <x:c r="E1891" s="31"/>
    </x:row>
    <x:row r="1892" ht="15" hidden="0" customHeight="1">
      <x:c r="A1892" s="31" t="str">
        <x:v>Anjoman accounting - refined.xlsx</x:v>
      </x:c>
      <x:c r="B1892" s="31" t="str">
        <x:v>خام_تلگرام</x:v>
      </x:c>
      <x:c r="C1892" s="31" t="str">
        <x:v>E8</x:v>
      </x:c>
      <x:c r="D1892" s="31" t="str">
        <x:v>files/report_LaTeX.txt</x:v>
      </x:c>
      <x:c r="E1892" s="31"/>
    </x:row>
    <x:row r="1893" ht="15" hidden="0" customHeight="1">
      <x:c r="A1893" s="31" t="str">
        <x:v>Anjoman accounting - refined.xlsx</x:v>
      </x:c>
      <x:c r="B1893" s="31" t="str">
        <x:v>خام_تلگرام</x:v>
      </x:c>
      <x:c r="C1893" s="31" t="str">
        <x:v>A9</x:v>
      </x:c>
      <x:c r="D1893" s="31" t="str">
        <x:v>message8</x:v>
      </x:c>
      <x:c r="E1893" s="31"/>
    </x:row>
    <x:row r="1894" ht="15" hidden="0" customHeight="1">
      <x:c r="A1894" s="31" t="str">
        <x:v>Anjoman accounting - refined.xlsx</x:v>
      </x:c>
      <x:c r="B1894" s="31" t="str">
        <x:v>خام_تلگرام</x:v>
      </x:c>
      <x:c r="C1894" s="31" t="str">
        <x:v>B9</x:v>
      </x:c>
      <x:c r="D1894" s="31" t="str">
        <x:v>24.07.2025 20:47:03 UTC+03:30</x:v>
      </x:c>
      <x:c r="E1894" s="31"/>
    </x:row>
    <x:row r="1895" ht="15" hidden="0" customHeight="1">
      <x:c r="A1895" s="31" t="str">
        <x:v>Anjoman accounting - refined.xlsx</x:v>
      </x:c>
      <x:c r="B1895" s="31" t="str">
        <x:v>خام_تلگرام</x:v>
      </x:c>
      <x:c r="C1895" s="31" t="str">
        <x:v>D9</x:v>
      </x:c>
      <x:c r="D1895" s="31" t="str">
        <x:v>20:47 report_Mathematica.txt 5.6 KB</x:v>
      </x:c>
      <x:c r="E1895" s="31"/>
    </x:row>
    <x:row r="1896" ht="15" hidden="0" customHeight="1">
      <x:c r="A1896" s="31" t="str">
        <x:v>Anjoman accounting - refined.xlsx</x:v>
      </x:c>
      <x:c r="B1896" s="31" t="str">
        <x:v>خام_تلگرام</x:v>
      </x:c>
      <x:c r="C1896" s="31" t="str">
        <x:v>E9</x:v>
      </x:c>
      <x:c r="D1896" s="31" t="str">
        <x:v>files/report_Mathematica.txt</x:v>
      </x:c>
      <x:c r="E1896" s="31"/>
    </x:row>
    <x:row r="1897" ht="15" hidden="0" customHeight="1">
      <x:c r="A1897" s="31" t="str">
        <x:v>Anjoman accounting - refined.xlsx</x:v>
      </x:c>
      <x:c r="B1897" s="31" t="str">
        <x:v>خام_تلگرام</x:v>
      </x:c>
      <x:c r="C1897" s="31" t="str">
        <x:v>A10</x:v>
      </x:c>
      <x:c r="D1897" s="31" t="str">
        <x:v>message9</x:v>
      </x:c>
      <x:c r="E1897" s="31"/>
    </x:row>
    <x:row r="1898" ht="15" hidden="0" customHeight="1">
      <x:c r="A1898" s="31" t="str">
        <x:v>Anjoman accounting - refined.xlsx</x:v>
      </x:c>
      <x:c r="B1898" s="31" t="str">
        <x:v>خام_تلگرام</x:v>
      </x:c>
      <x:c r="C1898" s="31" t="str">
        <x:v>B10</x:v>
      </x:c>
      <x:c r="D1898" s="31" t="str">
        <x:v>24.07.2025 20:47:07 UTC+03:30</x:v>
      </x:c>
      <x:c r="E1898" s="31"/>
    </x:row>
    <x:row r="1899" ht="15" hidden="0" customHeight="1">
      <x:c r="A1899" s="31" t="str">
        <x:v>Anjoman accounting - refined.xlsx</x:v>
      </x:c>
      <x:c r="B1899" s="31" t="str">
        <x:v>خام_تلگرام</x:v>
      </x:c>
      <x:c r="C1899" s="31" t="str">
        <x:v>D10</x:v>
      </x:c>
      <x:c r="D1899" s="31" t="str">
        <x:v>بنازم روحیه</x:v>
      </x:c>
      <x:c r="E1899" s="31"/>
    </x:row>
    <x:row r="1900" ht="15" hidden="0" customHeight="1">
      <x:c r="A1900" s="31" t="str">
        <x:v>Anjoman accounting - refined.xlsx</x:v>
      </x:c>
      <x:c r="B1900" s="31" t="str">
        <x:v>خام_تلگرام</x:v>
      </x:c>
      <x:c r="C1900" s="31" t="str">
        <x:v>A11</x:v>
      </x:c>
      <x:c r="D1900" s="31" t="str">
        <x:v>message10</x:v>
      </x:c>
      <x:c r="E1900" s="31"/>
    </x:row>
    <x:row r="1901" ht="15" hidden="0" customHeight="1">
      <x:c r="A1901" s="31" t="str">
        <x:v>Anjoman accounting - refined.xlsx</x:v>
      </x:c>
      <x:c r="B1901" s="31" t="str">
        <x:v>خام_تلگرام</x:v>
      </x:c>
      <x:c r="C1901" s="31" t="str">
        <x:v>B11</x:v>
      </x:c>
      <x:c r="D1901" s="31" t="str">
        <x:v>24.07.2025 20:47:12 UTC+03:30</x:v>
      </x:c>
      <x:c r="E1901" s="31"/>
    </x:row>
    <x:row r="1902" ht="15" hidden="0" customHeight="1">
      <x:c r="A1902" s="31" t="str">
        <x:v>Anjoman accounting - refined.xlsx</x:v>
      </x:c>
      <x:c r="B1902" s="31" t="str">
        <x:v>خام_تلگرام</x:v>
      </x:c>
      <x:c r="C1902" s="31" t="str">
        <x:v>D11</x:v>
      </x:c>
      <x:c r="D1902" s="31" t="str">
        <x:v>3480 جو</x:v>
      </x:c>
      <x:c r="E1902" s="31"/>
    </x:row>
    <x:row r="1903" ht="15" hidden="0" customHeight="1">
      <x:c r="A1903" s="31" t="str">
        <x:v>Anjoman accounting - refined.xlsx</x:v>
      </x:c>
      <x:c r="B1903" s="31" t="str">
        <x:v>خام_تلگرام</x:v>
      </x:c>
      <x:c r="C1903" s="31" t="str">
        <x:v>A12</x:v>
      </x:c>
      <x:c r="D1903" s="31" t="str">
        <x:v>message11</x:v>
      </x:c>
      <x:c r="E1903" s="31"/>
    </x:row>
    <x:row r="1904" ht="15" hidden="0" customHeight="1">
      <x:c r="A1904" s="31" t="str">
        <x:v>Anjoman accounting - refined.xlsx</x:v>
      </x:c>
      <x:c r="B1904" s="31" t="str">
        <x:v>خام_تلگرام</x:v>
      </x:c>
      <x:c r="C1904" s="31" t="str">
        <x:v>B12</x:v>
      </x:c>
      <x:c r="D1904" s="31" t="str">
        <x:v>24.07.2025 20:47:34 UTC+03:30</x:v>
      </x:c>
      <x:c r="E1904" s="31"/>
    </x:row>
    <x:row r="1905" ht="15" hidden="0" customHeight="1">
      <x:c r="A1905" s="31" t="str">
        <x:v>Anjoman accounting - refined.xlsx</x:v>
      </x:c>
      <x:c r="B1905" s="31" t="str">
        <x:v>خام_تلگرام</x:v>
      </x:c>
      <x:c r="C1905" s="31" t="str">
        <x:v>C12</x:v>
      </x:c>
      <x:c r="D1905" s="31" t="str">
        <x:v>امین عزیزی</x:v>
      </x:c>
      <x:c r="E1905" s="31"/>
    </x:row>
    <x:row r="1906" ht="15" hidden="0" customHeight="1">
      <x:c r="A1906" s="31" t="str">
        <x:v>Anjoman accounting - refined.xlsx</x:v>
      </x:c>
      <x:c r="B1906" s="31" t="str">
        <x:v>خام_تلگرام</x:v>
      </x:c>
      <x:c r="C1906" s="31" t="str">
        <x:v>D12</x:v>
      </x:c>
      <x:c r="D1906" s="31" t="str">
        <x:v>به هر مدرس چقدر میدیم؟</x:v>
      </x:c>
      <x:c r="E1906" s="31"/>
    </x:row>
    <x:row r="1907" ht="15" hidden="0" customHeight="1">
      <x:c r="A1907" s="31" t="str">
        <x:v>Anjoman accounting - refined.xlsx</x:v>
      </x:c>
      <x:c r="B1907" s="31" t="str">
        <x:v>خام_تلگرام</x:v>
      </x:c>
      <x:c r="C1907" s="31" t="str">
        <x:v>A13</x:v>
      </x:c>
      <x:c r="D1907" s="31" t="str">
        <x:v>message12</x:v>
      </x:c>
      <x:c r="E1907" s="31"/>
    </x:row>
    <x:row r="1908" ht="15" hidden="0" customHeight="1">
      <x:c r="A1908" s="31" t="str">
        <x:v>Anjoman accounting - refined.xlsx</x:v>
      </x:c>
      <x:c r="B1908" s="31" t="str">
        <x:v>خام_تلگرام</x:v>
      </x:c>
      <x:c r="C1908" s="31" t="str">
        <x:v>B13</x:v>
      </x:c>
      <x:c r="D1908" s="31" t="str">
        <x:v>24.07.2025 20:47:42 UTC+03:30</x:v>
      </x:c>
      <x:c r="E1908" s="31"/>
    </x:row>
    <x:row r="1909" ht="15" hidden="0" customHeight="1">
      <x:c r="A1909" s="31" t="str">
        <x:v>Anjoman accounting - refined.xlsx</x:v>
      </x:c>
      <x:c r="B1909" s="31" t="str">
        <x:v>خام_تلگرام</x:v>
      </x:c>
      <x:c r="C1909" s="31" t="str">
        <x:v>C13</x:v>
      </x:c>
      <x:c r="D1909" s="31" t="str">
        <x:v>Deleted Account</x:v>
      </x:c>
      <x:c r="E1909" s="31"/>
    </x:row>
    <x:row r="1910" ht="15" hidden="0" customHeight="1">
      <x:c r="A1910" s="31" t="str">
        <x:v>Anjoman accounting - refined.xlsx</x:v>
      </x:c>
      <x:c r="B1910" s="31" t="str">
        <x:v>خام_تلگرام</x:v>
      </x:c>
      <x:c r="C1910" s="31" t="str">
        <x:v>D13</x:v>
      </x:c>
      <x:c r="D1910" s="31" t="str">
        <x:v>2934 سهراب</x:v>
      </x:c>
      <x:c r="E1910" s="31"/>
    </x:row>
    <x:row r="1911" ht="15" hidden="0" customHeight="1">
      <x:c r="A1911" s="31" t="str">
        <x:v>Anjoman accounting - refined.xlsx</x:v>
      </x:c>
      <x:c r="B1911" s="31" t="str">
        <x:v>خام_تلگرام</x:v>
      </x:c>
      <x:c r="C1911" s="31" t="str">
        <x:v>A14</x:v>
      </x:c>
      <x:c r="D1911" s="31" t="str">
        <x:v>message13</x:v>
      </x:c>
      <x:c r="E1911" s="31"/>
    </x:row>
    <x:row r="1912" ht="15" hidden="0" customHeight="1">
      <x:c r="A1912" s="31" t="str">
        <x:v>Anjoman accounting - refined.xlsx</x:v>
      </x:c>
      <x:c r="B1912" s="31" t="str">
        <x:v>خام_تلگرام</x:v>
      </x:c>
      <x:c r="C1912" s="31" t="str">
        <x:v>B14</x:v>
      </x:c>
      <x:c r="D1912" s="31" t="str">
        <x:v>24.07.2025 20:48:09 UTC+03:30</x:v>
      </x:c>
      <x:c r="E1912" s="31"/>
    </x:row>
    <x:row r="1913" ht="15" hidden="0" customHeight="1">
      <x:c r="A1913" s="31" t="str">
        <x:v>Anjoman accounting - refined.xlsx</x:v>
      </x:c>
      <x:c r="B1913" s="31" t="str">
        <x:v>خام_تلگرام</x:v>
      </x:c>
      <x:c r="C1913" s="31" t="str">
        <x:v>D14</x:v>
      </x:c>
      <x:c r="D1913" s="31" t="str">
        <x:v>3678 متین</x:v>
      </x:c>
      <x:c r="E1913" s="31"/>
    </x:row>
    <x:row r="1914" ht="15" hidden="0" customHeight="1">
      <x:c r="A1914" s="31" t="str">
        <x:v>Anjoman accounting - refined.xlsx</x:v>
      </x:c>
      <x:c r="B1914" s="31" t="str">
        <x:v>خام_تلگرام</x:v>
      </x:c>
      <x:c r="C1914" s="31" t="str">
        <x:v>A15</x:v>
      </x:c>
      <x:c r="D1914" s="31" t="str">
        <x:v>message14</x:v>
      </x:c>
      <x:c r="E1914" s="31"/>
    </x:row>
    <x:row r="1915" ht="15" hidden="0" customHeight="1">
      <x:c r="A1915" s="31" t="str">
        <x:v>Anjoman accounting - refined.xlsx</x:v>
      </x:c>
      <x:c r="B1915" s="31" t="str">
        <x:v>خام_تلگرام</x:v>
      </x:c>
      <x:c r="C1915" s="31" t="str">
        <x:v>B15</x:v>
      </x:c>
      <x:c r="D1915" s="31" t="str">
        <x:v>24.07.2025 20:48:20 UTC+03:30</x:v>
      </x:c>
      <x:c r="E1915" s="31"/>
    </x:row>
    <x:row r="1916" ht="15" hidden="0" customHeight="1">
      <x:c r="A1916" s="31" t="str">
        <x:v>Anjoman accounting - refined.xlsx</x:v>
      </x:c>
      <x:c r="B1916" s="31" t="str">
        <x:v>خام_تلگرام</x:v>
      </x:c>
      <x:c r="C1916" s="31" t="str">
        <x:v>D15</x:v>
      </x:c>
      <x:c r="D1916" s="31" t="str">
        <x:v>همرو تا صد تومن گرد میکنیم</x:v>
      </x:c>
      <x:c r="E1916" s="31"/>
    </x:row>
    <x:row r="1917" ht="15" hidden="0" customHeight="1">
      <x:c r="A1917" s="31" t="str">
        <x:v>Anjoman accounting - refined.xlsx</x:v>
      </x:c>
      <x:c r="B1917" s="31" t="str">
        <x:v>خام_تلگرام</x:v>
      </x:c>
      <x:c r="C1917" s="31" t="str">
        <x:v>A16</x:v>
      </x:c>
      <x:c r="D1917" s="31" t="str">
        <x:v>message15</x:v>
      </x:c>
      <x:c r="E1917" s="31"/>
    </x:row>
    <x:row r="1918" ht="15" hidden="0" customHeight="1">
      <x:c r="A1918" s="31" t="str">
        <x:v>Anjoman accounting - refined.xlsx</x:v>
      </x:c>
      <x:c r="B1918" s="31" t="str">
        <x:v>خام_تلگرام</x:v>
      </x:c>
      <x:c r="C1918" s="31" t="str">
        <x:v>B16</x:v>
      </x:c>
      <x:c r="D1918" s="31" t="str">
        <x:v>24.07.2025 20:48:50 UTC+03:30</x:v>
      </x:c>
      <x:c r="E1918" s="31"/>
    </x:row>
    <x:row r="1919" ht="15" hidden="0" customHeight="1">
      <x:c r="A1919" s="31" t="str">
        <x:v>Anjoman accounting - refined.xlsx</x:v>
      </x:c>
      <x:c r="B1919" s="31" t="str">
        <x:v>خام_تلگرام</x:v>
      </x:c>
      <x:c r="C1919" s="31" t="str">
        <x:v>D16</x:v>
      </x:c>
      <x:c r="D1919" s="31" t="str">
        <x:v>از همین الان یه شیت تراز مالی با یه شیت حساب پرداختنی دریافتنی</x:v>
      </x:c>
      <x:c r="E1919" s="31"/>
    </x:row>
    <x:row r="1920" ht="15" hidden="0" customHeight="1">
      <x:c r="A1920" s="31" t="str">
        <x:v>Anjoman accounting - refined.xlsx</x:v>
      </x:c>
      <x:c r="B1920" s="31" t="str">
        <x:v>خام_تلگرام</x:v>
      </x:c>
      <x:c r="C1920" s="31" t="str">
        <x:v>A17</x:v>
      </x:c>
      <x:c r="D1920" s="31" t="str">
        <x:v>message16</x:v>
      </x:c>
      <x:c r="E1920" s="31"/>
    </x:row>
    <x:row r="1921" ht="15" hidden="0" customHeight="1">
      <x:c r="A1921" s="31" t="str">
        <x:v>Anjoman accounting - refined.xlsx</x:v>
      </x:c>
      <x:c r="B1921" s="31" t="str">
        <x:v>خام_تلگرام</x:v>
      </x:c>
      <x:c r="C1921" s="31" t="str">
        <x:v>B17</x:v>
      </x:c>
      <x:c r="D1921" s="31" t="str">
        <x:v>24.07.2025 20:48:53 UTC+03:30</x:v>
      </x:c>
      <x:c r="E1921" s="31"/>
    </x:row>
    <x:row r="1922" ht="15" hidden="0" customHeight="1">
      <x:c r="A1922" s="31" t="str">
        <x:v>Anjoman accounting - refined.xlsx</x:v>
      </x:c>
      <x:c r="B1922" s="31" t="str">
        <x:v>خام_تلگرام</x:v>
      </x:c>
      <x:c r="C1922" s="31" t="str">
        <x:v>D17</x:v>
      </x:c>
      <x:c r="D1922" s="31" t="str">
        <x:v>بزن تو کارش</x:v>
      </x:c>
      <x:c r="E1922" s="31"/>
    </x:row>
    <x:row r="1923" ht="15" hidden="0" customHeight="1">
      <x:c r="A1923" s="31" t="str">
        <x:v>Anjoman accounting - refined.xlsx</x:v>
      </x:c>
      <x:c r="B1923" s="31" t="str">
        <x:v>خام_تلگرام</x:v>
      </x:c>
      <x:c r="C1923" s="31" t="str">
        <x:v>A18</x:v>
      </x:c>
      <x:c r="D1923" s="31" t="str">
        <x:v>message17</x:v>
      </x:c>
      <x:c r="E1923" s="31"/>
    </x:row>
    <x:row r="1924" ht="15" hidden="0" customHeight="1">
      <x:c r="A1924" s="31" t="str">
        <x:v>Anjoman accounting - refined.xlsx</x:v>
      </x:c>
      <x:c r="B1924" s="31" t="str">
        <x:v>خام_تلگرام</x:v>
      </x:c>
      <x:c r="C1924" s="31" t="str">
        <x:v>B18</x:v>
      </x:c>
      <x:c r="D1924" s="31" t="str">
        <x:v>24.07.2025 20:49:04 UTC+03:30</x:v>
      </x:c>
      <x:c r="E1924" s="31"/>
    </x:row>
    <x:row r="1925" ht="15" hidden="0" customHeight="1">
      <x:c r="A1925" s="31" t="str">
        <x:v>Anjoman accounting - refined.xlsx</x:v>
      </x:c>
      <x:c r="B1925" s="31" t="str">
        <x:v>خام_تلگرام</x:v>
      </x:c>
      <x:c r="C1925" s="31" t="str">
        <x:v>D18</x:v>
      </x:c>
      <x:c r="D1925" s="31" t="str">
        <x:v>اینا رو بلدی</x:v>
      </x:c>
      <x:c r="E1925" s="31"/>
    </x:row>
    <x:row r="1926" ht="15" hidden="0" customHeight="1">
      <x:c r="A1926" s="31" t="str">
        <x:v>Anjoman accounting - refined.xlsx</x:v>
      </x:c>
      <x:c r="B1926" s="31" t="str">
        <x:v>خام_تلگرام</x:v>
      </x:c>
      <x:c r="C1926" s="31" t="str">
        <x:v>A19</x:v>
      </x:c>
      <x:c r="D1926" s="31" t="str">
        <x:v>message18</x:v>
      </x:c>
      <x:c r="E1926" s="31"/>
    </x:row>
    <x:row r="1927" ht="15" hidden="0" customHeight="1">
      <x:c r="A1927" s="31" t="str">
        <x:v>Anjoman accounting - refined.xlsx</x:v>
      </x:c>
      <x:c r="B1927" s="31" t="str">
        <x:v>خام_تلگرام</x:v>
      </x:c>
      <x:c r="C1927" s="31" t="str">
        <x:v>B19</x:v>
      </x:c>
      <x:c r="D1927" s="31" t="str">
        <x:v>24.07.2025 20:49:04 UTC+03:30</x:v>
      </x:c>
      <x:c r="E1927" s="31"/>
    </x:row>
    <x:row r="1928" ht="15" hidden="0" customHeight="1">
      <x:c r="A1928" s="31" t="str">
        <x:v>Anjoman accounting - refined.xlsx</x:v>
      </x:c>
      <x:c r="B1928" s="31" t="str">
        <x:v>خام_تلگرام</x:v>
      </x:c>
      <x:c r="C1928" s="31" t="str">
        <x:v>C19</x:v>
      </x:c>
      <x:c r="D1928" s="31" t="str">
        <x:v>امین عزیزی</x:v>
      </x:c>
      <x:c r="E1928" s="31"/>
    </x:row>
    <x:row r="1929" ht="15" hidden="0" customHeight="1">
      <x:c r="A1929" s="31" t="str">
        <x:v>Anjoman accounting - refined.xlsx</x:v>
      </x:c>
      <x:c r="B1929" s="31" t="str">
        <x:v>خام_تلگرام</x:v>
      </x:c>
      <x:c r="C1929" s="31" t="str">
        <x:v>D19</x:v>
      </x:c>
      <x:c r="D1929" s="31" t="str">
        <x:v>حله من برسم تهران که نت خوب داشته باشم(قبلاً اینجایی که هستم نت خوب بود) شیت درست میکنم</x:v>
      </x:c>
      <x:c r="E1929" s="31"/>
    </x:row>
    <x:row r="1930" ht="15" hidden="0" customHeight="1">
      <x:c r="A1930" s="31" t="str">
        <x:v>Anjoman accounting - refined.xlsx</x:v>
      </x:c>
      <x:c r="B1930" s="31" t="str">
        <x:v>خام_تلگرام</x:v>
      </x:c>
      <x:c r="C1930" s="31" t="str">
        <x:v>A20</x:v>
      </x:c>
      <x:c r="D1930" s="31" t="str">
        <x:v>message19</x:v>
      </x:c>
      <x:c r="E1930" s="31"/>
    </x:row>
    <x:row r="1931" ht="15" hidden="0" customHeight="1">
      <x:c r="A1931" s="31" t="str">
        <x:v>Anjoman accounting - refined.xlsx</x:v>
      </x:c>
      <x:c r="B1931" s="31" t="str">
        <x:v>خام_تلگرام</x:v>
      </x:c>
      <x:c r="C1931" s="31" t="str">
        <x:v>B20</x:v>
      </x:c>
      <x:c r="D1931" s="31" t="str">
        <x:v>24.07.2025 20:49:19 UTC+03:30</x:v>
      </x:c>
      <x:c r="E1931" s="31"/>
    </x:row>
    <x:row r="1932" ht="15" hidden="0" customHeight="1">
      <x:c r="A1932" s="31" t="str">
        <x:v>Anjoman accounting - refined.xlsx</x:v>
      </x:c>
      <x:c r="B1932" s="31" t="str">
        <x:v>خام_تلگرام</x:v>
      </x:c>
      <x:c r="C1932" s="31" t="str">
        <x:v>C20</x:v>
      </x:c>
      <x:c r="D1932" s="31" t="str">
        <x:v>Deleted Account</x:v>
      </x:c>
      <x:c r="E1932" s="31"/>
    </x:row>
    <x:row r="1933" ht="15" hidden="0" customHeight="1">
      <x:c r="A1933" s="31" t="str">
        <x:v>Anjoman accounting - refined.xlsx</x:v>
      </x:c>
      <x:c r="B1933" s="31" t="str">
        <x:v>خام_تلگرام</x:v>
      </x:c>
      <x:c r="C1933" s="31" t="str">
        <x:v>D20</x:v>
      </x:c>
      <x:c r="D1933" s="31" t="str">
        <x:v>اگه هم بلد نیستی باید به عنوان بیزنس من آینده یاد بگیری</x:v>
      </x:c>
      <x:c r="E1933" s="31"/>
    </x:row>
    <x:row r="1934" ht="15" hidden="0" customHeight="1">
      <x:c r="A1934" s="31" t="str">
        <x:v>Anjoman accounting - refined.xlsx</x:v>
      </x:c>
      <x:c r="B1934" s="31" t="str">
        <x:v>خام_تلگرام</x:v>
      </x:c>
      <x:c r="C1934" s="31" t="str">
        <x:v>A21</x:v>
      </x:c>
      <x:c r="D1934" s="31" t="str">
        <x:v>message20</x:v>
      </x:c>
      <x:c r="E1934" s="31"/>
    </x:row>
    <x:row r="1935" ht="15" hidden="0" customHeight="1">
      <x:c r="A1935" s="31" t="str">
        <x:v>Anjoman accounting - refined.xlsx</x:v>
      </x:c>
      <x:c r="B1935" s="31" t="str">
        <x:v>خام_تلگرام</x:v>
      </x:c>
      <x:c r="C1935" s="31" t="str">
        <x:v>B21</x:v>
      </x:c>
      <x:c r="D1935" s="31" t="str">
        <x:v>24.07.2025 20:49:23 UTC+03:30</x:v>
      </x:c>
      <x:c r="E1935" s="31"/>
    </x:row>
    <x:row r="1936" ht="15" hidden="0" customHeight="1">
      <x:c r="A1936" s="31" t="str">
        <x:v>Anjoman accounting - refined.xlsx</x:v>
      </x:c>
      <x:c r="B1936" s="31" t="str">
        <x:v>خام_تلگرام</x:v>
      </x:c>
      <x:c r="C1936" s="31" t="str">
        <x:v>D21</x:v>
      </x:c>
      <x:c r="D1936" s="31" t="str">
        <x:v>بنازم</x:v>
      </x:c>
      <x:c r="E1936" s="31"/>
    </x:row>
    <x:row r="1937" ht="15" hidden="0" customHeight="1">
      <x:c r="A1937" s="31" t="str">
        <x:v>Anjoman accounting - refined.xlsx</x:v>
      </x:c>
      <x:c r="B1937" s="31" t="str">
        <x:v>خام_تلگرام</x:v>
      </x:c>
      <x:c r="C1937" s="31" t="str">
        <x:v>A22</x:v>
      </x:c>
      <x:c r="D1937" s="31" t="str">
        <x:v>message21</x:v>
      </x:c>
      <x:c r="E1937" s="31"/>
    </x:row>
    <x:row r="1938" ht="15" hidden="0" customHeight="1">
      <x:c r="A1938" s="31" t="str">
        <x:v>Anjoman accounting - refined.xlsx</x:v>
      </x:c>
      <x:c r="B1938" s="31" t="str">
        <x:v>خام_تلگرام</x:v>
      </x:c>
      <x:c r="C1938" s="31" t="str">
        <x:v>B22</x:v>
      </x:c>
      <x:c r="D1938" s="31" t="str">
        <x:v>24.07.2025 20:49:47 UTC+03:30</x:v>
      </x:c>
      <x:c r="E1938" s="31"/>
    </x:row>
    <x:row r="1939" ht="15" hidden="0" customHeight="1">
      <x:c r="A1939" s="31" t="str">
        <x:v>Anjoman accounting - refined.xlsx</x:v>
      </x:c>
      <x:c r="B1939" s="31" t="str">
        <x:v>خام_تلگرام</x:v>
      </x:c>
      <x:c r="C1939" s="31" t="str">
        <x:v>C22</x:v>
      </x:c>
      <x:c r="D1939" s="31" t="str">
        <x:v>امین عزیزی</x:v>
      </x:c>
      <x:c r="E1939" s="31"/>
    </x:row>
    <x:row r="1940" ht="15" hidden="0" customHeight="1">
      <x:c r="A1940" s="31" t="str">
        <x:v>Anjoman accounting - refined.xlsx</x:v>
      </x:c>
      <x:c r="B1940" s="31" t="str">
        <x:v>خام_تلگرام</x:v>
      </x:c>
      <x:c r="C1940" s="31" t="str">
        <x:v>D22</x:v>
      </x:c>
      <x:c r="D1940" s="31" t="str">
        <x:v>یاد گرفتنش کار سی چهل ثانیه‌ست 👌👌</x:v>
      </x:c>
      <x:c r="E1940" s="31"/>
    </x:row>
    <x:row r="1941" ht="15" hidden="0" customHeight="1">
      <x:c r="A1941" s="31" t="str">
        <x:v>Anjoman accounting - refined.xlsx</x:v>
      </x:c>
      <x:c r="B1941" s="31" t="str">
        <x:v>خام_تلگرام</x:v>
      </x:c>
      <x:c r="C1941" s="31" t="str">
        <x:v>A23</x:v>
      </x:c>
      <x:c r="D1941" s="31" t="str">
        <x:v>message22</x:v>
      </x:c>
      <x:c r="E1941" s="31"/>
    </x:row>
    <x:row r="1942" ht="15" hidden="0" customHeight="1">
      <x:c r="A1942" s="31" t="str">
        <x:v>Anjoman accounting - refined.xlsx</x:v>
      </x:c>
      <x:c r="B1942" s="31" t="str">
        <x:v>خام_تلگرام</x:v>
      </x:c>
      <x:c r="C1942" s="31" t="str">
        <x:v>B23</x:v>
      </x:c>
      <x:c r="D1942" s="31" t="str">
        <x:v>24.07.2025 20:49:56 UTC+03:30</x:v>
      </x:c>
      <x:c r="E1942" s="31"/>
    </x:row>
    <x:row r="1943" ht="15" hidden="0" customHeight="1">
      <x:c r="A1943" s="31" t="str">
        <x:v>Anjoman accounting - refined.xlsx</x:v>
      </x:c>
      <x:c r="B1943" s="31" t="str">
        <x:v>خام_تلگرام</x:v>
      </x:c>
      <x:c r="C1943" s="31" t="str">
        <x:v>D23</x:v>
      </x:c>
      <x:c r="D1943" s="31" t="str">
        <x:v>دوتا دکمه میزنم یاد میگیرم</x:v>
      </x:c>
      <x:c r="E1943" s="31"/>
    </x:row>
    <x:row r="1944" ht="15" hidden="0" customHeight="1">
      <x:c r="A1944" s="31" t="str">
        <x:v>Anjoman accounting - refined.xlsx</x:v>
      </x:c>
      <x:c r="B1944" s="31" t="str">
        <x:v>خام_تلگرام</x:v>
      </x:c>
      <x:c r="C1944" s="31" t="str">
        <x:v>A24</x:v>
      </x:c>
      <x:c r="D1944" s="31" t="str">
        <x:v>message23</x:v>
      </x:c>
      <x:c r="E1944" s="31"/>
    </x:row>
    <x:row r="1945" ht="15" hidden="0" customHeight="1">
      <x:c r="A1945" s="31" t="str">
        <x:v>Anjoman accounting - refined.xlsx</x:v>
      </x:c>
      <x:c r="B1945" s="31" t="str">
        <x:v>خام_تلگرام</x:v>
      </x:c>
      <x:c r="C1945" s="31" t="str">
        <x:v>B24</x:v>
      </x:c>
      <x:c r="D1945" s="31" t="str">
        <x:v>24.07.2025 20:50:53 UTC+03:30</x:v>
      </x:c>
      <x:c r="E1945" s="31"/>
    </x:row>
    <x:row r="1946" ht="15" hidden="0" customHeight="1">
      <x:c r="A1946" s="31" t="str">
        <x:v>Anjoman accounting - refined.xlsx</x:v>
      </x:c>
      <x:c r="B1946" s="31" t="str">
        <x:v>خام_تلگرام</x:v>
      </x:c>
      <x:c r="C1946" s="31" t="str">
        <x:v>C24</x:v>
      </x:c>
      <x:c r="D1946" s="31" t="str">
        <x:v>Deleted Account</x:v>
      </x:c>
      <x:c r="E1946" s="31"/>
    </x:row>
    <x:row r="1947" ht="15" hidden="0" customHeight="1">
      <x:c r="A1947" s="31" t="str">
        <x:v>Anjoman accounting - refined.xlsx</x:v>
      </x:c>
      <x:c r="B1947" s="31" t="str">
        <x:v>خام_تلگرام</x:v>
      </x:c>
      <x:c r="C1947" s="31" t="str">
        <x:v>D24</x:v>
      </x:c>
      <x:c r="D1947" s="31" t="str">
        <x:v>بنازم</x:v>
      </x:c>
      <x:c r="E1947" s="31"/>
    </x:row>
    <x:row r="1948" ht="15" hidden="0" customHeight="1">
      <x:c r="A1948" s="31" t="str">
        <x:v>Anjoman accounting - refined.xlsx</x:v>
      </x:c>
      <x:c r="B1948" s="31" t="str">
        <x:v>خام_تلگرام</x:v>
      </x:c>
      <x:c r="C1948" s="31" t="str">
        <x:v>A25</x:v>
      </x:c>
      <x:c r="D1948" s="31" t="str">
        <x:v>message24</x:v>
      </x:c>
      <x:c r="E1948" s="31"/>
    </x:row>
    <x:row r="1949" ht="15" hidden="0" customHeight="1">
      <x:c r="A1949" s="31" t="str">
        <x:v>Anjoman accounting - refined.xlsx</x:v>
      </x:c>
      <x:c r="B1949" s="31" t="str">
        <x:v>خام_تلگرام</x:v>
      </x:c>
      <x:c r="C1949" s="31" t="str">
        <x:v>B25</x:v>
      </x:c>
      <x:c r="D1949" s="31" t="str">
        <x:v>24.07.2025 20:51:00 UTC+03:30</x:v>
      </x:c>
      <x:c r="E1949" s="31"/>
    </x:row>
    <x:row r="1950" ht="15" hidden="0" customHeight="1">
      <x:c r="A1950" s="31" t="str">
        <x:v>Anjoman accounting - refined.xlsx</x:v>
      </x:c>
      <x:c r="B1950" s="31" t="str">
        <x:v>خام_تلگرام</x:v>
      </x:c>
      <x:c r="C1950" s="31" t="str">
        <x:v>D25</x:v>
      </x:c>
      <x:c r="D1950" s="31" t="str">
        <x:v>20:51 Animation Not included, change data exporting settings to download. 217.2 KB</x:v>
      </x:c>
      <x:c r="E1950" s="31"/>
    </x:row>
    <x:row r="1951" ht="15" hidden="0" customHeight="1">
      <x:c r="A1951" s="31" t="str">
        <x:v>Anjoman accounting - refined.xlsx</x:v>
      </x:c>
      <x:c r="B1951" s="31" t="str">
        <x:v>خام_تلگرام</x:v>
      </x:c>
      <x:c r="C1951" s="31" t="str">
        <x:v>A26</x:v>
      </x:c>
      <x:c r="D1951" s="31" t="str">
        <x:v>message25</x:v>
      </x:c>
      <x:c r="E1951" s="31"/>
    </x:row>
    <x:row r="1952" ht="15" hidden="0" customHeight="1">
      <x:c r="A1952" s="31" t="str">
        <x:v>Anjoman accounting - refined.xlsx</x:v>
      </x:c>
      <x:c r="B1952" s="31" t="str">
        <x:v>خام_تلگرام</x:v>
      </x:c>
      <x:c r="C1952" s="31" t="str">
        <x:v>B26</x:v>
      </x:c>
      <x:c r="D1952" s="31" t="str">
        <x:v>24.07.2025 21:00:16 UTC+03:30</x:v>
      </x:c>
      <x:c r="E1952" s="31"/>
    </x:row>
    <x:row r="1953" ht="15" hidden="0" customHeight="1">
      <x:c r="A1953" s="31" t="str">
        <x:v>Anjoman accounting - refined.xlsx</x:v>
      </x:c>
      <x:c r="B1953" s="31" t="str">
        <x:v>خام_تلگرام</x:v>
      </x:c>
      <x:c r="C1953" s="31" t="str">
        <x:v>D26</x:v>
      </x:c>
      <x:c r="D1953" s="31" t="str">
        <x:v>واریزی کامل حق‌الزحمه مدرس متمتیکا مدرسه تابستانه</x:v>
      </x:c>
      <x:c r="E1953" s="31"/>
    </x:row>
    <x:row r="1954" ht="15" hidden="0" customHeight="1">
      <x:c r="A1954" s="31" t="str">
        <x:v>Anjoman accounting - refined.xlsx</x:v>
      </x:c>
      <x:c r="B1954" s="31" t="str">
        <x:v>خام_تلگرام</x:v>
      </x:c>
      <x:c r="C1954" s="31" t="str">
        <x:v>E26</x:v>
      </x:c>
      <x:c r="D1954" s="31" t="str">
        <x:v>photos/photo_1@24-07-2025_21-00-16.jpg</x:v>
      </x:c>
      <x:c r="E1954" s="31"/>
    </x:row>
    <x:row r="1955" ht="15" hidden="0" customHeight="1">
      <x:c r="A1955" s="31" t="str">
        <x:v>Anjoman accounting - refined.xlsx</x:v>
      </x:c>
      <x:c r="B1955" s="31" t="str">
        <x:v>خام_تلگرام</x:v>
      </x:c>
      <x:c r="C1955" s="31" t="str">
        <x:v>A27</x:v>
      </x:c>
      <x:c r="D1955" s="31" t="str">
        <x:v>message26</x:v>
      </x:c>
      <x:c r="E1955" s="31"/>
    </x:row>
    <x:row r="1956" ht="15" hidden="0" customHeight="1">
      <x:c r="A1956" s="31" t="str">
        <x:v>Anjoman accounting - refined.xlsx</x:v>
      </x:c>
      <x:c r="B1956" s="31" t="str">
        <x:v>خام_تلگرام</x:v>
      </x:c>
      <x:c r="C1956" s="31" t="str">
        <x:v>B27</x:v>
      </x:c>
      <x:c r="D1956" s="31" t="str">
        <x:v>24.07.2025 21:00:17 UTC+03:30</x:v>
      </x:c>
      <x:c r="E1956" s="31"/>
    </x:row>
    <x:row r="1957" ht="15" hidden="0" customHeight="1">
      <x:c r="A1957" s="31" t="str">
        <x:v>Anjoman accounting - refined.xlsx</x:v>
      </x:c>
      <x:c r="B1957" s="31" t="str">
        <x:v>خام_تلگرام</x:v>
      </x:c>
      <x:c r="C1957" s="31" t="str">
        <x:v>D27</x:v>
      </x:c>
      <x:c r="D1957" s="31" t="str">
        <x:v>واریزی و تسویه کامل حق‌الزحمه مدرس پایتون مدرسه تابستانه</x:v>
      </x:c>
      <x:c r="E1957" s="31"/>
    </x:row>
    <x:row r="1958" ht="15" hidden="0" customHeight="1">
      <x:c r="A1958" s="31" t="str">
        <x:v>Anjoman accounting - refined.xlsx</x:v>
      </x:c>
      <x:c r="B1958" s="31" t="str">
        <x:v>خام_تلگرام</x:v>
      </x:c>
      <x:c r="C1958" s="31" t="str">
        <x:v>E27</x:v>
      </x:c>
      <x:c r="D1958" s="31" t="str">
        <x:v>photos/photo_2@24-07-2025_21-00-17.jpg</x:v>
      </x:c>
      <x:c r="E1958" s="31"/>
    </x:row>
    <x:row r="1959" ht="15" hidden="0" customHeight="1">
      <x:c r="A1959" s="31" t="str">
        <x:v>Anjoman accounting - refined.xlsx</x:v>
      </x:c>
      <x:c r="B1959" s="31" t="str">
        <x:v>خام_تلگرام</x:v>
      </x:c>
      <x:c r="C1959" s="31" t="str">
        <x:v>A28</x:v>
      </x:c>
      <x:c r="D1959" s="31" t="str">
        <x:v>message27</x:v>
      </x:c>
      <x:c r="E1959" s="31"/>
    </x:row>
    <x:row r="1960" ht="15" hidden="0" customHeight="1">
      <x:c r="A1960" s="31" t="str">
        <x:v>Anjoman accounting - refined.xlsx</x:v>
      </x:c>
      <x:c r="B1960" s="31" t="str">
        <x:v>خام_تلگرام</x:v>
      </x:c>
      <x:c r="C1960" s="31" t="str">
        <x:v>B28</x:v>
      </x:c>
      <x:c r="D1960" s="31" t="str">
        <x:v>24.07.2025 21:02:51 UTC+03:30</x:v>
      </x:c>
      <x:c r="E1960" s="31"/>
    </x:row>
    <x:row r="1961" ht="15" hidden="0" customHeight="1">
      <x:c r="A1961" s="31" t="str">
        <x:v>Anjoman accounting - refined.xlsx</x:v>
      </x:c>
      <x:c r="B1961" s="31" t="str">
        <x:v>خام_تلگرام</x:v>
      </x:c>
      <x:c r="C1961" s="31" t="str">
        <x:v>D28</x:v>
      </x:c>
      <x:c r="D1961" s="31" t="str">
        <x:v>واریزی و تسویه کامل حق‌الزحمه مدرس لتک مدرسه تابستانه</x:v>
      </x:c>
      <x:c r="E1961" s="31"/>
    </x:row>
    <x:row r="1962" ht="15" hidden="0" customHeight="1">
      <x:c r="A1962" s="31" t="str">
        <x:v>Anjoman accounting - refined.xlsx</x:v>
      </x:c>
      <x:c r="B1962" s="31" t="str">
        <x:v>خام_تلگرام</x:v>
      </x:c>
      <x:c r="C1962" s="31" t="str">
        <x:v>E28</x:v>
      </x:c>
      <x:c r="D1962" s="31" t="str">
        <x:v>photos/photo_3@24-07-2025_21-02-51.jpg</x:v>
      </x:c>
      <x:c r="E1962" s="31"/>
    </x:row>
    <x:row r="1963" ht="15" hidden="0" customHeight="1">
      <x:c r="A1963" s="31" t="str">
        <x:v>Anjoman accounting - refined.xlsx</x:v>
      </x:c>
      <x:c r="B1963" s="31" t="str">
        <x:v>خام_تلگرام</x:v>
      </x:c>
      <x:c r="C1963" s="31" t="str">
        <x:v>A29</x:v>
      </x:c>
      <x:c r="D1963" s="31" t="str">
        <x:v>message28</x:v>
      </x:c>
      <x:c r="E1963" s="31"/>
    </x:row>
    <x:row r="1964" ht="15" hidden="0" customHeight="1">
      <x:c r="A1964" s="31" t="str">
        <x:v>Anjoman accounting - refined.xlsx</x:v>
      </x:c>
      <x:c r="B1964" s="31" t="str">
        <x:v>خام_تلگرام</x:v>
      </x:c>
      <x:c r="C1964" s="31" t="str">
        <x:v>B29</x:v>
      </x:c>
      <x:c r="D1964" s="31" t="str">
        <x:v>24.07.2025 21:02:54 UTC+03:30</x:v>
      </x:c>
      <x:c r="E1964" s="31"/>
    </x:row>
    <x:row r="1965" ht="15" hidden="0" customHeight="1">
      <x:c r="A1965" s="31" t="str">
        <x:v>Anjoman accounting - refined.xlsx</x:v>
      </x:c>
      <x:c r="B1965" s="31" t="str">
        <x:v>خام_تلگرام</x:v>
      </x:c>
      <x:c r="C1965" s="31" t="str">
        <x:v>D29</x:v>
      </x:c>
      <x:c r="D1965" s="31" t="str">
        <x:v>*بانک شهر* سرويس پرداخت لحظه اي (پل) برداشت از:400816808774 مبلغ:37,000,000ريال موجودي:230,203,965 ريال 1404/05/2 21:01:41</x:v>
      </x:c>
      <x:c r="E1965" s="31"/>
    </x:row>
    <x:row r="1966" ht="15" hidden="0" customHeight="1">
      <x:c r="A1966" s="31" t="str">
        <x:v>Anjoman accounting - refined.xlsx</x:v>
      </x:c>
      <x:c r="B1966" s="31" t="str">
        <x:v>خام_تلگرام</x:v>
      </x:c>
      <x:c r="C1966" s="31" t="str">
        <x:v>A30</x:v>
      </x:c>
      <x:c r="D1966" s="31" t="str">
        <x:v>message-2</x:v>
      </x:c>
      <x:c r="E1966" s="31"/>
    </x:row>
    <x:row r="1967" ht="15" hidden="0" customHeight="1">
      <x:c r="A1967" s="31" t="str">
        <x:v>Anjoman accounting - refined.xlsx</x:v>
      </x:c>
      <x:c r="B1967" s="31" t="str">
        <x:v>خام_تلگرام</x:v>
      </x:c>
      <x:c r="C1967" s="31" t="str">
        <x:v>D30</x:v>
      </x:c>
      <x:c r="D1967" s="31" t="str">
        <x:v>25 July 2025</x:v>
      </x:c>
      <x:c r="E1967" s="31"/>
    </x:row>
    <x:row r="1968" ht="15" hidden="0" customHeight="1">
      <x:c r="A1968" s="31" t="str">
        <x:v>Anjoman accounting - refined.xlsx</x:v>
      </x:c>
      <x:c r="B1968" s="31" t="str">
        <x:v>خام_تلگرام</x:v>
      </x:c>
      <x:c r="C1968" s="31" t="str">
        <x:v>A31</x:v>
      </x:c>
      <x:c r="D1968" s="31" t="str">
        <x:v>message29</x:v>
      </x:c>
      <x:c r="E1968" s="31"/>
    </x:row>
    <x:row r="1969" ht="15" hidden="0" customHeight="1">
      <x:c r="A1969" s="31" t="str">
        <x:v>Anjoman accounting - refined.xlsx</x:v>
      </x:c>
      <x:c r="B1969" s="31" t="str">
        <x:v>خام_تلگرام</x:v>
      </x:c>
      <x:c r="C1969" s="31" t="str">
        <x:v>B31</x:v>
      </x:c>
      <x:c r="D1969" s="31" t="str">
        <x:v>25.07.2025 04:04:24 UTC+03:30</x:v>
      </x:c>
      <x:c r="E1969" s="31"/>
    </x:row>
    <x:row r="1970" ht="15" hidden="0" customHeight="1">
      <x:c r="A1970" s="31" t="str">
        <x:v>Anjoman accounting - refined.xlsx</x:v>
      </x:c>
      <x:c r="B1970" s="31" t="str">
        <x:v>خام_تلگرام</x:v>
      </x:c>
      <x:c r="C1970" s="31" t="str">
        <x:v>C31</x:v>
      </x:c>
      <x:c r="D1970" s="31" t="str">
        <x:v>Deleted Account</x:v>
      </x:c>
      <x:c r="E1970" s="31"/>
    </x:row>
    <x:row r="1971" ht="15" hidden="0" customHeight="1">
      <x:c r="A1971" s="31" t="str">
        <x:v>Anjoman accounting - refined.xlsx</x:v>
      </x:c>
      <x:c r="B1971" s="31" t="str">
        <x:v>خام_تلگرام</x:v>
      </x:c>
      <x:c r="C1971" s="31" t="str">
        <x:v>D31</x:v>
      </x:c>
      <x:c r="D1971" s="31" t="str">
        <x:v>واریزی حق الزحمه تی‌ای و فرم و شیت ابراهیم خسروانی مدرسه تابستانه</x:v>
      </x:c>
      <x:c r="E1971" s="31"/>
    </x:row>
    <x:row r="1972" ht="15" hidden="0" customHeight="1">
      <x:c r="A1972" s="31" t="str">
        <x:v>Anjoman accounting - refined.xlsx</x:v>
      </x:c>
      <x:c r="B1972" s="31" t="str">
        <x:v>خام_تلگرام</x:v>
      </x:c>
      <x:c r="C1972" s="31" t="str">
        <x:v>E31</x:v>
      </x:c>
      <x:c r="D1972" s="31" t="str">
        <x:v>photos/photo_4@25-07-2025_04-04-24.jpg</x:v>
      </x:c>
      <x:c r="E1972" s="31"/>
    </x:row>
    <x:row r="1973" ht="15" hidden="0" customHeight="1">
      <x:c r="A1973" s="31" t="str">
        <x:v>Anjoman accounting - refined.xlsx</x:v>
      </x:c>
      <x:c r="B1973" s="31" t="str">
        <x:v>خام_تلگرام</x:v>
      </x:c>
      <x:c r="C1973" s="31" t="str">
        <x:v>A32</x:v>
      </x:c>
      <x:c r="D1973" s="31" t="str">
        <x:v>message30</x:v>
      </x:c>
      <x:c r="E1973" s="31"/>
    </x:row>
    <x:row r="1974" ht="15" hidden="0" customHeight="1">
      <x:c r="A1974" s="31" t="str">
        <x:v>Anjoman accounting - refined.xlsx</x:v>
      </x:c>
      <x:c r="B1974" s="31" t="str">
        <x:v>خام_تلگرام</x:v>
      </x:c>
      <x:c r="C1974" s="31" t="str">
        <x:v>B32</x:v>
      </x:c>
      <x:c r="D1974" s="31" t="str">
        <x:v>25.07.2025 04:08:41 UTC+03:30</x:v>
      </x:c>
      <x:c r="E1974" s="31"/>
    </x:row>
    <x:row r="1975" ht="15" hidden="0" customHeight="1">
      <x:c r="A1975" s="31" t="str">
        <x:v>Anjoman accounting - refined.xlsx</x:v>
      </x:c>
      <x:c r="B1975" s="31" t="str">
        <x:v>خام_تلگرام</x:v>
      </x:c>
      <x:c r="C1975" s="31" t="str">
        <x:v>D32</x:v>
      </x:c>
      <x:c r="D1975" s="31" t="str">
        <x:v>واریزی حق‌الزحمه ثبت نامی و تی ای پایتون مدرسه تابستانه سپهر طلائی</x:v>
      </x:c>
      <x:c r="E1975" s="31"/>
    </x:row>
    <x:row r="1976" ht="15" hidden="0" customHeight="1">
      <x:c r="A1976" s="31" t="str">
        <x:v>Anjoman accounting - refined.xlsx</x:v>
      </x:c>
      <x:c r="B1976" s="31" t="str">
        <x:v>خام_تلگرام</x:v>
      </x:c>
      <x:c r="C1976" s="31" t="str">
        <x:v>E32</x:v>
      </x:c>
      <x:c r="D1976" s="31" t="str">
        <x:v>photos/photo_5@25-07-2025_04-08-41.jpg</x:v>
      </x:c>
      <x:c r="E1976" s="31"/>
    </x:row>
    <x:row r="1977" ht="15" hidden="0" customHeight="1">
      <x:c r="A1977" s="31" t="str">
        <x:v>Anjoman accounting - refined.xlsx</x:v>
      </x:c>
      <x:c r="B1977" s="31" t="str">
        <x:v>خام_تلگرام</x:v>
      </x:c>
      <x:c r="C1977" s="31" t="str">
        <x:v>A33</x:v>
      </x:c>
      <x:c r="D1977" s="31" t="str">
        <x:v>message31</x:v>
      </x:c>
      <x:c r="E1977" s="31"/>
    </x:row>
    <x:row r="1978" ht="15" hidden="0" customHeight="1">
      <x:c r="A1978" s="31" t="str">
        <x:v>Anjoman accounting - refined.xlsx</x:v>
      </x:c>
      <x:c r="B1978" s="31" t="str">
        <x:v>خام_تلگرام</x:v>
      </x:c>
      <x:c r="C1978" s="31" t="str">
        <x:v>B33</x:v>
      </x:c>
      <x:c r="D1978" s="31" t="str">
        <x:v>25.07.2025 15:53:39 UTC+03:30</x:v>
      </x:c>
      <x:c r="E1978" s="31"/>
    </x:row>
    <x:row r="1979" ht="15" hidden="0" customHeight="1">
      <x:c r="A1979" s="31" t="str">
        <x:v>Anjoman accounting - refined.xlsx</x:v>
      </x:c>
      <x:c r="B1979" s="31" t="str">
        <x:v>خام_تلگرام</x:v>
      </x:c>
      <x:c r="C1979" s="31" t="str">
        <x:v>C33</x:v>
      </x:c>
      <x:c r="D1979" s="31" t="str">
        <x:v>Deleted Account</x:v>
      </x:c>
      <x:c r="E1979" s="31"/>
    </x:row>
    <x:row r="1980" ht="15" hidden="0" customHeight="1">
      <x:c r="A1980" s="31" t="str">
        <x:v>Anjoman accounting - refined.xlsx</x:v>
      </x:c>
      <x:c r="B1980" s="31" t="str">
        <x:v>خام_تلگرام</x:v>
      </x:c>
      <x:c r="C1980" s="31" t="str">
        <x:v>D33</x:v>
      </x:c>
      <x:c r="D1980" s="31" t="str">
        <x:v>واریزی حق‌الزحمه امین عزیزی فرآیند ثبت نامی حسابداری و تی ای پایتون مدرسه تابستانه</x:v>
      </x:c>
      <x:c r="E1980" s="31"/>
    </x:row>
    <x:row r="1981" ht="15" hidden="0" customHeight="1">
      <x:c r="A1981" s="31" t="str">
        <x:v>Anjoman accounting - refined.xlsx</x:v>
      </x:c>
      <x:c r="B1981" s="31" t="str">
        <x:v>خام_تلگرام</x:v>
      </x:c>
      <x:c r="C1981" s="31" t="str">
        <x:v>E33</x:v>
      </x:c>
      <x:c r="D1981" s="31" t="str">
        <x:v>photos/photo_6@25-07-2025_15-53-39.jpg</x:v>
      </x:c>
      <x:c r="E1981" s="31"/>
    </x:row>
    <x:row r="1982" ht="15" hidden="0" customHeight="1">
      <x:c r="A1982" s="31" t="str">
        <x:v>Anjoman accounting - refined.xlsx</x:v>
      </x:c>
      <x:c r="B1982" s="31" t="str">
        <x:v>خام_تلگرام</x:v>
      </x:c>
      <x:c r="C1982" s="31" t="str">
        <x:v>A34</x:v>
      </x:c>
      <x:c r="D1982" s="31" t="str">
        <x:v>message32</x:v>
      </x:c>
      <x:c r="E1982" s="31"/>
    </x:row>
    <x:row r="1983" ht="15" hidden="0" customHeight="1">
      <x:c r="A1983" s="31" t="str">
        <x:v>Anjoman accounting - refined.xlsx</x:v>
      </x:c>
      <x:c r="B1983" s="31" t="str">
        <x:v>خام_تلگرام</x:v>
      </x:c>
      <x:c r="C1983" s="31" t="str">
        <x:v>B34</x:v>
      </x:c>
      <x:c r="D1983" s="31" t="str">
        <x:v>25.07.2025 17:26:11 UTC+03:30</x:v>
      </x:c>
      <x:c r="E1983" s="31"/>
    </x:row>
    <x:row r="1984" ht="15" hidden="0" customHeight="1">
      <x:c r="A1984" s="31" t="str">
        <x:v>Anjoman accounting - refined.xlsx</x:v>
      </x:c>
      <x:c r="B1984" s="31" t="str">
        <x:v>خام_تلگرام</x:v>
      </x:c>
      <x:c r="C1984" s="31" t="str">
        <x:v>C34</x:v>
      </x:c>
      <x:c r="D1984" s="31" t="str">
        <x:v>Deleted Account</x:v>
      </x:c>
      <x:c r="E1984" s="31"/>
    </x:row>
    <x:row r="1985" ht="15" hidden="0" customHeight="1">
      <x:c r="A1985" s="31" t="str">
        <x:v>Anjoman accounting - refined.xlsx</x:v>
      </x:c>
      <x:c r="B1985" s="31" t="str">
        <x:v>خام_تلگرام</x:v>
      </x:c>
      <x:c r="C1985" s="31" t="str">
        <x:v>D34</x:v>
      </x:c>
      <x:c r="D1985" s="31" t="str">
        <x:v>*بانک شهر* انتقال وجه کارتي برداشت از:400816808774 مبلغ:6,009,000ريال موجودي:220,589,565 ريال 1404/05/3 15:52:09</x:v>
      </x:c>
      <x:c r="E1985" s="31"/>
    </x:row>
    <x:row r="1986" ht="15" hidden="0" customHeight="1">
      <x:c r="A1986" s="31" t="str">
        <x:v>Anjoman accounting - refined.xlsx</x:v>
      </x:c>
      <x:c r="B1986" s="31" t="str">
        <x:v>خام_تلگرام</x:v>
      </x:c>
      <x:c r="C1986" s="31" t="str">
        <x:v>A35</x:v>
      </x:c>
      <x:c r="D1986" s="31" t="str">
        <x:v>message33</x:v>
      </x:c>
      <x:c r="E1986" s="31"/>
    </x:row>
    <x:row r="1987" ht="15" hidden="0" customHeight="1">
      <x:c r="A1987" s="31" t="str">
        <x:v>Anjoman accounting - refined.xlsx</x:v>
      </x:c>
      <x:c r="B1987" s="31" t="str">
        <x:v>خام_تلگرام</x:v>
      </x:c>
      <x:c r="C1987" s="31" t="str">
        <x:v>B35</x:v>
      </x:c>
      <x:c r="D1987" s="31" t="str">
        <x:v>25.07.2025 17:26:46 UTC+03:30</x:v>
      </x:c>
      <x:c r="E1987" s="31"/>
    </x:row>
    <x:row r="1988" ht="15" hidden="0" customHeight="1">
      <x:c r="A1988" s="31" t="str">
        <x:v>Anjoman accounting - refined.xlsx</x:v>
      </x:c>
      <x:c r="B1988" s="31" t="str">
        <x:v>خام_تلگرام</x:v>
      </x:c>
      <x:c r="C1988" s="31" t="str">
        <x:v>C35</x:v>
      </x:c>
      <x:c r="D1988" s="31" t="str">
        <x:v>امین عزیزی</x:v>
      </x:c>
      <x:c r="E1988" s="31"/>
    </x:row>
    <x:row r="1989" ht="15" hidden="0" customHeight="1">
      <x:c r="A1989" s="31" t="str">
        <x:v>Anjoman accounting - refined.xlsx</x:v>
      </x:c>
      <x:c r="B1989" s="31" t="str">
        <x:v>خام_تلگرام</x:v>
      </x:c>
      <x:c r="C1989" s="31" t="str">
        <x:v>D35</x:v>
      </x:c>
      <x:c r="D1989" s="31" t="str">
        <x:v>به چه شخصی؟</x:v>
      </x:c>
      <x:c r="E1989" s="31"/>
    </x:row>
    <x:row r="1990" ht="15" hidden="0" customHeight="1">
      <x:c r="A1990" s="31" t="str">
        <x:v>Anjoman accounting - refined.xlsx</x:v>
      </x:c>
      <x:c r="B1990" s="31" t="str">
        <x:v>خام_تلگرام</x:v>
      </x:c>
      <x:c r="C1990" s="31" t="str">
        <x:v>A36</x:v>
      </x:c>
      <x:c r="D1990" s="31" t="str">
        <x:v>message34</x:v>
      </x:c>
      <x:c r="E1990" s="31"/>
    </x:row>
    <x:row r="1991" ht="15" hidden="0" customHeight="1">
      <x:c r="A1991" s="31" t="str">
        <x:v>Anjoman accounting - refined.xlsx</x:v>
      </x:c>
      <x:c r="B1991" s="31" t="str">
        <x:v>خام_تلگرام</x:v>
      </x:c>
      <x:c r="C1991" s="31" t="str">
        <x:v>B36</x:v>
      </x:c>
      <x:c r="D1991" s="31" t="str">
        <x:v>25.07.2025 17:34:21 UTC+03:30</x:v>
      </x:c>
      <x:c r="E1991" s="31"/>
    </x:row>
    <x:row r="1992" ht="15" hidden="0" customHeight="1">
      <x:c r="A1992" s="31" t="str">
        <x:v>Anjoman accounting - refined.xlsx</x:v>
      </x:c>
      <x:c r="B1992" s="31" t="str">
        <x:v>خام_تلگرام</x:v>
      </x:c>
      <x:c r="C1992" s="31" t="str">
        <x:v>C36</x:v>
      </x:c>
      <x:c r="D1992" s="31" t="str">
        <x:v>Deleted Account</x:v>
      </x:c>
      <x:c r="E1992" s="31"/>
    </x:row>
    <x:row r="1993" ht="15" hidden="0" customHeight="1">
      <x:c r="A1993" s="31" t="str">
        <x:v>Anjoman accounting - refined.xlsx</x:v>
      </x:c>
      <x:c r="B1993" s="31" t="str">
        <x:v>خام_تلگرام</x:v>
      </x:c>
      <x:c r="C1993" s="31" t="str">
        <x:v>D36</x:v>
      </x:c>
      <x:c r="D1993" s="31" t="str">
        <x:v>این همین اخریه</x:v>
      </x:c>
      <x:c r="E1993" s="31"/>
    </x:row>
    <x:row r="1994" ht="15" hidden="0" customHeight="1">
      <x:c r="A1994" s="31" t="str">
        <x:v>Anjoman accounting - refined.xlsx</x:v>
      </x:c>
      <x:c r="B1994" s="31" t="str">
        <x:v>خام_تلگرام</x:v>
      </x:c>
      <x:c r="C1994" s="31" t="str">
        <x:v>A37</x:v>
      </x:c>
      <x:c r="D1994" s="31" t="str">
        <x:v>message35</x:v>
      </x:c>
      <x:c r="E1994" s="31"/>
    </x:row>
    <x:row r="1995" ht="15" hidden="0" customHeight="1">
      <x:c r="A1995" s="31" t="str">
        <x:v>Anjoman accounting - refined.xlsx</x:v>
      </x:c>
      <x:c r="B1995" s="31" t="str">
        <x:v>خام_تلگرام</x:v>
      </x:c>
      <x:c r="C1995" s="31" t="str">
        <x:v>B37</x:v>
      </x:c>
      <x:c r="D1995" s="31" t="str">
        <x:v>25.07.2025 17:34:31 UTC+03:30</x:v>
      </x:c>
      <x:c r="E1995" s="31"/>
    </x:row>
    <x:row r="1996" ht="15" hidden="0" customHeight="1">
      <x:c r="A1996" s="31" t="str">
        <x:v>Anjoman accounting - refined.xlsx</x:v>
      </x:c>
      <x:c r="B1996" s="31" t="str">
        <x:v>خام_تلگرام</x:v>
      </x:c>
      <x:c r="C1996" s="31" t="str">
        <x:v>D37</x:v>
      </x:c>
      <x:c r="D1996" s="31" t="str">
        <x:v>این موجودی نهایی رو فعلا ثبت کن</x:v>
      </x:c>
      <x:c r="E1996" s="31"/>
    </x:row>
    <x:row r="1997" ht="15" hidden="0" customHeight="1">
      <x:c r="A1997" s="31" t="str">
        <x:v>Anjoman accounting - refined.xlsx</x:v>
      </x:c>
      <x:c r="B1997" s="31" t="str">
        <x:v>خام_تلگرام</x:v>
      </x:c>
      <x:c r="C1997" s="31" t="str">
        <x:v>A38</x:v>
      </x:c>
      <x:c r="D1997" s="31" t="str">
        <x:v>message-3</x:v>
      </x:c>
      <x:c r="E1997" s="31"/>
    </x:row>
    <x:row r="1998" ht="15" hidden="0" customHeight="1">
      <x:c r="A1998" s="31" t="str">
        <x:v>Anjoman accounting - refined.xlsx</x:v>
      </x:c>
      <x:c r="B1998" s="31" t="str">
        <x:v>خام_تلگرام</x:v>
      </x:c>
      <x:c r="C1998" s="31" t="str">
        <x:v>D38</x:v>
      </x:c>
      <x:c r="D1998" s="31" t="str">
        <x:v>26 July 2025</x:v>
      </x:c>
      <x:c r="E1998" s="31"/>
    </x:row>
    <x:row r="1999" ht="15" hidden="0" customHeight="1">
      <x:c r="A1999" s="31" t="str">
        <x:v>Anjoman accounting - refined.xlsx</x:v>
      </x:c>
      <x:c r="B1999" s="31" t="str">
        <x:v>خام_تلگرام</x:v>
      </x:c>
      <x:c r="C1999" s="31" t="str">
        <x:v>A39</x:v>
      </x:c>
      <x:c r="D1999" s="31" t="str">
        <x:v>message36</x:v>
      </x:c>
      <x:c r="E1999" s="31"/>
    </x:row>
    <x:row r="2000" ht="15" hidden="0" customHeight="1">
      <x:c r="A2000" s="31" t="str">
        <x:v>Anjoman accounting - refined.xlsx</x:v>
      </x:c>
      <x:c r="B2000" s="31" t="str">
        <x:v>خام_تلگرام</x:v>
      </x:c>
      <x:c r="C2000" s="31" t="str">
        <x:v>B39</x:v>
      </x:c>
      <x:c r="D2000" s="31" t="str">
        <x:v>26.07.2025 08:05:51 UTC+03:30</x:v>
      </x:c>
      <x:c r="E2000" s="31"/>
    </x:row>
    <x:row r="2001" ht="15" hidden="0" customHeight="1">
      <x:c r="A2001" s="31" t="str">
        <x:v>Anjoman accounting - refined.xlsx</x:v>
      </x:c>
      <x:c r="B2001" s="31" t="str">
        <x:v>خام_تلگرام</x:v>
      </x:c>
      <x:c r="C2001" s="31" t="str">
        <x:v>C39</x:v>
      </x:c>
      <x:c r="D2001" s="31" t="str">
        <x:v>امین عزیزی</x:v>
      </x:c>
      <x:c r="E2001" s="31"/>
    </x:row>
    <x:row r="2002" ht="15" hidden="0" customHeight="1">
      <x:c r="A2002" s="31" t="str">
        <x:v>Anjoman accounting - refined.xlsx</x:v>
      </x:c>
      <x:c r="B2002" s="31" t="str">
        <x:v>خام_تلگرام</x:v>
      </x:c>
      <x:c r="C2002" s="31" t="str">
        <x:v>D39</x:v>
      </x:c>
      <x:c r="D2002" s="31" t="str">
        <x:v>حسن از قبل تو کارتت پول بوده؟</x:v>
      </x:c>
      <x:c r="E2002" s="31"/>
    </x:row>
    <x:row r="2003" ht="15" hidden="0" customHeight="1">
      <x:c r="A2003" s="31" t="str">
        <x:v>Anjoman accounting - refined.xlsx</x:v>
      </x:c>
      <x:c r="B2003" s="31" t="str">
        <x:v>خام_تلگرام</x:v>
      </x:c>
      <x:c r="C2003" s="31" t="str">
        <x:v>A40</x:v>
      </x:c>
      <x:c r="D2003" s="31" t="str">
        <x:v>message37</x:v>
      </x:c>
      <x:c r="E2003" s="31"/>
    </x:row>
    <x:row r="2004" ht="15" hidden="0" customHeight="1">
      <x:c r="A2004" s="31" t="str">
        <x:v>Anjoman accounting - refined.xlsx</x:v>
      </x:c>
      <x:c r="B2004" s="31" t="str">
        <x:v>خام_تلگرام</x:v>
      </x:c>
      <x:c r="C2004" s="31" t="str">
        <x:v>B40</x:v>
      </x:c>
      <x:c r="D2004" s="31" t="str">
        <x:v>26.07.2025 08:06:15 UTC+03:30</x:v>
      </x:c>
      <x:c r="E2004" s="31"/>
    </x:row>
    <x:row r="2005" ht="15" hidden="0" customHeight="1">
      <x:c r="A2005" s="31" t="str">
        <x:v>Anjoman accounting - refined.xlsx</x:v>
      </x:c>
      <x:c r="B2005" s="31" t="str">
        <x:v>خام_تلگرام</x:v>
      </x:c>
      <x:c r="C2005" s="31" t="str">
        <x:v>D40</x:v>
      </x:c>
      <x:c r="D2005" s="31" t="str">
        <x:v>موجودیش از تراز مالیمون بیشتره😂</x:v>
      </x:c>
      <x:c r="E2005" s="31"/>
    </x:row>
    <x:row r="2006" ht="15" hidden="0" customHeight="1">
      <x:c r="A2006" s="31" t="str">
        <x:v>Anjoman accounting - refined.xlsx</x:v>
      </x:c>
      <x:c r="B2006" s="31" t="str">
        <x:v>خام_تلگرام</x:v>
      </x:c>
      <x:c r="C2006" s="31" t="str">
        <x:v>A41</x:v>
      </x:c>
      <x:c r="D2006" s="31" t="str">
        <x:v>message38</x:v>
      </x:c>
      <x:c r="E2006" s="31"/>
    </x:row>
    <x:row r="2007" ht="15" hidden="0" customHeight="1">
      <x:c r="A2007" s="31" t="str">
        <x:v>Anjoman accounting - refined.xlsx</x:v>
      </x:c>
      <x:c r="B2007" s="31" t="str">
        <x:v>خام_تلگرام</x:v>
      </x:c>
      <x:c r="C2007" s="31" t="str">
        <x:v>B41</x:v>
      </x:c>
      <x:c r="D2007" s="31" t="str">
        <x:v>26.07.2025 08:07:14 UTC+03:30</x:v>
      </x:c>
      <x:c r="E2007" s="31"/>
    </x:row>
    <x:row r="2008" ht="15" hidden="0" customHeight="1">
      <x:c r="A2008" s="31" t="str">
        <x:v>Anjoman accounting - refined.xlsx</x:v>
      </x:c>
      <x:c r="B2008" s="31" t="str">
        <x:v>خام_تلگرام</x:v>
      </x:c>
      <x:c r="C2008" s="31" t="str">
        <x:v>D41</x:v>
      </x:c>
      <x:c r="D2008" s="31" t="str">
        <x:v>راستی یه ایمیل هم بده بهم که اکسس شیت رو بدم بهش</x:v>
      </x:c>
      <x:c r="E2008" s="31"/>
    </x:row>
    <x:row r="2009" ht="15" hidden="0" customHeight="1">
      <x:c r="A2009" s="31" t="str">
        <x:v>Anjoman accounting - refined.xlsx</x:v>
      </x:c>
      <x:c r="B2009" s="31" t="str">
        <x:v>خام_تلگرام</x:v>
      </x:c>
      <x:c r="C2009" s="31" t="str">
        <x:v>A42</x:v>
      </x:c>
      <x:c r="D2009" s="31" t="str">
        <x:v>message39</x:v>
      </x:c>
      <x:c r="E2009" s="31"/>
    </x:row>
    <x:row r="2010" ht="15" hidden="0" customHeight="1">
      <x:c r="A2010" s="31" t="str">
        <x:v>Anjoman accounting - refined.xlsx</x:v>
      </x:c>
      <x:c r="B2010" s="31" t="str">
        <x:v>خام_تلگرام</x:v>
      </x:c>
      <x:c r="C2010" s="31" t="str">
        <x:v>B42</x:v>
      </x:c>
      <x:c r="D2010" s="31" t="str">
        <x:v>26.07.2025 09:01:17 UTC+03:30</x:v>
      </x:c>
      <x:c r="E2010" s="31"/>
    </x:row>
    <x:row r="2011" ht="15" hidden="0" customHeight="1">
      <x:c r="A2011" s="31" t="str">
        <x:v>Anjoman accounting - refined.xlsx</x:v>
      </x:c>
      <x:c r="B2011" s="31" t="str">
        <x:v>خام_تلگرام</x:v>
      </x:c>
      <x:c r="C2011" s="31" t="str">
        <x:v>C42</x:v>
      </x:c>
      <x:c r="D2011" s="31" t="str">
        <x:v>Deleted Account</x:v>
      </x:c>
      <x:c r="E2011" s="31"/>
    </x:row>
    <x:row r="2012" ht="15" hidden="0" customHeight="1">
      <x:c r="A2012" s="31" t="str">
        <x:v>Anjoman accounting - refined.xlsx</x:v>
      </x:c>
      <x:c r="B2012" s="31" t="str">
        <x:v>خام_تلگرام</x:v>
      </x:c>
      <x:c r="C2012" s="31" t="str">
        <x:v>D42</x:v>
      </x:c>
      <x:c r="D2012" s="31" t="str">
        <x:v>چهل هزارتومن😂</x:v>
      </x:c>
      <x:c r="E2012" s="31"/>
    </x:row>
    <x:row r="2013" ht="15" hidden="0" customHeight="1">
      <x:c r="A2013" s="31" t="str">
        <x:v>Anjoman accounting - refined.xlsx</x:v>
      </x:c>
      <x:c r="B2013" s="31" t="str">
        <x:v>خام_تلگرام</x:v>
      </x:c>
      <x:c r="C2013" s="31" t="str">
        <x:v>A43</x:v>
      </x:c>
      <x:c r="D2013" s="31" t="str">
        <x:v>message40</x:v>
      </x:c>
      <x:c r="E2013" s="31"/>
    </x:row>
    <x:row r="2014" ht="15" hidden="0" customHeight="1">
      <x:c r="A2014" s="31" t="str">
        <x:v>Anjoman accounting - refined.xlsx</x:v>
      </x:c>
      <x:c r="B2014" s="31" t="str">
        <x:v>خام_تلگرام</x:v>
      </x:c>
      <x:c r="C2014" s="31" t="str">
        <x:v>B43</x:v>
      </x:c>
      <x:c r="D2014" s="31" t="str">
        <x:v>26.07.2025 09:01:24 UTC+03:30</x:v>
      </x:c>
      <x:c r="E2014" s="31"/>
    </x:row>
    <x:row r="2015" ht="15" hidden="0" customHeight="1">
      <x:c r="A2015" s="31" t="str">
        <x:v>Anjoman accounting - refined.xlsx</x:v>
      </x:c>
      <x:c r="B2015" s="31" t="str">
        <x:v>خام_تلگرام</x:v>
      </x:c>
      <x:c r="C2015" s="31" t="str">
        <x:v>D43</x:v>
      </x:c>
      <x:c r="D2015" s="31" t="str">
        <x:v>sandmanshiri@gmail.com</x:v>
      </x:c>
      <x:c r="E2015" s="31"/>
    </x:row>
    <x:row r="2016" ht="15" hidden="0" customHeight="1">
      <x:c r="A2016" s="31" t="str">
        <x:v>Anjoman accounting - refined.xlsx</x:v>
      </x:c>
      <x:c r="B2016" s="31" t="str">
        <x:v>خام_تلگرام</x:v>
      </x:c>
      <x:c r="C2016" s="31" t="str">
        <x:v>E43</x:v>
      </x:c>
      <x:c r="D2016" s="31" t="str">
        <x:v>mailto:sandmanshiri@gmail.com</x:v>
      </x:c>
      <x:c r="E2016" s="31"/>
    </x:row>
    <x:row r="2017" ht="15" hidden="0" customHeight="1">
      <x:c r="A2017" s="31" t="str">
        <x:v>Anjoman accounting - refined.xlsx</x:v>
      </x:c>
      <x:c r="B2017" s="31" t="str">
        <x:v>خام_تلگرام</x:v>
      </x:c>
      <x:c r="C2017" s="31" t="str">
        <x:v>A44</x:v>
      </x:c>
      <x:c r="D2017" s="31" t="str">
        <x:v>message41</x:v>
      </x:c>
      <x:c r="E2017" s="31"/>
    </x:row>
    <x:row r="2018" ht="15" hidden="0" customHeight="1">
      <x:c r="A2018" s="31" t="str">
        <x:v>Anjoman accounting - refined.xlsx</x:v>
      </x:c>
      <x:c r="B2018" s="31" t="str">
        <x:v>خام_تلگرام</x:v>
      </x:c>
      <x:c r="C2018" s="31" t="str">
        <x:v>B44</x:v>
      </x:c>
      <x:c r="D2018" s="31" t="str">
        <x:v>26.07.2025 14:05:44 UTC+03:30</x:v>
      </x:c>
      <x:c r="E2018" s="31"/>
    </x:row>
    <x:row r="2019" ht="15" hidden="0" customHeight="1">
      <x:c r="A2019" s="31" t="str">
        <x:v>Anjoman accounting - refined.xlsx</x:v>
      </x:c>
      <x:c r="B2019" s="31" t="str">
        <x:v>خام_تلگرام</x:v>
      </x:c>
      <x:c r="C2019" s="31" t="str">
        <x:v>C44</x:v>
      </x:c>
      <x:c r="D2019" s="31" t="str">
        <x:v>امین عزیزی</x:v>
      </x:c>
      <x:c r="E2019" s="31"/>
    </x:row>
    <x:row r="2020" ht="15" hidden="0" customHeight="1">
      <x:c r="A2020" s="31" t="str">
        <x:v>Anjoman accounting - refined.xlsx</x:v>
      </x:c>
      <x:c r="B2020" s="31" t="str">
        <x:v>خام_تلگرام</x:v>
      </x:c>
      <x:c r="C2020" s="31" t="str">
        <x:v>D44</x:v>
      </x:c>
      <x:c r="D2020" s="31" t="str">
        <x:v>ایمیل زدم برات</x:v>
      </x:c>
      <x:c r="E2020" s="31"/>
    </x:row>
    <x:row r="2021" ht="15" hidden="0" customHeight="1">
      <x:c r="A2021" s="31" t="str">
        <x:v>Anjoman accounting - refined.xlsx</x:v>
      </x:c>
      <x:c r="B2021" s="31" t="str">
        <x:v>خام_تلگرام</x:v>
      </x:c>
      <x:c r="C2021" s="31" t="str">
        <x:v>A45</x:v>
      </x:c>
      <x:c r="D2021" s="31" t="str">
        <x:v>message-4</x:v>
      </x:c>
      <x:c r="E2021" s="31"/>
    </x:row>
    <x:row r="2022" ht="15" hidden="0" customHeight="1">
      <x:c r="A2022" s="31" t="str">
        <x:v>Anjoman accounting - refined.xlsx</x:v>
      </x:c>
      <x:c r="B2022" s="31" t="str">
        <x:v>خام_تلگرام</x:v>
      </x:c>
      <x:c r="C2022" s="31" t="str">
        <x:v>D45</x:v>
      </x:c>
      <x:c r="D2022" s="31" t="str">
        <x:v>11 August 2025</x:v>
      </x:c>
      <x:c r="E2022" s="31"/>
    </x:row>
    <x:row r="2023" ht="15" hidden="0" customHeight="1">
      <x:c r="A2023" s="31" t="str">
        <x:v>Anjoman accounting - refined.xlsx</x:v>
      </x:c>
      <x:c r="B2023" s="31" t="str">
        <x:v>خام_تلگرام</x:v>
      </x:c>
      <x:c r="C2023" s="31" t="str">
        <x:v>A46</x:v>
      </x:c>
      <x:c r="D2023" s="31" t="str">
        <x:v>message42</x:v>
      </x:c>
      <x:c r="E2023" s="31"/>
    </x:row>
    <x:row r="2024" ht="15" hidden="0" customHeight="1">
      <x:c r="A2024" s="31" t="str">
        <x:v>Anjoman accounting - refined.xlsx</x:v>
      </x:c>
      <x:c r="B2024" s="31" t="str">
        <x:v>خام_تلگرام</x:v>
      </x:c>
      <x:c r="C2024" s="31" t="str">
        <x:v>B46</x:v>
      </x:c>
      <x:c r="D2024" s="31" t="str">
        <x:v>11.08.2025 15:51:55 UTC+03:30</x:v>
      </x:c>
      <x:c r="E2024" s="31"/>
    </x:row>
    <x:row r="2025" ht="15" hidden="0" customHeight="1">
      <x:c r="A2025" s="31" t="str">
        <x:v>Anjoman accounting - refined.xlsx</x:v>
      </x:c>
      <x:c r="B2025" s="31" t="str">
        <x:v>خام_تلگرام</x:v>
      </x:c>
      <x:c r="C2025" s="31" t="str">
        <x:v>C46</x:v>
      </x:c>
      <x:c r="D2025" s="31" t="str">
        <x:v>Deleted Account</x:v>
      </x:c>
      <x:c r="E2025" s="31"/>
    </x:row>
    <x:row r="2026" ht="15" hidden="0" customHeight="1">
      <x:c r="A2026" s="31" t="str">
        <x:v>Anjoman accounting - refined.xlsx</x:v>
      </x:c>
      <x:c r="B2026" s="31" t="str">
        <x:v>خام_تلگرام</x:v>
      </x:c>
      <x:c r="C2026" s="31" t="str">
        <x:v>D46</x:v>
      </x:c>
      <x:c r="D2026" s="31" t="str">
        <x:v>بابت ضبط جبرانی جلسه ۳ لتک</x:v>
      </x:c>
      <x:c r="E2026" s="31"/>
    </x:row>
    <x:row r="2027" ht="15" hidden="0" customHeight="1">
      <x:c r="A2027" s="31" t="str">
        <x:v>Anjoman accounting - refined.xlsx</x:v>
      </x:c>
      <x:c r="B2027" s="31" t="str">
        <x:v>خام_تلگرام</x:v>
      </x:c>
      <x:c r="C2027" s="31" t="str">
        <x:v>E46</x:v>
      </x:c>
      <x:c r="D2027" s="31" t="str">
        <x:v>photos/photo_7@11-08-2025_15-51-55.jpg</x:v>
      </x:c>
      <x:c r="E2027" s="31"/>
    </x:row>
    <x:row r="2028" ht="15" hidden="0" customHeight="1">
      <x:c r="A2028" s="31" t="str">
        <x:v>Anjoman accounting - refined.xlsx</x:v>
      </x:c>
      <x:c r="B2028" s="31" t="str">
        <x:v>خام_تلگرام</x:v>
      </x:c>
      <x:c r="C2028" s="31" t="str">
        <x:v>A47</x:v>
      </x:c>
      <x:c r="D2028" s="31" t="str">
        <x:v>message-5</x:v>
      </x:c>
      <x:c r="E2028" s="31"/>
    </x:row>
    <x:row r="2029" ht="15" hidden="0" customHeight="1">
      <x:c r="A2029" s="31" t="str">
        <x:v>Anjoman accounting - refined.xlsx</x:v>
      </x:c>
      <x:c r="B2029" s="31" t="str">
        <x:v>خام_تلگرام</x:v>
      </x:c>
      <x:c r="C2029" s="31" t="str">
        <x:v>D47</x:v>
      </x:c>
      <x:c r="D2029" s="31" t="str">
        <x:v>12 August 2025</x:v>
      </x:c>
      <x:c r="E2029" s="31"/>
    </x:row>
    <x:row r="2030" ht="15" hidden="0" customHeight="1">
      <x:c r="A2030" s="31" t="str">
        <x:v>Anjoman accounting - refined.xlsx</x:v>
      </x:c>
      <x:c r="B2030" s="31" t="str">
        <x:v>خام_تلگرام</x:v>
      </x:c>
      <x:c r="C2030" s="31" t="str">
        <x:v>A48</x:v>
      </x:c>
      <x:c r="D2030" s="31" t="str">
        <x:v>message43</x:v>
      </x:c>
      <x:c r="E2030" s="31"/>
    </x:row>
    <x:row r="2031" ht="15" hidden="0" customHeight="1">
      <x:c r="A2031" s="31" t="str">
        <x:v>Anjoman accounting - refined.xlsx</x:v>
      </x:c>
      <x:c r="B2031" s="31" t="str">
        <x:v>خام_تلگرام</x:v>
      </x:c>
      <x:c r="C2031" s="31" t="str">
        <x:v>B48</x:v>
      </x:c>
      <x:c r="D2031" s="31" t="str">
        <x:v>12.08.2025 09:58:34 UTC+03:30</x:v>
      </x:c>
      <x:c r="E2031" s="31"/>
    </x:row>
    <x:row r="2032" ht="15" hidden="0" customHeight="1">
      <x:c r="A2032" s="31" t="str">
        <x:v>Anjoman accounting - refined.xlsx</x:v>
      </x:c>
      <x:c r="B2032" s="31" t="str">
        <x:v>خام_تلگرام</x:v>
      </x:c>
      <x:c r="C2032" s="31" t="str">
        <x:v>C48</x:v>
      </x:c>
      <x:c r="D2032" s="31" t="str">
        <x:v>Deleted Account</x:v>
      </x:c>
      <x:c r="E2032" s="31"/>
    </x:row>
    <x:row r="2033" ht="15" hidden="0" customHeight="1">
      <x:c r="A2033" s="31" t="str">
        <x:v>Anjoman accounting - refined.xlsx</x:v>
      </x:c>
      <x:c r="B2033" s="31" t="str">
        <x:v>خام_تلگرام</x:v>
      </x:c>
      <x:c r="C2033" s="31" t="str">
        <x:v>D48</x:v>
      </x:c>
      <x:c r="D2033" s="31" t="str">
        <x:v>تبلیغات مدرسه مهمات شریف</x:v>
      </x:c>
      <x:c r="E2033" s="31"/>
    </x:row>
    <x:row r="2034" ht="15" hidden="0" customHeight="1">
      <x:c r="A2034" s="31" t="str">
        <x:v>Anjoman accounting - refined.xlsx</x:v>
      </x:c>
      <x:c r="B2034" s="31" t="str">
        <x:v>خام_تلگرام</x:v>
      </x:c>
      <x:c r="C2034" s="31" t="str">
        <x:v>A49</x:v>
      </x:c>
      <x:c r="D2034" s="31" t="str">
        <x:v>message44</x:v>
      </x:c>
      <x:c r="E2034" s="31"/>
    </x:row>
    <x:row r="2035" ht="15" hidden="0" customHeight="1">
      <x:c r="A2035" s="31" t="str">
        <x:v>Anjoman accounting - refined.xlsx</x:v>
      </x:c>
      <x:c r="B2035" s="31" t="str">
        <x:v>خام_تلگرام</x:v>
      </x:c>
      <x:c r="C2035" s="31" t="str">
        <x:v>B49</x:v>
      </x:c>
      <x:c r="D2035" s="31" t="str">
        <x:v>12.08.2025 09:58:34 UTC+03:30</x:v>
      </x:c>
      <x:c r="E2035" s="31"/>
    </x:row>
    <x:row r="2036" ht="15" hidden="0" customHeight="1">
      <x:c r="A2036" s="31" t="str">
        <x:v>Anjoman accounting - refined.xlsx</x:v>
      </x:c>
      <x:c r="B2036" s="31" t="str">
        <x:v>خام_تلگرام</x:v>
      </x:c>
      <x:c r="C2036" s="31" t="str">
        <x:v>C49</x:v>
      </x:c>
      <x:c r="D2036" s="31" t="str">
        <x:v>Deleted Account</x:v>
      </x:c>
      <x:c r="E2036" s="31"/>
    </x:row>
    <x:row r="2037" ht="15" hidden="0" customHeight="1">
      <x:c r="A2037" s="31" t="str">
        <x:v>Anjoman accounting - refined.xlsx</x:v>
      </x:c>
      <x:c r="B2037" s="31" t="str">
        <x:v>خام_تلگرام</x:v>
      </x:c>
      <x:c r="C2037" s="31" t="str">
        <x:v>D49</x:v>
      </x:c>
      <x:c r="D2037" s="31" t="str">
        <x:v>09:58 Deleted Account Deleted Account 19.07.2025 16:42:32 👍 ا</x:v>
      </x:c>
      <x:c r="E2037" s="31"/>
    </x:row>
    <x:row r="2038" ht="15" hidden="0" customHeight="1">
      <x:c r="A2038" s="31" t="str">
        <x:v>Anjoman accounting - refined.xlsx</x:v>
      </x:c>
      <x:c r="B2038" s="31" t="str">
        <x:v>خام_تلگرام</x:v>
      </x:c>
      <x:c r="C2038" s="31" t="str">
        <x:v>E49</x:v>
      </x:c>
      <x:c r="D2038" s="31" t="str">
        <x:v>photos/photo_8@12-08-2025_09-58-34.jpg</x:v>
      </x:c>
      <x:c r="E2038" s="31"/>
    </x:row>
    <x:row r="2039" ht="15" hidden="0" customHeight="1">
      <x:c r="A2039" s="31" t="str">
        <x:v>Anjoman accounting - refined.xlsx</x:v>
      </x:c>
      <x:c r="B2039" s="31" t="str">
        <x:v>خام_تلگرام</x:v>
      </x:c>
      <x:c r="C2039" s="31" t="str">
        <x:v>A50</x:v>
      </x:c>
      <x:c r="D2039" s="31" t="str">
        <x:v>message45</x:v>
      </x:c>
      <x:c r="E2039" s="31"/>
    </x:row>
    <x:row r="2040" ht="15" hidden="0" customHeight="1">
      <x:c r="A2040" s="31" t="str">
        <x:v>Anjoman accounting - refined.xlsx</x:v>
      </x:c>
      <x:c r="B2040" s="31" t="str">
        <x:v>خام_تلگرام</x:v>
      </x:c>
      <x:c r="C2040" s="31" t="str">
        <x:v>B50</x:v>
      </x:c>
      <x:c r="D2040" s="31" t="str">
        <x:v>12.08.2025 09:58:34 UTC+03:30</x:v>
      </x:c>
      <x:c r="E2040" s="31"/>
    </x:row>
    <x:row r="2041" ht="15" hidden="0" customHeight="1">
      <x:c r="A2041" s="31" t="str">
        <x:v>Anjoman accounting - refined.xlsx</x:v>
      </x:c>
      <x:c r="B2041" s="31" t="str">
        <x:v>خام_تلگرام</x:v>
      </x:c>
      <x:c r="C2041" s="31" t="str">
        <x:v>C50</x:v>
      </x:c>
      <x:c r="D2041" s="31" t="str">
        <x:v>Deleted Account</x:v>
      </x:c>
      <x:c r="E2041" s="31"/>
    </x:row>
    <x:row r="2042" ht="15" hidden="0" customHeight="1">
      <x:c r="A2042" s="31" t="str">
        <x:v>Anjoman accounting - refined.xlsx</x:v>
      </x:c>
      <x:c r="B2042" s="31" t="str">
        <x:v>خام_تلگرام</x:v>
      </x:c>
      <x:c r="C2042" s="31" t="str">
        <x:v>D50</x:v>
      </x:c>
      <x:c r="D2042" s="31" t="str">
        <x:v>‌.سلام وقتتون بخیر خدمت شما امیدوارم موثر بوده باشه</x:v>
      </x:c>
      <x:c r="E2042" s="31"/>
    </x:row>
    <x:row r="2043" ht="15" hidden="0" customHeight="1">
      <x:c r="A2043" s="31" t="str">
        <x:v>Anjoman accounting - refined.xlsx</x:v>
      </x:c>
      <x:c r="B2043" s="31" t="str">
        <x:v>خام_تلگرام</x:v>
      </x:c>
      <x:c r="C2043" s="31" t="str">
        <x:v>A51</x:v>
      </x:c>
      <x:c r="D2043" s="31" t="str">
        <x:v>message46</x:v>
      </x:c>
      <x:c r="E2043" s="31"/>
    </x:row>
    <x:row r="2044" ht="15" hidden="0" customHeight="1">
      <x:c r="A2044" s="31" t="str">
        <x:v>Anjoman accounting - refined.xlsx</x:v>
      </x:c>
      <x:c r="B2044" s="31" t="str">
        <x:v>خام_تلگرام</x:v>
      </x:c>
      <x:c r="C2044" s="31" t="str">
        <x:v>B51</x:v>
      </x:c>
      <x:c r="D2044" s="31" t="str">
        <x:v>12.08.2025 09:58:34 UTC+03:30</x:v>
      </x:c>
      <x:c r="E2044" s="31"/>
    </x:row>
    <x:row r="2045" ht="15" hidden="0" customHeight="1">
      <x:c r="A2045" s="31" t="str">
        <x:v>Anjoman accounting - refined.xlsx</x:v>
      </x:c>
      <x:c r="B2045" s="31" t="str">
        <x:v>خام_تلگرام</x:v>
      </x:c>
      <x:c r="C2045" s="31" t="str">
        <x:v>D51</x:v>
      </x:c>
      <x:c r="D2045" s="31" t="str">
        <x:v>09:58</x:v>
      </x:c>
      <x:c r="E2045" s="31"/>
    </x:row>
    <x:row r="2046" ht="15" hidden="0" customHeight="1">
      <x:c r="A2046" s="31" t="str">
        <x:v>Anjoman accounting - refined.xlsx</x:v>
      </x:c>
      <x:c r="B2046" s="31" t="str">
        <x:v>خام_تلگرام</x:v>
      </x:c>
      <x:c r="C2046" s="31" t="str">
        <x:v>E51</x:v>
      </x:c>
      <x:c r="D2046" s="31" t="str">
        <x:v>photos/photo_9@12-08-2025_09-58-34.jpg</x:v>
      </x:c>
      <x:c r="E2046" s="31"/>
    </x:row>
    <x:row r="2047" ht="15" hidden="0" customHeight="1">
      <x:c r="A2047" s="31" t="str">
        <x:v>Anjoman accounting - refined.xlsx</x:v>
      </x:c>
      <x:c r="B2047" s="31" t="str">
        <x:v>خام_تلگرام</x:v>
      </x:c>
      <x:c r="C2047" s="31" t="str">
        <x:v>A52</x:v>
      </x:c>
      <x:c r="D2047" s="31" t="str">
        <x:v>message-6</x:v>
      </x:c>
      <x:c r="E2047" s="31"/>
    </x:row>
    <x:row r="2048" ht="15" hidden="0" customHeight="1">
      <x:c r="A2048" s="31" t="str">
        <x:v>Anjoman accounting - refined.xlsx</x:v>
      </x:c>
      <x:c r="B2048" s="31" t="str">
        <x:v>خام_تلگرام</x:v>
      </x:c>
      <x:c r="C2048" s="31" t="str">
        <x:v>D52</x:v>
      </x:c>
      <x:c r="D2048" s="31" t="str">
        <x:v>15 August 2025</x:v>
      </x:c>
      <x:c r="E2048" s="31"/>
    </x:row>
    <x:row r="2049" ht="15" hidden="0" customHeight="1">
      <x:c r="A2049" s="31" t="str">
        <x:v>Anjoman accounting - refined.xlsx</x:v>
      </x:c>
      <x:c r="B2049" s="31" t="str">
        <x:v>خام_تلگرام</x:v>
      </x:c>
      <x:c r="C2049" s="31" t="str">
        <x:v>A53</x:v>
      </x:c>
      <x:c r="D2049" s="31" t="str">
        <x:v>message47</x:v>
      </x:c>
      <x:c r="E2049" s="31"/>
    </x:row>
    <x:row r="2050" ht="15" hidden="0" customHeight="1">
      <x:c r="A2050" s="31" t="str">
        <x:v>Anjoman accounting - refined.xlsx</x:v>
      </x:c>
      <x:c r="B2050" s="31" t="str">
        <x:v>خام_تلگرام</x:v>
      </x:c>
      <x:c r="C2050" s="31" t="str">
        <x:v>B53</x:v>
      </x:c>
      <x:c r="D2050" s="31" t="str">
        <x:v>15.08.2025 18:28:22 UTC+03:30</x:v>
      </x:c>
      <x:c r="E2050" s="31"/>
    </x:row>
    <x:row r="2051" ht="15" hidden="0" customHeight="1">
      <x:c r="A2051" s="31" t="str">
        <x:v>Anjoman accounting - refined.xlsx</x:v>
      </x:c>
      <x:c r="B2051" s="31" t="str">
        <x:v>خام_تلگرام</x:v>
      </x:c>
      <x:c r="C2051" s="31" t="str">
        <x:v>C53</x:v>
      </x:c>
      <x:c r="D2051" s="31" t="str">
        <x:v>Deleted Account</x:v>
      </x:c>
      <x:c r="E2051" s="31"/>
    </x:row>
    <x:row r="2052" ht="15" hidden="0" customHeight="1">
      <x:c r="A2052" s="31" t="str">
        <x:v>Anjoman accounting - refined.xlsx</x:v>
      </x:c>
      <x:c r="B2052" s="31" t="str">
        <x:v>خام_تلگرام</x:v>
      </x:c>
      <x:c r="C2052" s="31" t="str">
        <x:v>D53</x:v>
      </x:c>
      <x:c r="D2052" s="31" t="str">
        <x:v>حق الزحمه ضبط جبرانی جلسه 4 پایتون</x:v>
      </x:c>
      <x:c r="E2052" s="31"/>
    </x:row>
    <x:row r="2053" ht="15" hidden="0" customHeight="1">
      <x:c r="A2053" s="31" t="str">
        <x:v>Anjoman accounting - refined.xlsx</x:v>
      </x:c>
      <x:c r="B2053" s="31" t="str">
        <x:v>خام_تلگرام</x:v>
      </x:c>
      <x:c r="C2053" s="31" t="str">
        <x:v>E53</x:v>
      </x:c>
      <x:c r="D2053" s="31" t="str">
        <x:v>photos/photo_10@15-08-2025_18-28-22.jpg</x:v>
      </x:c>
      <x:c r="E2053" s="31"/>
    </x:row>
    <x:row r="2054" ht="15" hidden="0" customHeight="1">
      <x:c r="A2054" s="31" t="str">
        <x:v>Anjoman accounting - refined.xlsx</x:v>
      </x:c>
      <x:c r="B2054" s="31" t="str">
        <x:v>خام_تلگرام</x:v>
      </x:c>
      <x:c r="C2054" s="31" t="str">
        <x:v>A54</x:v>
      </x:c>
      <x:c r="D2054" s="31" t="str">
        <x:v>message-7</x:v>
      </x:c>
      <x:c r="E2054" s="31"/>
    </x:row>
    <x:row r="2055" ht="15" hidden="0" customHeight="1">
      <x:c r="A2055" s="31" t="str">
        <x:v>Anjoman accounting - refined.xlsx</x:v>
      </x:c>
      <x:c r="B2055" s="31" t="str">
        <x:v>خام_تلگرام</x:v>
      </x:c>
      <x:c r="C2055" s="31" t="str">
        <x:v>D54</x:v>
      </x:c>
      <x:c r="D2055" s="31" t="str">
        <x:v>4 September 2025</x:v>
      </x:c>
      <x:c r="E2055" s="31"/>
    </x:row>
    <x:row r="2056" ht="15" hidden="0" customHeight="1">
      <x:c r="A2056" s="31" t="str">
        <x:v>Anjoman accounting - refined.xlsx</x:v>
      </x:c>
      <x:c r="B2056" s="31" t="str">
        <x:v>خام_تلگرام</x:v>
      </x:c>
      <x:c r="C2056" s="31" t="str">
        <x:v>A55</x:v>
      </x:c>
      <x:c r="D2056" s="31" t="str">
        <x:v>message48</x:v>
      </x:c>
      <x:c r="E2056" s="31"/>
    </x:row>
    <x:row r="2057" ht="15" hidden="0" customHeight="1">
      <x:c r="A2057" s="31" t="str">
        <x:v>Anjoman accounting - refined.xlsx</x:v>
      </x:c>
      <x:c r="B2057" s="31" t="str">
        <x:v>خام_تلگرام</x:v>
      </x:c>
      <x:c r="C2057" s="31" t="str">
        <x:v>B55</x:v>
      </x:c>
      <x:c r="D2057" s="31" t="str">
        <x:v>04.09.2025 14:05:56 UTC+03:30</x:v>
      </x:c>
      <x:c r="E2057" s="31"/>
    </x:row>
    <x:row r="2058" ht="15" hidden="0" customHeight="1">
      <x:c r="A2058" s="31" t="str">
        <x:v>Anjoman accounting - refined.xlsx</x:v>
      </x:c>
      <x:c r="B2058" s="31" t="str">
        <x:v>خام_تلگرام</x:v>
      </x:c>
      <x:c r="C2058" s="31" t="str">
        <x:v>C55</x:v>
      </x:c>
      <x:c r="D2058" s="31" t="str">
        <x:v>امین عزیزی</x:v>
      </x:c>
      <x:c r="E2058" s="31"/>
    </x:row>
    <x:row r="2059" ht="15" hidden="0" customHeight="1">
      <x:c r="A2059" s="31" t="str">
        <x:v>Anjoman accounting - refined.xlsx</x:v>
      </x:c>
      <x:c r="B2059" s="31" t="str">
        <x:v>خام_تلگرام</x:v>
      </x:c>
      <x:c r="C2059" s="31" t="str">
        <x:v>D55</x:v>
      </x:c>
      <x:c r="D2059" s="31" t="str">
        <x:v>پرداخت شود به محمدامین عزیزی بابت چاپ پوستر و بارکد برای میز معرفی دانشگاه</x:v>
      </x:c>
      <x:c r="E2059" s="31"/>
    </x:row>
    <x:row r="2060" ht="15" hidden="0" customHeight="1">
      <x:c r="A2060" s="31" t="str">
        <x:v>Anjoman accounting - refined.xlsx</x:v>
      </x:c>
      <x:c r="B2060" s="31" t="str">
        <x:v>خام_تلگرام</x:v>
      </x:c>
      <x:c r="C2060" s="31" t="str">
        <x:v>E55</x:v>
      </x:c>
      <x:c r="D2060" s="31" t="str">
        <x:v>photos/photo_11@04-09-2025_14-05-56.jpg</x:v>
      </x:c>
      <x:c r="E2060" s="31"/>
    </x:row>
    <x:row r="2061" ht="15" hidden="0" customHeight="1">
      <x:c r="A2061" s="31" t="str">
        <x:v>Anjoman accounting - refined.xlsx</x:v>
      </x:c>
      <x:c r="B2061" s="31" t="str">
        <x:v>خام_تلگرام</x:v>
      </x:c>
      <x:c r="C2061" s="31" t="str">
        <x:v>A56</x:v>
      </x:c>
      <x:c r="D2061" s="31" t="str">
        <x:v>message-8</x:v>
      </x:c>
      <x:c r="E2061" s="31"/>
    </x:row>
    <x:row r="2062" ht="15" hidden="0" customHeight="1">
      <x:c r="A2062" s="31" t="str">
        <x:v>Anjoman accounting - refined.xlsx</x:v>
      </x:c>
      <x:c r="B2062" s="31" t="str">
        <x:v>خام_تلگرام</x:v>
      </x:c>
      <x:c r="C2062" s="31" t="str">
        <x:v>D56</x:v>
      </x:c>
      <x:c r="D2062" s="31" t="str">
        <x:v>27 September 2025</x:v>
      </x:c>
      <x:c r="E2062" s="31"/>
    </x:row>
    <x:row r="2063" ht="15" hidden="0" customHeight="1">
      <x:c r="A2063" s="31" t="str">
        <x:v>Anjoman accounting - refined.xlsx</x:v>
      </x:c>
      <x:c r="B2063" s="31" t="str">
        <x:v>خام_تلگرام</x:v>
      </x:c>
      <x:c r="C2063" s="31" t="str">
        <x:v>A57</x:v>
      </x:c>
      <x:c r="D2063" s="31" t="str">
        <x:v>message49</x:v>
      </x:c>
      <x:c r="E2063" s="31"/>
    </x:row>
    <x:row r="2064" ht="15" hidden="0" customHeight="1">
      <x:c r="A2064" s="31" t="str">
        <x:v>Anjoman accounting - refined.xlsx</x:v>
      </x:c>
      <x:c r="B2064" s="31" t="str">
        <x:v>خام_تلگرام</x:v>
      </x:c>
      <x:c r="C2064" s="31" t="str">
        <x:v>B57</x:v>
      </x:c>
      <x:c r="D2064" s="31" t="str">
        <x:v>27.09.2025 11:43:22 UTC+03:30</x:v>
      </x:c>
      <x:c r="E2064" s="31"/>
    </x:row>
    <x:row r="2065" ht="15" hidden="0" customHeight="1">
      <x:c r="A2065" s="31" t="str">
        <x:v>Anjoman accounting - refined.xlsx</x:v>
      </x:c>
      <x:c r="B2065" s="31" t="str">
        <x:v>خام_تلگرام</x:v>
      </x:c>
      <x:c r="C2065" s="31" t="str">
        <x:v>C57</x:v>
      </x:c>
      <x:c r="D2065" s="31" t="str">
        <x:v>امین عزیزی</x:v>
      </x:c>
      <x:c r="E2065" s="31"/>
    </x:row>
    <x:row r="2066" ht="15" hidden="0" customHeight="1">
      <x:c r="A2066" s="31" t="str">
        <x:v>Anjoman accounting - refined.xlsx</x:v>
      </x:c>
      <x:c r="B2066" s="31" t="str">
        <x:v>خام_تلگرام</x:v>
      </x:c>
      <x:c r="C2066" s="31" t="str">
        <x:v>D57</x:v>
      </x:c>
      <x:c r="D2066" s="31" t="str">
        <x:v>حسن شماره این کارتی که پولهای انجمن توش هست رو بذار اینجا من باقی مونده پول رویداد رو بریزم تو اون</x:v>
      </x:c>
      <x:c r="E2066" s="31"/>
    </x:row>
    <x:row r="2067" ht="15" hidden="0" customHeight="1">
      <x:c r="A2067" s="31" t="str">
        <x:v>Anjoman accounting - refined.xlsx</x:v>
      </x:c>
      <x:c r="B2067" s="31" t="str">
        <x:v>خام_تلگرام</x:v>
      </x:c>
      <x:c r="C2067" s="31" t="str">
        <x:v>A58</x:v>
      </x:c>
      <x:c r="D2067" s="31" t="str">
        <x:v>message-9</x:v>
      </x:c>
      <x:c r="E2067" s="31"/>
    </x:row>
    <x:row r="2068" ht="15" hidden="0" customHeight="1">
      <x:c r="A2068" s="31" t="str">
        <x:v>Anjoman accounting - refined.xlsx</x:v>
      </x:c>
      <x:c r="B2068" s="31" t="str">
        <x:v>خام_تلگرام</x:v>
      </x:c>
      <x:c r="C2068" s="31" t="str">
        <x:v>D58</x:v>
      </x:c>
      <x:c r="D2068" s="31" t="str">
        <x:v>1 October 2025</x:v>
      </x:c>
      <x:c r="E2068" s="31"/>
    </x:row>
    <x:row r="2069" ht="15" hidden="0" customHeight="1">
      <x:c r="A2069" s="31" t="str">
        <x:v>Anjoman accounting - refined.xlsx</x:v>
      </x:c>
      <x:c r="B2069" s="31" t="str">
        <x:v>خام_تلگرام</x:v>
      </x:c>
      <x:c r="C2069" s="31" t="str">
        <x:v>A59</x:v>
      </x:c>
      <x:c r="D2069" s="31" t="str">
        <x:v>message50</x:v>
      </x:c>
      <x:c r="E2069" s="31"/>
    </x:row>
    <x:row r="2070" ht="15" hidden="0" customHeight="1">
      <x:c r="A2070" s="31" t="str">
        <x:v>Anjoman accounting - refined.xlsx</x:v>
      </x:c>
      <x:c r="B2070" s="31" t="str">
        <x:v>خام_تلگرام</x:v>
      </x:c>
      <x:c r="C2070" s="31" t="str">
        <x:v>B59</x:v>
      </x:c>
      <x:c r="D2070" s="31" t="str">
        <x:v>01.10.2025 11:51:03 UTC+03:30</x:v>
      </x:c>
      <x:c r="E2070" s="31"/>
    </x:row>
    <x:row r="2071" ht="15" hidden="0" customHeight="1">
      <x:c r="A2071" s="31" t="str">
        <x:v>Anjoman accounting - refined.xlsx</x:v>
      </x:c>
      <x:c r="B2071" s="31" t="str">
        <x:v>خام_تلگرام</x:v>
      </x:c>
      <x:c r="C2071" s="31" t="str">
        <x:v>C59</x:v>
      </x:c>
      <x:c r="D2071" s="31" t="str">
        <x:v>Deleted Account</x:v>
      </x:c>
      <x:c r="E2071" s="31"/>
    </x:row>
    <x:row r="2072" ht="15" hidden="0" customHeight="1">
      <x:c r="A2072" s="31" t="str">
        <x:v>Anjoman accounting - refined.xlsx</x:v>
      </x:c>
      <x:c r="B2072" s="31" t="str">
        <x:v>خام_تلگرام</x:v>
      </x:c>
      <x:c r="C2072" s="31" t="str">
        <x:v>D59</x:v>
      </x:c>
      <x:c r="D2072" s="31" t="str">
        <x:v>5047061055888966</x:v>
      </x:c>
      <x:c r="E2072" s="31"/>
    </x:row>
    <x:row r="2073" ht="15" hidden="0" customHeight="1">
      <x:c r="A2073" s="31" t="str">
        <x:v>Anjoman accounting - refined.xlsx</x:v>
      </x:c>
      <x:c r="B2073" s="31" t="str">
        <x:v>خام_تلگرام</x:v>
      </x:c>
      <x:c r="C2073" s="31" t="str">
        <x:v>A60</x:v>
      </x:c>
      <x:c r="D2073" s="31" t="str">
        <x:v>message51</x:v>
      </x:c>
      <x:c r="E2073" s="31"/>
    </x:row>
    <x:row r="2074" ht="15" hidden="0" customHeight="1">
      <x:c r="A2074" s="31" t="str">
        <x:v>Anjoman accounting - refined.xlsx</x:v>
      </x:c>
      <x:c r="B2074" s="31" t="str">
        <x:v>خام_تلگرام</x:v>
      </x:c>
      <x:c r="C2074" s="31" t="str">
        <x:v>B60</x:v>
      </x:c>
      <x:c r="D2074" s="31" t="str">
        <x:v>01.10.2025 18:02:44 UTC+03:30</x:v>
      </x:c>
      <x:c r="E2074" s="31"/>
    </x:row>
    <x:row r="2075" ht="15" hidden="0" customHeight="1">
      <x:c r="A2075" s="31" t="str">
        <x:v>Anjoman accounting - refined.xlsx</x:v>
      </x:c>
      <x:c r="B2075" s="31" t="str">
        <x:v>خام_تلگرام</x:v>
      </x:c>
      <x:c r="C2075" s="31" t="str">
        <x:v>C60</x:v>
      </x:c>
      <x:c r="D2075" s="31" t="str">
        <x:v>امین عزیزی</x:v>
      </x:c>
      <x:c r="E2075" s="31"/>
    </x:row>
    <x:row r="2076" ht="15" hidden="0" customHeight="1">
      <x:c r="A2076" s="31" t="str">
        <x:v>Anjoman accounting - refined.xlsx</x:v>
      </x:c>
      <x:c r="B2076" s="31" t="str">
        <x:v>خام_تلگرام</x:v>
      </x:c>
      <x:c r="C2076" s="31" t="str">
        <x:v>D60</x:v>
      </x:c>
      <x:c r="D2076" s="31" t="str">
        <x:v>انتقال درآمد خالص از همایش معرفی رشته به حساب اصلی</x:v>
      </x:c>
      <x:c r="E2076" s="31"/>
    </x:row>
    <x:row r="2077" ht="15" hidden="0" customHeight="1">
      <x:c r="A2077" s="31" t="str">
        <x:v>Anjoman accounting - refined.xlsx</x:v>
      </x:c>
      <x:c r="B2077" s="31" t="str">
        <x:v>خام_تلگرام</x:v>
      </x:c>
      <x:c r="C2077" s="31" t="str">
        <x:v>E60</x:v>
      </x:c>
      <x:c r="D2077" s="31" t="str">
        <x:v>photos/photo_12@01-10-2025_18-02-44.jpg</x:v>
      </x:c>
      <x:c r="E2077" s="31"/>
    </x:row>
    <x:row r="2078" ht="15" hidden="0" customHeight="1">
      <x:c r="A2078" s="31" t="str">
        <x:v>Anjoman accounting - refined.xlsx</x:v>
      </x:c>
      <x:c r="B2078" s="31" t="str">
        <x:v>خام_تلگرام</x:v>
      </x:c>
      <x:c r="C2078" s="31" t="str">
        <x:v>A61</x:v>
      </x:c>
      <x:c r="D2078" s="31" t="str">
        <x:v>message52</x:v>
      </x:c>
      <x:c r="E2078" s="31"/>
    </x:row>
    <x:row r="2079" ht="15" hidden="0" customHeight="1">
      <x:c r="A2079" s="31" t="str">
        <x:v>Anjoman accounting - refined.xlsx</x:v>
      </x:c>
      <x:c r="B2079" s="31" t="str">
        <x:v>خام_تلگرام</x:v>
      </x:c>
      <x:c r="C2079" s="31" t="str">
        <x:v>B61</x:v>
      </x:c>
      <x:c r="D2079" s="31" t="str">
        <x:v>01.10.2025 22:22:43 UTC+03:30</x:v>
      </x:c>
      <x:c r="E2079" s="31"/>
    </x:row>
    <x:row r="2080" ht="15" hidden="0" customHeight="1">
      <x:c r="A2080" s="31" t="str">
        <x:v>Anjoman accounting - refined.xlsx</x:v>
      </x:c>
      <x:c r="B2080" s="31" t="str">
        <x:v>خام_تلگرام</x:v>
      </x:c>
      <x:c r="C2080" s="31" t="str">
        <x:v>C61</x:v>
      </x:c>
      <x:c r="D2080" s="31" t="str">
        <x:v>Deleted Account</x:v>
      </x:c>
      <x:c r="E2080" s="31"/>
    </x:row>
    <x:row r="2081" ht="15" hidden="0" customHeight="1">
      <x:c r="A2081" s="31" t="str">
        <x:v>Anjoman accounting - refined.xlsx</x:v>
      </x:c>
      <x:c r="B2081" s="31" t="str">
        <x:v>خام_تلگرام</x:v>
      </x:c>
      <x:c r="C2081" s="31" t="str">
        <x:v>D61</x:v>
      </x:c>
      <x:c r="D2081" s="31" t="str">
        <x:v>22,765,000 موجودی فعلی</x:v>
      </x:c>
      <x:c r="E2081" s="31"/>
    </x:row>
    <x:row r="2082" ht="15" hidden="0" customHeight="1">
      <x:c r="A2082" s="31" t="str">
        <x:v>Anjoman accounting - refined.xlsx</x:v>
      </x:c>
      <x:c r="B2082" s="31" t="str">
        <x:v>خام_تلگرام</x:v>
      </x:c>
      <x:c r="C2082" s="31" t="str">
        <x:v>A62</x:v>
      </x:c>
      <x:c r="D2082" s="31" t="str">
        <x:v>message53</x:v>
      </x:c>
      <x:c r="E2082" s="31"/>
    </x:row>
    <x:row r="2083" ht="15" hidden="0" customHeight="1">
      <x:c r="A2083" s="31" t="str">
        <x:v>Anjoman accounting - refined.xlsx</x:v>
      </x:c>
      <x:c r="B2083" s="31" t="str">
        <x:v>خام_تلگرام</x:v>
      </x:c>
      <x:c r="C2083" s="31" t="str">
        <x:v>B62</x:v>
      </x:c>
      <x:c r="D2083" s="31" t="str">
        <x:v>01.10.2025 22:22:51 UTC+03:30</x:v>
      </x:c>
      <x:c r="E2083" s="31"/>
    </x:row>
    <x:row r="2084" ht="15" hidden="0" customHeight="1">
      <x:c r="A2084" s="31" t="str">
        <x:v>Anjoman accounting - refined.xlsx</x:v>
      </x:c>
      <x:c r="B2084" s="31" t="str">
        <x:v>خام_تلگرام</x:v>
      </x:c>
      <x:c r="C2084" s="31" t="str">
        <x:v>D62</x:v>
      </x:c>
      <x:c r="D2084" s="31" t="str">
        <x:v>این رو کسر کردی امین؟</x:v>
      </x:c>
      <x:c r="E2084" s="31"/>
    </x:row>
    <x:row r="2085" ht="15" hidden="0" customHeight="1">
      <x:c r="A2085" s="31" t="str">
        <x:v>Anjoman accounting - refined.xlsx</x:v>
      </x:c>
      <x:c r="B2085" s="31" t="str">
        <x:v>خام_تلگرام</x:v>
      </x:c>
      <x:c r="C2085" s="31" t="str">
        <x:v>A63</x:v>
      </x:c>
      <x:c r="D2085" s="31" t="str">
        <x:v>message54</x:v>
      </x:c>
      <x:c r="E2085" s="31"/>
    </x:row>
    <x:row r="2086" ht="15" hidden="0" customHeight="1">
      <x:c r="A2086" s="31" t="str">
        <x:v>Anjoman accounting - refined.xlsx</x:v>
      </x:c>
      <x:c r="B2086" s="31" t="str">
        <x:v>خام_تلگرام</x:v>
      </x:c>
      <x:c r="C2086" s="31" t="str">
        <x:v>B63</x:v>
      </x:c>
      <x:c r="D2086" s="31" t="str">
        <x:v>01.10.2025 23:25:53 UTC+03:30</x:v>
      </x:c>
      <x:c r="E2086" s="31"/>
    </x:row>
    <x:row r="2087" ht="15" hidden="0" customHeight="1">
      <x:c r="A2087" s="31" t="str">
        <x:v>Anjoman accounting - refined.xlsx</x:v>
      </x:c>
      <x:c r="B2087" s="31" t="str">
        <x:v>خام_تلگرام</x:v>
      </x:c>
      <x:c r="C2087" s="31" t="str">
        <x:v>C63</x:v>
      </x:c>
      <x:c r="D2087" s="31" t="str">
        <x:v>امین عزیزی</x:v>
      </x:c>
      <x:c r="E2087" s="31"/>
    </x:row>
    <x:row r="2088" ht="15" hidden="0" customHeight="1">
      <x:c r="A2088" s="31" t="str">
        <x:v>Anjoman accounting - refined.xlsx</x:v>
      </x:c>
      <x:c r="B2088" s="31" t="str">
        <x:v>خام_تلگرام</x:v>
      </x:c>
      <x:c r="C2088" s="31" t="str">
        <x:v>D63</x:v>
      </x:c>
      <x:c r="D2088" s="31" t="str">
        <x:v>آره</x:v>
      </x:c>
      <x:c r="E2088" s="31"/>
    </x:row>
    <x:row r="2089" ht="15" hidden="0" customHeight="1">
      <x:c r="A2089" s="31" t="str">
        <x:v>Anjoman accounting - refined.xlsx</x:v>
      </x:c>
      <x:c r="B2089" s="31" t="str">
        <x:v>خام_تلگرام</x:v>
      </x:c>
      <x:c r="C2089" s="31" t="str">
        <x:v>A64</x:v>
      </x:c>
      <x:c r="D2089" s="31" t="str">
        <x:v>message-10</x:v>
      </x:c>
      <x:c r="E2089" s="31"/>
    </x:row>
    <x:row r="2090" ht="15" hidden="0" customHeight="1">
      <x:c r="A2090" s="31" t="str">
        <x:v>Anjoman accounting - refined.xlsx</x:v>
      </x:c>
      <x:c r="B2090" s="31" t="str">
        <x:v>خام_تلگرام</x:v>
      </x:c>
      <x:c r="C2090" s="31" t="str">
        <x:v>D64</x:v>
      </x:c>
      <x:c r="D2090" s="31" t="str">
        <x:v>10 October 2025</x:v>
      </x:c>
      <x:c r="E2090" s="31"/>
    </x:row>
    <x:row r="2091" ht="15" hidden="0" customHeight="1">
      <x:c r="A2091" s="31" t="str">
        <x:v>Anjoman accounting - refined.xlsx</x:v>
      </x:c>
      <x:c r="B2091" s="31" t="str">
        <x:v>خام_تلگرام</x:v>
      </x:c>
      <x:c r="C2091" s="31" t="str">
        <x:v>A65</x:v>
      </x:c>
      <x:c r="D2091" s="31" t="str">
        <x:v>message55</x:v>
      </x:c>
      <x:c r="E2091" s="31"/>
    </x:row>
    <x:row r="2092" ht="15" hidden="0" customHeight="1">
      <x:c r="A2092" s="31" t="str">
        <x:v>Anjoman accounting - refined.xlsx</x:v>
      </x:c>
      <x:c r="B2092" s="31" t="str">
        <x:v>خام_تلگرام</x:v>
      </x:c>
      <x:c r="C2092" s="31" t="str">
        <x:v>B65</x:v>
      </x:c>
      <x:c r="D2092" s="31" t="str">
        <x:v>10.10.2025 04:08:44 UTC+03:30</x:v>
      </x:c>
      <x:c r="E2092" s="31"/>
    </x:row>
    <x:row r="2093" ht="15" hidden="0" customHeight="1">
      <x:c r="A2093" s="31" t="str">
        <x:v>Anjoman accounting - refined.xlsx</x:v>
      </x:c>
      <x:c r="B2093" s="31" t="str">
        <x:v>خام_تلگرام</x:v>
      </x:c>
      <x:c r="C2093" s="31" t="str">
        <x:v>C65</x:v>
      </x:c>
      <x:c r="D2093" s="31" t="str">
        <x:v>Deleted Account</x:v>
      </x:c>
      <x:c r="E2093" s="31"/>
    </x:row>
    <x:row r="2094" ht="15" hidden="0" customHeight="1">
      <x:c r="A2094" s="31" t="str">
        <x:v>Anjoman accounting - refined.xlsx</x:v>
      </x:c>
      <x:c r="B2094" s="31" t="str">
        <x:v>خام_تلگرام</x:v>
      </x:c>
      <x:c r="C2094" s="31" t="str">
        <x:v>D65</x:v>
      </x:c>
      <x:c r="D2094" s="31" t="str">
        <x:v>@FCS_Amzz https://docs.google.com/spreadsheets/d/12dGUWPGR8eJiLOSkOMYbIjftBJd0PxpBjG16vWOxGVo/edit?gid=696169602#gid=696169602</x:v>
      </x:c>
      <x:c r="E2094" s="31"/>
    </x:row>
    <x:row r="2095" ht="15" hidden="0" customHeight="1">
      <x:c r="A2095" s="31" t="str">
        <x:v>Anjoman accounting - refined.xlsx</x:v>
      </x:c>
      <x:c r="B2095" s="31" t="str">
        <x:v>خام_تلگرام</x:v>
      </x:c>
      <x:c r="C2095" s="31" t="str">
        <x:v>E65</x:v>
      </x:c>
      <x:c r="D2095" s="31" t="str">
        <x:v>https://t.me/FCS_Amzz; https://docs.google.com/spreadsheets/d/12dGUWPGR8eJiLOSkOMYbIjftBJd0PxpBjG16vWOxGVo/edit?gid=696169602#gid=696169602</x:v>
      </x:c>
      <x:c r="E2095" s="31"/>
    </x:row>
    <x:row r="2096" ht="15" hidden="0" customHeight="1">
      <x:c r="A2096" s="31" t="str">
        <x:v>Anjoman accounting - refined.xlsx</x:v>
      </x:c>
      <x:c r="B2096" s="31" t="str">
        <x:v>خام_تلگرام</x:v>
      </x:c>
      <x:c r="C2096" s="31" t="str">
        <x:v>A66</x:v>
      </x:c>
      <x:c r="D2096" s="31" t="str">
        <x:v>message56</x:v>
      </x:c>
      <x:c r="E2096" s="31"/>
    </x:row>
    <x:row r="2097" ht="15" hidden="0" customHeight="1">
      <x:c r="A2097" s="31" t="str">
        <x:v>Anjoman accounting - refined.xlsx</x:v>
      </x:c>
      <x:c r="B2097" s="31" t="str">
        <x:v>خام_تلگرام</x:v>
      </x:c>
      <x:c r="C2097" s="31" t="str">
        <x:v>B66</x:v>
      </x:c>
      <x:c r="D2097" s="31" t="str">
        <x:v>10.10.2025 04:08:50 UTC+03:30</x:v>
      </x:c>
      <x:c r="E2097" s="31"/>
    </x:row>
    <x:row r="2098" ht="15" hidden="0" customHeight="1">
      <x:c r="A2098" s="31" t="str">
        <x:v>Anjoman accounting - refined.xlsx</x:v>
      </x:c>
      <x:c r="B2098" s="31" t="str">
        <x:v>خام_تلگرام</x:v>
      </x:c>
      <x:c r="C2098" s="31" t="str">
        <x:v>D66</x:v>
      </x:c>
      <x:c r="D2098" s="31" t="str">
        <x:v>آپدیتش کن نازنین</x:v>
      </x:c>
      <x:c r="E2098" s="31"/>
    </x:row>
    <x:row r="2099" ht="15" hidden="0" customHeight="1">
      <x:c r="A2099" s="31" t="str">
        <x:v>Anjoman accounting - refined.xlsx</x:v>
      </x:c>
      <x:c r="B2099" s="31" t="str">
        <x:v>خام_تلگرام</x:v>
      </x:c>
      <x:c r="C2099" s="31" t="str">
        <x:v>A67</x:v>
      </x:c>
      <x:c r="D2099" s="31" t="str">
        <x:v>message57</x:v>
      </x:c>
      <x:c r="E2099" s="31"/>
    </x:row>
    <x:row r="2100" ht="15" hidden="0" customHeight="1">
      <x:c r="A2100" s="31" t="str">
        <x:v>Anjoman accounting - refined.xlsx</x:v>
      </x:c>
      <x:c r="B2100" s="31" t="str">
        <x:v>خام_تلگرام</x:v>
      </x:c>
      <x:c r="C2100" s="31" t="str">
        <x:v>B67</x:v>
      </x:c>
      <x:c r="D2100" s="31" t="str">
        <x:v>10.10.2025 04:09:43 UTC+03:30</x:v>
      </x:c>
      <x:c r="E2100" s="31"/>
    </x:row>
    <x:row r="2101" ht="15" hidden="0" customHeight="1">
      <x:c r="A2101" s="31" t="str">
        <x:v>Anjoman accounting - refined.xlsx</x:v>
      </x:c>
      <x:c r="B2101" s="31" t="str">
        <x:v>خام_تلگرام</x:v>
      </x:c>
      <x:c r="C2101" s="31" t="str">
        <x:v>D67</x:v>
      </x:c>
      <x:c r="D2101" s="31" t="str">
        <x:v>اون کلید ها که من زدم با تبلیغ مهمات شریف و پوستری که تو چاپ کردی</x:v>
      </x:c>
      <x:c r="E2101" s="31"/>
    </x:row>
    <x:row r="2102" ht="15" hidden="0" customHeight="1">
      <x:c r="A2102" s="31" t="str">
        <x:v>Anjoman accounting - refined.xlsx</x:v>
      </x:c>
      <x:c r="B2102" s="31" t="str">
        <x:v>خام_تلگرام</x:v>
      </x:c>
      <x:c r="C2102" s="31" t="str">
        <x:v>A68</x:v>
      </x:c>
      <x:c r="D2102" s="31" t="str">
        <x:v>message58</x:v>
      </x:c>
      <x:c r="E2102" s="31"/>
    </x:row>
    <x:row r="2103" ht="15" hidden="0" customHeight="1">
      <x:c r="A2103" s="31" t="str">
        <x:v>Anjoman accounting - refined.xlsx</x:v>
      </x:c>
      <x:c r="B2103" s="31" t="str">
        <x:v>خام_تلگرام</x:v>
      </x:c>
      <x:c r="C2103" s="31" t="str">
        <x:v>B68</x:v>
      </x:c>
      <x:c r="D2103" s="31" t="str">
        <x:v>10.10.2025 11:50:44 UTC+03:30</x:v>
      </x:c>
      <x:c r="E2103" s="31"/>
    </x:row>
    <x:row r="2104" ht="15" hidden="0" customHeight="1">
      <x:c r="A2104" s="31" t="str">
        <x:v>Anjoman accounting - refined.xlsx</x:v>
      </x:c>
      <x:c r="B2104" s="31" t="str">
        <x:v>خام_تلگرام</x:v>
      </x:c>
      <x:c r="C2104" s="31" t="str">
        <x:v>C68</x:v>
      </x:c>
      <x:c r="D2104" s="31" t="str">
        <x:v>امین عزیزی</x:v>
      </x:c>
      <x:c r="E2104" s="31"/>
    </x:row>
    <x:row r="2105" ht="15" hidden="0" customHeight="1">
      <x:c r="A2105" s="31" t="str">
        <x:v>Anjoman accounting - refined.xlsx</x:v>
      </x:c>
      <x:c r="B2105" s="31" t="str">
        <x:v>خام_تلگرام</x:v>
      </x:c>
      <x:c r="C2105" s="31" t="str">
        <x:v>D68</x:v>
      </x:c>
      <x:c r="D2105" s="31" t="str">
        <x:v>کدوم پوستر منظورته؟</x:v>
      </x:c>
      <x:c r="E2105" s="31"/>
    </x:row>
    <x:row r="2106" ht="15" hidden="0" customHeight="1">
      <x:c r="A2106" s="31" t="str">
        <x:v>Anjoman accounting - refined.xlsx</x:v>
      </x:c>
      <x:c r="B2106" s="31" t="str">
        <x:v>خام_تلگرام</x:v>
      </x:c>
      <x:c r="C2106" s="31" t="str">
        <x:v>A69</x:v>
      </x:c>
      <x:c r="D2106" s="31" t="str">
        <x:v>message59</x:v>
      </x:c>
      <x:c r="E2106" s="31"/>
    </x:row>
    <x:row r="2107" ht="15" hidden="0" customHeight="1">
      <x:c r="A2107" s="31" t="str">
        <x:v>Anjoman accounting - refined.xlsx</x:v>
      </x:c>
      <x:c r="B2107" s="31" t="str">
        <x:v>خام_تلگرام</x:v>
      </x:c>
      <x:c r="C2107" s="31" t="str">
        <x:v>B69</x:v>
      </x:c>
      <x:c r="D2107" s="31" t="str">
        <x:v>10.10.2025 11:55:42 UTC+03:30</x:v>
      </x:c>
      <x:c r="E2107" s="31"/>
    </x:row>
    <x:row r="2108" ht="15" hidden="0" customHeight="1">
      <x:c r="A2108" s="31" t="str">
        <x:v>Anjoman accounting - refined.xlsx</x:v>
      </x:c>
      <x:c r="B2108" s="31" t="str">
        <x:v>خام_تلگرام</x:v>
      </x:c>
      <x:c r="C2108" s="31" t="str">
        <x:v>C69</x:v>
      </x:c>
      <x:c r="D2108" s="31" t="str">
        <x:v>Deleted Account</x:v>
      </x:c>
      <x:c r="E2108" s="31"/>
    </x:row>
    <x:row r="2109" ht="15" hidden="0" customHeight="1">
      <x:c r="A2109" s="31" t="str">
        <x:v>Anjoman accounting - refined.xlsx</x:v>
      </x:c>
      <x:c r="B2109" s="31" t="str">
        <x:v>خام_تلگرام</x:v>
      </x:c>
      <x:c r="C2109" s="31" t="str">
        <x:v>D69</x:v>
      </x:c>
      <x:c r="D2109" s="31" t="str">
        <x:v>این</x:v>
      </x:c>
      <x:c r="E2109" s="31"/>
    </x:row>
    <x:row r="2110" ht="15" hidden="0" customHeight="1">
      <x:c r="A2110" s="31" t="str">
        <x:v>Anjoman accounting - refined.xlsx</x:v>
      </x:c>
      <x:c r="B2110" s="31" t="str">
        <x:v>خام_تلگرام</x:v>
      </x:c>
      <x:c r="C2110" s="31" t="str">
        <x:v>A70</x:v>
      </x:c>
      <x:c r="D2110" s="31" t="str">
        <x:v>message60</x:v>
      </x:c>
      <x:c r="E2110" s="31"/>
    </x:row>
    <x:row r="2111" ht="15" hidden="0" customHeight="1">
      <x:c r="A2111" s="31" t="str">
        <x:v>Anjoman accounting - refined.xlsx</x:v>
      </x:c>
      <x:c r="B2111" s="31" t="str">
        <x:v>خام_تلگرام</x:v>
      </x:c>
      <x:c r="C2111" s="31" t="str">
        <x:v>B70</x:v>
      </x:c>
      <x:c r="D2111" s="31" t="str">
        <x:v>10.10.2025 11:57:06 UTC+03:30</x:v>
      </x:c>
      <x:c r="E2111" s="31"/>
    </x:row>
    <x:row r="2112" ht="15" hidden="0" customHeight="1">
      <x:c r="A2112" s="31" t="str">
        <x:v>Anjoman accounting - refined.xlsx</x:v>
      </x:c>
      <x:c r="B2112" s="31" t="str">
        <x:v>خام_تلگرام</x:v>
      </x:c>
      <x:c r="C2112" s="31" t="str">
        <x:v>C70</x:v>
      </x:c>
      <x:c r="D2112" s="31" t="str">
        <x:v>امین عزیزی</x:v>
      </x:c>
      <x:c r="E2112" s="31"/>
    </x:row>
    <x:row r="2113" ht="15" hidden="0" customHeight="1">
      <x:c r="A2113" s="31" t="str">
        <x:v>Anjoman accounting - refined.xlsx</x:v>
      </x:c>
      <x:c r="B2113" s="31" t="str">
        <x:v>خام_تلگرام</x:v>
      </x:c>
      <x:c r="C2113" s="31" t="str">
        <x:v>D70</x:v>
      </x:c>
      <x:c r="D2113" s="31" t="str">
        <x:v>اینو زدم</x:v>
      </x:c>
      <x:c r="E2113" s="31"/>
    </x:row>
    <x:row r="2114" ht="15" hidden="0" customHeight="1">
      <x:c r="A2114" s="31" t="str">
        <x:v>Anjoman accounting - refined.xlsx</x:v>
      </x:c>
      <x:c r="B2114" s="31" t="str">
        <x:v>خام_تلگرام</x:v>
      </x:c>
      <x:c r="C2114" s="31" t="str">
        <x:v>A71</x:v>
      </x:c>
      <x:c r="D2114" s="31" t="str">
        <x:v>message-11</x:v>
      </x:c>
      <x:c r="E2114" s="31"/>
    </x:row>
    <x:row r="2115" ht="15" hidden="0" customHeight="1">
      <x:c r="A2115" s="31" t="str">
        <x:v>Anjoman accounting - refined.xlsx</x:v>
      </x:c>
      <x:c r="B2115" s="31" t="str">
        <x:v>خام_تلگرام</x:v>
      </x:c>
      <x:c r="C2115" s="31" t="str">
        <x:v>D71</x:v>
      </x:c>
      <x:c r="D2115" s="31" t="str">
        <x:v>12 October 2025</x:v>
      </x:c>
      <x:c r="E2115" s="31"/>
    </x:row>
    <x:row r="2116" ht="15" hidden="0" customHeight="1">
      <x:c r="A2116" s="31" t="str">
        <x:v>Anjoman accounting - refined.xlsx</x:v>
      </x:c>
      <x:c r="B2116" s="31" t="str">
        <x:v>خام_تلگرام</x:v>
      </x:c>
      <x:c r="C2116" s="31" t="str">
        <x:v>A72</x:v>
      </x:c>
      <x:c r="D2116" s="31" t="str">
        <x:v>message61</x:v>
      </x:c>
      <x:c r="E2116" s="31"/>
    </x:row>
    <x:row r="2117" ht="15" hidden="0" customHeight="1">
      <x:c r="A2117" s="31" t="str">
        <x:v>Anjoman accounting - refined.xlsx</x:v>
      </x:c>
      <x:c r="B2117" s="31" t="str">
        <x:v>خام_تلگرام</x:v>
      </x:c>
      <x:c r="C2117" s="31" t="str">
        <x:v>B72</x:v>
      </x:c>
      <x:c r="D2117" s="31" t="str">
        <x:v>12.10.2025 10:24:38 UTC+03:30</x:v>
      </x:c>
      <x:c r="E2117" s="31"/>
    </x:row>
    <x:row r="2118" ht="15" hidden="0" customHeight="1">
      <x:c r="A2118" s="31" t="str">
        <x:v>Anjoman accounting - refined.xlsx</x:v>
      </x:c>
      <x:c r="B2118" s="31" t="str">
        <x:v>خام_تلگرام</x:v>
      </x:c>
      <x:c r="C2118" s="31" t="str">
        <x:v>C72</x:v>
      </x:c>
      <x:c r="D2118" s="31" t="str">
        <x:v>Deleted Account</x:v>
      </x:c>
      <x:c r="E2118" s="31"/>
    </x:row>
    <x:row r="2119" ht="15" hidden="0" customHeight="1">
      <x:c r="A2119" s="31" t="str">
        <x:v>Anjoman accounting - refined.xlsx</x:v>
      </x:c>
      <x:c r="B2119" s="31" t="str">
        <x:v>خام_تلگرام</x:v>
      </x:c>
      <x:c r="C2119" s="31" t="str">
        <x:v>D72</x:v>
      </x:c>
      <x:c r="D2119" s="31" t="str">
        <x:v>پوستر نشست و کوانتا</x:v>
      </x:c>
      <x:c r="E2119" s="31"/>
    </x:row>
    <x:row r="2120" ht="15" hidden="0" customHeight="1">
      <x:c r="A2120" s="31" t="str">
        <x:v>Anjoman accounting - refined.xlsx</x:v>
      </x:c>
      <x:c r="B2120" s="31" t="str">
        <x:v>خام_تلگرام</x:v>
      </x:c>
      <x:c r="C2120" s="31" t="str">
        <x:v>E72</x:v>
      </x:c>
      <x:c r="D2120" s="31" t="str">
        <x:v>photos/photo_13@12-10-2025_10-24-38.jpg</x:v>
      </x:c>
      <x:c r="E2120" s="31"/>
    </x:row>
    <x:row r="2121" ht="15" hidden="0" customHeight="1">
      <x:c r="A2121" s="31" t="str">
        <x:v>Anjoman accounting - refined.xlsx</x:v>
      </x:c>
      <x:c r="B2121" s="31" t="str">
        <x:v>خام_تلگرام</x:v>
      </x:c>
      <x:c r="C2121" s="31" t="str">
        <x:v>A73</x:v>
      </x:c>
      <x:c r="D2121" s="31" t="str">
        <x:v>message-12</x:v>
      </x:c>
      <x:c r="E2121" s="31"/>
    </x:row>
    <x:row r="2122" ht="15" hidden="0" customHeight="1">
      <x:c r="A2122" s="31" t="str">
        <x:v>Anjoman accounting - refined.xlsx</x:v>
      </x:c>
      <x:c r="B2122" s="31" t="str">
        <x:v>خام_تلگرام</x:v>
      </x:c>
      <x:c r="C2122" s="31" t="str">
        <x:v>D73</x:v>
      </x:c>
      <x:c r="D2122" s="31" t="str">
        <x:v>15 October 2025</x:v>
      </x:c>
      <x:c r="E2122" s="31"/>
    </x:row>
    <x:row r="2123" ht="15" hidden="0" customHeight="1">
      <x:c r="A2123" s="31" t="str">
        <x:v>Anjoman accounting - refined.xlsx</x:v>
      </x:c>
      <x:c r="B2123" s="31" t="str">
        <x:v>خام_تلگرام</x:v>
      </x:c>
      <x:c r="C2123" s="31" t="str">
        <x:v>A74</x:v>
      </x:c>
      <x:c r="D2123" s="31" t="str">
        <x:v>message62</x:v>
      </x:c>
      <x:c r="E2123" s="31"/>
    </x:row>
    <x:row r="2124" ht="15" hidden="0" customHeight="1">
      <x:c r="A2124" s="31" t="str">
        <x:v>Anjoman accounting - refined.xlsx</x:v>
      </x:c>
      <x:c r="B2124" s="31" t="str">
        <x:v>خام_تلگرام</x:v>
      </x:c>
      <x:c r="C2124" s="31" t="str">
        <x:v>B74</x:v>
      </x:c>
      <x:c r="D2124" s="31" t="str">
        <x:v>15.10.2025 14:18:25 UTC+03:30</x:v>
      </x:c>
      <x:c r="E2124" s="31"/>
    </x:row>
    <x:row r="2125" ht="15" hidden="0" customHeight="1">
      <x:c r="A2125" s="31" t="str">
        <x:v>Anjoman accounting - refined.xlsx</x:v>
      </x:c>
      <x:c r="B2125" s="31" t="str">
        <x:v>خام_تلگرام</x:v>
      </x:c>
      <x:c r="C2125" s="31" t="str">
        <x:v>C74</x:v>
      </x:c>
      <x:c r="D2125" s="31" t="str">
        <x:v>Deleted Account</x:v>
      </x:c>
      <x:c r="E2125" s="31"/>
    </x:row>
    <x:row r="2126" ht="15" hidden="0" customHeight="1">
      <x:c r="A2126" s="31" t="str">
        <x:v>Anjoman accounting - refined.xlsx</x:v>
      </x:c>
      <x:c r="B2126" s="31" t="str">
        <x:v>خام_تلگرام</x:v>
      </x:c>
      <x:c r="C2126" s="31" t="str">
        <x:v>D74</x:v>
      </x:c>
      <x:c r="D2126" s="31" t="str">
        <x:v>شیرینی نشست عمومی مورخ 22مهرماه 2کیلو شیرینی خشک سویسی 1کیلو پای آناناس</x:v>
      </x:c>
      <x:c r="E2126" s="31"/>
    </x:row>
    <x:row r="2127" ht="15" hidden="0" customHeight="1">
      <x:c r="A2127" s="31" t="str">
        <x:v>Anjoman accounting - refined.xlsx</x:v>
      </x:c>
      <x:c r="B2127" s="31" t="str">
        <x:v>خام_تلگرام</x:v>
      </x:c>
      <x:c r="C2127" s="31" t="str">
        <x:v>E74</x:v>
      </x:c>
      <x:c r="D2127" s="31" t="str">
        <x:v>photos/photo_14@15-10-2025_14-18-25.jpg</x:v>
      </x:c>
      <x:c r="E2127" s="31"/>
    </x:row>
    <x:row r="2128" ht="15" hidden="0" customHeight="1">
      <x:c r="A2128" s="31" t="str">
        <x:v>Anjoman accounting - refined.xlsx</x:v>
      </x:c>
      <x:c r="B2128" s="31" t="str">
        <x:v>خام_تلگرام</x:v>
      </x:c>
      <x:c r="C2128" s="31" t="str">
        <x:v>A75</x:v>
      </x:c>
      <x:c r="D2128" s="31" t="str">
        <x:v>message63</x:v>
      </x:c>
      <x:c r="E2128" s="31"/>
    </x:row>
    <x:row r="2129" ht="15" hidden="0" customHeight="1">
      <x:c r="A2129" s="31" t="str">
        <x:v>Anjoman accounting - refined.xlsx</x:v>
      </x:c>
      <x:c r="B2129" s="31" t="str">
        <x:v>خام_تلگرام</x:v>
      </x:c>
      <x:c r="C2129" s="31" t="str">
        <x:v>B75</x:v>
      </x:c>
      <x:c r="D2129" s="31" t="str">
        <x:v>15.10.2025 14:18:25 UTC+03:30</x:v>
      </x:c>
      <x:c r="E2129" s="31"/>
    </x:row>
    <x:row r="2130" ht="15" hidden="0" customHeight="1">
      <x:c r="A2130" s="31" t="str">
        <x:v>Anjoman accounting - refined.xlsx</x:v>
      </x:c>
      <x:c r="B2130" s="31" t="str">
        <x:v>خام_تلگرام</x:v>
      </x:c>
      <x:c r="C2130" s="31" t="str">
        <x:v>D75</x:v>
      </x:c>
      <x:c r="D2130" s="31" t="str">
        <x:v>واریزی دکتر مقیمی جهت شیرینی نشست مورخ 22مهرماه</x:v>
      </x:c>
      <x:c r="E2130" s="31"/>
    </x:row>
    <x:row r="2131" ht="15" hidden="0" customHeight="1">
      <x:c r="A2131" s="31" t="str">
        <x:v>Anjoman accounting - refined.xlsx</x:v>
      </x:c>
      <x:c r="B2131" s="31" t="str">
        <x:v>خام_تلگرام</x:v>
      </x:c>
      <x:c r="C2131" s="31" t="str">
        <x:v>E75</x:v>
      </x:c>
      <x:c r="D2131" s="31" t="str">
        <x:v>photos/photo_15@15-10-2025_14-18-25.jpg</x:v>
      </x:c>
      <x:c r="E2131" s="31"/>
    </x:row>
    <x:row r="2132" ht="15" hidden="0" customHeight="1">
      <x:c r="A2132" s="31" t="str">
        <x:v>Anjoman accounting - refined.xlsx</x:v>
      </x:c>
      <x:c r="B2132" s="31" t="str">
        <x:v>خام_تلگرام</x:v>
      </x:c>
      <x:c r="C2132" s="31" t="str">
        <x:v>A76</x:v>
      </x:c>
      <x:c r="D2132" s="31" t="str">
        <x:v>message64</x:v>
      </x:c>
      <x:c r="E2132" s="31"/>
    </x:row>
    <x:row r="2133" ht="15" hidden="0" customHeight="1">
      <x:c r="A2133" s="31" t="str">
        <x:v>Anjoman accounting - refined.xlsx</x:v>
      </x:c>
      <x:c r="B2133" s="31" t="str">
        <x:v>خام_تلگرام</x:v>
      </x:c>
      <x:c r="C2133" s="31" t="str">
        <x:v>B76</x:v>
      </x:c>
      <x:c r="D2133" s="31" t="str">
        <x:v>15.10.2025 14:18:26 UTC+03:30</x:v>
      </x:c>
      <x:c r="E2133" s="31"/>
    </x:row>
    <x:row r="2134" ht="15" hidden="0" customHeight="1">
      <x:c r="A2134" s="31" t="str">
        <x:v>Anjoman accounting - refined.xlsx</x:v>
      </x:c>
      <x:c r="B2134" s="31" t="str">
        <x:v>خام_تلگرام</x:v>
      </x:c>
      <x:c r="C2134" s="31" t="str">
        <x:v>D76</x:v>
      </x:c>
      <x:c r="D2134" s="31" t="str">
        <x:v>دو بسته لیوان پنجاه عددی سه بسته بیسکوئیت چهل عددی یک بسته چایی 100عددی برای انجمن چایی</x:v>
      </x:c>
      <x:c r="E2134" s="31"/>
    </x:row>
    <x:row r="2135" ht="15" hidden="0" customHeight="1">
      <x:c r="A2135" s="31" t="str">
        <x:v>Anjoman accounting - refined.xlsx</x:v>
      </x:c>
      <x:c r="B2135" s="31" t="str">
        <x:v>خام_تلگرام</x:v>
      </x:c>
      <x:c r="C2135" s="31" t="str">
        <x:v>E76</x:v>
      </x:c>
      <x:c r="D2135" s="31" t="str">
        <x:v>photos/photo_16@15-10-2025_14-18-26.jpg</x:v>
      </x:c>
      <x:c r="E2135" s="31"/>
    </x:row>
    <x:row r="2136" ht="15" hidden="0" customHeight="1">
      <x:c r="A2136" s="31" t="str">
        <x:v>Anjoman accounting - refined.xlsx</x:v>
      </x:c>
      <x:c r="B2136" s="31" t="str">
        <x:v>خام_تلگرام</x:v>
      </x:c>
      <x:c r="C2136" s="31" t="str">
        <x:v>A77</x:v>
      </x:c>
      <x:c r="D2136" s="31" t="str">
        <x:v>message65</x:v>
      </x:c>
      <x:c r="E2136" s="31"/>
    </x:row>
    <x:row r="2137" ht="15" hidden="0" customHeight="1">
      <x:c r="A2137" s="31" t="str">
        <x:v>Anjoman accounting - refined.xlsx</x:v>
      </x:c>
      <x:c r="B2137" s="31" t="str">
        <x:v>خام_تلگرام</x:v>
      </x:c>
      <x:c r="C2137" s="31" t="str">
        <x:v>B77</x:v>
      </x:c>
      <x:c r="D2137" s="31" t="str">
        <x:v>15.10.2025 14:18:26 UTC+03:30</x:v>
      </x:c>
      <x:c r="E2137" s="31"/>
    </x:row>
    <x:row r="2138" ht="15" hidden="0" customHeight="1">
      <x:c r="A2138" s="31" t="str">
        <x:v>Anjoman accounting - refined.xlsx</x:v>
      </x:c>
      <x:c r="B2138" s="31" t="str">
        <x:v>خام_تلگرام</x:v>
      </x:c>
      <x:c r="C2138" s="31" t="str">
        <x:v>D77</x:v>
      </x:c>
      <x:c r="D2138" s="31" t="str">
        <x:v>شیرینی پذیرایی جلسه انجمن چایی مورخ 20مهرماه</x:v>
      </x:c>
      <x:c r="E2138" s="31"/>
    </x:row>
    <x:row r="2139" ht="15" hidden="0" customHeight="1">
      <x:c r="A2139" s="31" t="str">
        <x:v>Anjoman accounting - refined.xlsx</x:v>
      </x:c>
      <x:c r="B2139" s="31" t="str">
        <x:v>خام_تلگرام</x:v>
      </x:c>
      <x:c r="C2139" s="31" t="str">
        <x:v>E77</x:v>
      </x:c>
      <x:c r="D2139" s="31" t="str">
        <x:v>photos/photo_17@15-10-2025_14-18-26.jpg</x:v>
      </x:c>
      <x:c r="E2139" s="31"/>
    </x:row>
    <x:row r="2140" ht="15" hidden="0" customHeight="1">
      <x:c r="A2140" s="31" t="str">
        <x:v>Anjoman accounting - refined.xlsx</x:v>
      </x:c>
      <x:c r="B2140" s="31" t="str">
        <x:v>خام_تلگرام</x:v>
      </x:c>
      <x:c r="C2140" s="31" t="str">
        <x:v>A78</x:v>
      </x:c>
      <x:c r="D2140" s="31" t="str">
        <x:v>message-13</x:v>
      </x:c>
      <x:c r="E2140" s="31"/>
    </x:row>
    <x:row r="2141" ht="15" hidden="0" customHeight="1">
      <x:c r="A2141" s="31" t="str">
        <x:v>Anjoman accounting - refined.xlsx</x:v>
      </x:c>
      <x:c r="B2141" s="31" t="str">
        <x:v>خام_تلگرام</x:v>
      </x:c>
      <x:c r="C2141" s="31" t="str">
        <x:v>D78</x:v>
      </x:c>
      <x:c r="D2141" s="31" t="str">
        <x:v>20 October 2025</x:v>
      </x:c>
      <x:c r="E2141" s="31"/>
    </x:row>
    <x:row r="2142" ht="15" hidden="0" customHeight="1">
      <x:c r="A2142" s="31" t="str">
        <x:v>Anjoman accounting - refined.xlsx</x:v>
      </x:c>
      <x:c r="B2142" s="31" t="str">
        <x:v>خام_تلگرام</x:v>
      </x:c>
      <x:c r="C2142" s="31" t="str">
        <x:v>A79</x:v>
      </x:c>
      <x:c r="D2142" s="31" t="str">
        <x:v>message66</x:v>
      </x:c>
      <x:c r="E2142" s="31"/>
    </x:row>
    <x:row r="2143" ht="15" hidden="0" customHeight="1">
      <x:c r="A2143" s="31" t="str">
        <x:v>Anjoman accounting - refined.xlsx</x:v>
      </x:c>
      <x:c r="B2143" s="31" t="str">
        <x:v>خام_تلگرام</x:v>
      </x:c>
      <x:c r="C2143" s="31" t="str">
        <x:v>B79</x:v>
      </x:c>
      <x:c r="D2143" s="31" t="str">
        <x:v>20.10.2025 13:05:39 UTC+03:30</x:v>
      </x:c>
      <x:c r="E2143" s="31"/>
    </x:row>
    <x:row r="2144" ht="15" hidden="0" customHeight="1">
      <x:c r="A2144" s="31" t="str">
        <x:v>Anjoman accounting - refined.xlsx</x:v>
      </x:c>
      <x:c r="B2144" s="31" t="str">
        <x:v>خام_تلگرام</x:v>
      </x:c>
      <x:c r="C2144" s="31" t="str">
        <x:v>C79</x:v>
      </x:c>
      <x:c r="D2144" s="31" t="str">
        <x:v>Deleted Account</x:v>
      </x:c>
      <x:c r="E2144" s="31"/>
    </x:row>
    <x:row r="2145" ht="15" hidden="0" customHeight="1">
      <x:c r="A2145" s="31" t="str">
        <x:v>Anjoman accounting - refined.xlsx</x:v>
      </x:c>
      <x:c r="B2145" s="31" t="str">
        <x:v>خام_تلگرام</x:v>
      </x:c>
      <x:c r="C2145" s="31" t="str">
        <x:v>D79</x:v>
      </x:c>
      <x:c r="D2145" s="31" t="str">
        <x:v>dk-file-2025-10-16-14-43-08.pdf</x:v>
      </x:c>
      <x:c r="E2145" s="31"/>
    </x:row>
    <x:row r="2146" ht="15" hidden="0" customHeight="1">
      <x:c r="A2146" s="31" t="str">
        <x:v>Anjoman accounting - refined.xlsx</x:v>
      </x:c>
      <x:c r="B2146" s="31" t="str">
        <x:v>خام_تلگرام</x:v>
      </x:c>
      <x:c r="C2146" s="31" t="str">
        <x:v>E79</x:v>
      </x:c>
      <x:c r="D2146" s="31" t="str">
        <x:v>files/dk-file-2025-10-16-14-43-08.pdf</x:v>
      </x:c>
      <x:c r="E2146" s="31"/>
    </x:row>
    <x:row r="2147" ht="15" hidden="0" customHeight="1">
      <x:c r="A2147" s="31" t="str">
        <x:v>Anjoman accounting - refined.xlsx</x:v>
      </x:c>
      <x:c r="B2147" s="31" t="str">
        <x:v>خام_تلگرام</x:v>
      </x:c>
      <x:c r="C2147" s="31" t="str">
        <x:v>A80</x:v>
      </x:c>
      <x:c r="D2147" s="31" t="str">
        <x:v>message-14</x:v>
      </x:c>
      <x:c r="E2147" s="31"/>
    </x:row>
    <x:row r="2148" ht="15" hidden="0" customHeight="1">
      <x:c r="A2148" s="31" t="str">
        <x:v>Anjoman accounting - refined.xlsx</x:v>
      </x:c>
      <x:c r="B2148" s="31" t="str">
        <x:v>خام_تلگرام</x:v>
      </x:c>
      <x:c r="C2148" s="31" t="str">
        <x:v>D80</x:v>
      </x:c>
      <x:c r="D2148" s="31" t="str">
        <x:v>28 October 2025</x:v>
      </x:c>
      <x:c r="E2148" s="31"/>
    </x:row>
    <x:row r="2149" ht="15" hidden="0" customHeight="1">
      <x:c r="A2149" s="31" t="str">
        <x:v>Anjoman accounting - refined.xlsx</x:v>
      </x:c>
      <x:c r="B2149" s="31" t="str">
        <x:v>خام_تلگرام</x:v>
      </x:c>
      <x:c r="C2149" s="31" t="str">
        <x:v>A81</x:v>
      </x:c>
      <x:c r="D2149" s="31" t="str">
        <x:v>message67</x:v>
      </x:c>
      <x:c r="E2149" s="31"/>
    </x:row>
    <x:row r="2150" ht="15" hidden="0" customHeight="1">
      <x:c r="A2150" s="31" t="str">
        <x:v>Anjoman accounting - refined.xlsx</x:v>
      </x:c>
      <x:c r="B2150" s="31" t="str">
        <x:v>خام_تلگرام</x:v>
      </x:c>
      <x:c r="C2150" s="31" t="str">
        <x:v>B81</x:v>
      </x:c>
      <x:c r="D2150" s="31" t="str">
        <x:v>28.10.2025 01:53:01 UTC+03:30</x:v>
      </x:c>
      <x:c r="E2150" s="31"/>
    </x:row>
    <x:row r="2151" ht="15" hidden="0" customHeight="1">
      <x:c r="A2151" s="31" t="str">
        <x:v>Anjoman accounting - refined.xlsx</x:v>
      </x:c>
      <x:c r="B2151" s="31" t="str">
        <x:v>خام_تلگرام</x:v>
      </x:c>
      <x:c r="C2151" s="31" t="str">
        <x:v>C81</x:v>
      </x:c>
      <x:c r="D2151" s="31" t="str">
        <x:v>Deleted Account</x:v>
      </x:c>
      <x:c r="E2151" s="31"/>
    </x:row>
    <x:row r="2152" ht="15" hidden="0" customHeight="1">
      <x:c r="A2152" s="31" t="str">
        <x:v>Anjoman accounting - refined.xlsx</x:v>
      </x:c>
      <x:c r="B2152" s="31" t="str">
        <x:v>خام_تلگرام</x:v>
      </x:c>
      <x:c r="C2152" s="31" t="str">
        <x:v>D81</x:v>
      </x:c>
      <x:c r="D2152" s="31" t="str">
        <x:v>01:53 Deleted Account M Mŏ̈bina 28.10.2025 00:13:04</x:v>
      </x:c>
      <x:c r="E2152" s="31"/>
    </x:row>
    <x:row r="2153" ht="15" hidden="0" customHeight="1">
      <x:c r="A2153" s="31" t="str">
        <x:v>Anjoman accounting - refined.xlsx</x:v>
      </x:c>
      <x:c r="B2153" s="31" t="str">
        <x:v>خام_تلگرام</x:v>
      </x:c>
      <x:c r="C2153" s="31" t="str">
        <x:v>E81</x:v>
      </x:c>
      <x:c r="D2153" s="31" t="str">
        <x:v>photos/photo_18@28-10-2025_01-53-01.jpg</x:v>
      </x:c>
      <x:c r="E2153" s="31"/>
    </x:row>
    <x:row r="2154" ht="15" hidden="0" customHeight="1">
      <x:c r="A2154" s="31" t="str">
        <x:v>Anjoman accounting - refined.xlsx</x:v>
      </x:c>
      <x:c r="B2154" s="31" t="str">
        <x:v>خام_تلگرام</x:v>
      </x:c>
      <x:c r="C2154" s="31" t="str">
        <x:v>A82</x:v>
      </x:c>
      <x:c r="D2154" s="31" t="str">
        <x:v>message68</x:v>
      </x:c>
      <x:c r="E2154" s="31"/>
    </x:row>
    <x:row r="2155" ht="15" hidden="0" customHeight="1">
      <x:c r="A2155" s="31" t="str">
        <x:v>Anjoman accounting - refined.xlsx</x:v>
      </x:c>
      <x:c r="B2155" s="31" t="str">
        <x:v>خام_تلگرام</x:v>
      </x:c>
      <x:c r="C2155" s="31" t="str">
        <x:v>B82</x:v>
      </x:c>
      <x:c r="D2155" s="31" t="str">
        <x:v>28.10.2025 01:58:06 UTC+03:30</x:v>
      </x:c>
      <x:c r="E2155" s="31"/>
    </x:row>
    <x:row r="2156" ht="15" hidden="0" customHeight="1">
      <x:c r="A2156" s="31" t="str">
        <x:v>Anjoman accounting - refined.xlsx</x:v>
      </x:c>
      <x:c r="B2156" s="31" t="str">
        <x:v>خام_تلگرام</x:v>
      </x:c>
      <x:c r="C2156" s="31" t="str">
        <x:v>C82</x:v>
      </x:c>
      <x:c r="D2156" s="31" t="str">
        <x:v>Deleted Account</x:v>
      </x:c>
      <x:c r="E2156" s="31"/>
    </x:row>
    <x:row r="2157" ht="15" hidden="0" customHeight="1">
      <x:c r="A2157" s="31" t="str">
        <x:v>Anjoman accounting - refined.xlsx</x:v>
      </x:c>
      <x:c r="B2157" s="31" t="str">
        <x:v>خام_تلگرام</x:v>
      </x:c>
      <x:c r="C2157" s="31" t="str">
        <x:v>D82</x:v>
      </x:c>
      <x:c r="D2157" s="31" t="str">
        <x:v>بابت باتری دوربین فیلم برداری</x:v>
      </x:c>
      <x:c r="E2157" s="31"/>
    </x:row>
    <x:row r="2158" ht="15" hidden="0" customHeight="1">
      <x:c r="A2158" s="31" t="str">
        <x:v>Anjoman accounting - refined.xlsx</x:v>
      </x:c>
      <x:c r="B2158" s="31" t="str">
        <x:v>خام_تلگرام</x:v>
      </x:c>
      <x:c r="C2158" s="31" t="str">
        <x:v>A83</x:v>
      </x:c>
      <x:c r="D2158" s="31" t="str">
        <x:v>message69</x:v>
      </x:c>
      <x:c r="E2158" s="31"/>
    </x:row>
    <x:row r="2159" ht="15" hidden="0" customHeight="1">
      <x:c r="A2159" s="31" t="str">
        <x:v>Anjoman accounting - refined.xlsx</x:v>
      </x:c>
      <x:c r="B2159" s="31" t="str">
        <x:v>خام_تلگرام</x:v>
      </x:c>
      <x:c r="C2159" s="31" t="str">
        <x:v>B83</x:v>
      </x:c>
      <x:c r="D2159" s="31" t="str">
        <x:v>28.10.2025 01:58:07 UTC+03:30</x:v>
      </x:c>
      <x:c r="E2159" s="31"/>
    </x:row>
    <x:row r="2160" ht="15" hidden="0" customHeight="1">
      <x:c r="A2160" s="31" t="str">
        <x:v>Anjoman accounting - refined.xlsx</x:v>
      </x:c>
      <x:c r="B2160" s="31" t="str">
        <x:v>خام_تلگرام</x:v>
      </x:c>
      <x:c r="C2160" s="31" t="str">
        <x:v>D83</x:v>
      </x:c>
      <x:c r="D2160" s="31" t="str">
        <x:v>بابت باتری دوربین فیلم برداری</x:v>
      </x:c>
      <x:c r="E2160" s="31"/>
    </x:row>
    <x:row r="2161" ht="15" hidden="0" customHeight="1">
      <x:c r="A2161" s="31" t="str">
        <x:v>Anjoman accounting - refined.xlsx</x:v>
      </x:c>
      <x:c r="B2161" s="31" t="str">
        <x:v>خام_تلگرام</x:v>
      </x:c>
      <x:c r="C2161" s="31" t="str">
        <x:v>E83</x:v>
      </x:c>
      <x:c r="D2161" s="31" t="str">
        <x:v>photos/photo_19@28-10-2025_01-58-07.jpg</x:v>
      </x:c>
      <x:c r="E2161" s="31"/>
    </x:row>
    <x:row r="2162" ht="15" hidden="0" customHeight="1">
      <x:c r="A2162" s="31" t="str">
        <x:v>Anjoman accounting - refined.xlsx</x:v>
      </x:c>
      <x:c r="B2162" s="31" t="str">
        <x:v>خام_تلگرام</x:v>
      </x:c>
      <x:c r="C2162" s="31" t="str">
        <x:v>A84</x:v>
      </x:c>
      <x:c r="D2162" s="31" t="str">
        <x:v>message71</x:v>
      </x:c>
      <x:c r="E2162" s="31"/>
    </x:row>
    <x:row r="2163" ht="15" hidden="0" customHeight="1">
      <x:c r="A2163" s="31" t="str">
        <x:v>Anjoman accounting - refined.xlsx</x:v>
      </x:c>
      <x:c r="B2163" s="31" t="str">
        <x:v>خام_تلگرام</x:v>
      </x:c>
      <x:c r="C2163" s="31" t="str">
        <x:v>B84</x:v>
      </x:c>
      <x:c r="D2163" s="31" t="str">
        <x:v>28.10.2025 22:07:57 UTC+03:30</x:v>
      </x:c>
      <x:c r="E2163" s="31"/>
    </x:row>
    <x:row r="2164" ht="15" hidden="0" customHeight="1">
      <x:c r="A2164" s="31" t="str">
        <x:v>Anjoman accounting - refined.xlsx</x:v>
      </x:c>
      <x:c r="B2164" s="31" t="str">
        <x:v>خام_تلگرام</x:v>
      </x:c>
      <x:c r="C2164" s="31" t="str">
        <x:v>C84</x:v>
      </x:c>
      <x:c r="D2164" s="31" t="str">
        <x:v>Deleted Account</x:v>
      </x:c>
      <x:c r="E2164" s="31"/>
    </x:row>
    <x:row r="2165" ht="15" hidden="0" customHeight="1">
      <x:c r="A2165" s="31" t="str">
        <x:v>Anjoman accounting - refined.xlsx</x:v>
      </x:c>
      <x:c r="B2165" s="31" t="str">
        <x:v>خام_تلگرام</x:v>
      </x:c>
      <x:c r="C2165" s="31" t="str">
        <x:v>D84</x:v>
      </x:c>
      <x:c r="D2165" s="31" t="str">
        <x:v>22:07 Deleted Account M Mŏ̈bina 28.10.2025 10:19:30</x:v>
      </x:c>
      <x:c r="E2165" s="31"/>
    </x:row>
    <x:row r="2166" ht="15" hidden="0" customHeight="1">
      <x:c r="A2166" s="31" t="str">
        <x:v>Anjoman accounting - refined.xlsx</x:v>
      </x:c>
      <x:c r="B2166" s="31" t="str">
        <x:v>خام_تلگرام</x:v>
      </x:c>
      <x:c r="C2166" s="31" t="str">
        <x:v>E84</x:v>
      </x:c>
      <x:c r="D2166" s="31" t="str">
        <x:v>photos/photo_20@28-10-2025_22-07-57.jpg</x:v>
      </x:c>
      <x:c r="E2166" s="31"/>
    </x:row>
    <x:row r="2167" ht="15" hidden="0" customHeight="1">
      <x:c r="A2167" s="31" t="str">
        <x:v>Anjoman accounting - refined.xlsx</x:v>
      </x:c>
      <x:c r="B2167" s="31" t="str">
        <x:v>خام_تلگرام</x:v>
      </x:c>
      <x:c r="C2167" s="31" t="str">
        <x:v>A85</x:v>
      </x:c>
      <x:c r="D2167" s="31" t="str">
        <x:v>message72</x:v>
      </x:c>
      <x:c r="E2167" s="31"/>
    </x:row>
    <x:row r="2168" ht="15" hidden="0" customHeight="1">
      <x:c r="A2168" s="31" t="str">
        <x:v>Anjoman accounting - refined.xlsx</x:v>
      </x:c>
      <x:c r="B2168" s="31" t="str">
        <x:v>خام_تلگرام</x:v>
      </x:c>
      <x:c r="C2168" s="31" t="str">
        <x:v>B85</x:v>
      </x:c>
      <x:c r="D2168" s="31" t="str">
        <x:v>28.10.2025 22:08:16 UTC+03:30</x:v>
      </x:c>
      <x:c r="E2168" s="31"/>
    </x:row>
    <x:row r="2169" ht="15" hidden="0" customHeight="1">
      <x:c r="A2169" s="31" t="str">
        <x:v>Anjoman accounting - refined.xlsx</x:v>
      </x:c>
      <x:c r="B2169" s="31" t="str">
        <x:v>خام_تلگرام</x:v>
      </x:c>
      <x:c r="C2169" s="31" t="str">
        <x:v>C85</x:v>
      </x:c>
      <x:c r="D2169" s="31" t="str">
        <x:v>Deleted Account</x:v>
      </x:c>
      <x:c r="E2169" s="31"/>
    </x:row>
    <x:row r="2170" ht="15" hidden="0" customHeight="1">
      <x:c r="A2170" s="31" t="str">
        <x:v>Anjoman accounting - refined.xlsx</x:v>
      </x:c>
      <x:c r="B2170" s="31" t="str">
        <x:v>خام_تلگرام</x:v>
      </x:c>
      <x:c r="C2170" s="31" t="str">
        <x:v>D85</x:v>
      </x:c>
      <x:c r="D2170" s="31" t="str">
        <x:v>دریافتی از انجمن پیشین</x:v>
      </x:c>
      <x:c r="E2170" s="31"/>
    </x:row>
    <x:row r="2171" ht="15" hidden="0" customHeight="1">
      <x:c r="A2171" s="31" t="str">
        <x:v>Anjoman accounting - refined.xlsx</x:v>
      </x:c>
      <x:c r="B2171" s="31" t="str">
        <x:v>خام_تلگرام</x:v>
      </x:c>
      <x:c r="C2171" s="31" t="str">
        <x:v>A86</x:v>
      </x:c>
      <x:c r="D2171" s="31" t="str">
        <x:v>message73</x:v>
      </x:c>
      <x:c r="E2171" s="31"/>
    </x:row>
    <x:row r="2172" ht="15" hidden="0" customHeight="1">
      <x:c r="A2172" s="31" t="str">
        <x:v>Anjoman accounting - refined.xlsx</x:v>
      </x:c>
      <x:c r="B2172" s="31" t="str">
        <x:v>خام_تلگرام</x:v>
      </x:c>
      <x:c r="C2172" s="31" t="str">
        <x:v>B86</x:v>
      </x:c>
      <x:c r="D2172" s="31" t="str">
        <x:v>28.10.2025 22:38:17 UTC+03:30</x:v>
      </x:c>
      <x:c r="E2172" s="31"/>
    </x:row>
    <x:row r="2173" ht="15" hidden="0" customHeight="1">
      <x:c r="A2173" s="31" t="str">
        <x:v>Anjoman accounting - refined.xlsx</x:v>
      </x:c>
      <x:c r="B2173" s="31" t="str">
        <x:v>خام_تلگرام</x:v>
      </x:c>
      <x:c r="C2173" s="31" t="str">
        <x:v>C86</x:v>
      </x:c>
      <x:c r="D2173" s="31" t="str">
        <x:v>امین عزیزی</x:v>
      </x:c>
      <x:c r="E2173" s="31"/>
    </x:row>
    <x:row r="2174" ht="15" hidden="0" customHeight="1">
      <x:c r="A2174" s="31" t="str">
        <x:v>Anjoman accounting - refined.xlsx</x:v>
      </x:c>
      <x:c r="B2174" s="31" t="str">
        <x:v>خام_تلگرام</x:v>
      </x:c>
      <x:c r="C2174" s="31" t="str">
        <x:v>D86</x:v>
      </x:c>
      <x:c r="D2174" s="31" t="str">
        <x:v>اینم دریافتی از انجمن سابقه؟</x:v>
      </x:c>
      <x:c r="E2174" s="31"/>
    </x:row>
    <x:row r="2175" ht="15" hidden="0" customHeight="1">
      <x:c r="A2175" s="31" t="str">
        <x:v>Anjoman accounting - refined.xlsx</x:v>
      </x:c>
      <x:c r="B2175" s="31" t="str">
        <x:v>خام_تلگرام</x:v>
      </x:c>
      <x:c r="C2175" s="31" t="str">
        <x:v>A87</x:v>
      </x:c>
      <x:c r="D2175" s="31" t="str">
        <x:v>message74</x:v>
      </x:c>
      <x:c r="E2175" s="31"/>
    </x:row>
    <x:row r="2176" ht="15" hidden="0" customHeight="1">
      <x:c r="A2176" s="31" t="str">
        <x:v>Anjoman accounting - refined.xlsx</x:v>
      </x:c>
      <x:c r="B2176" s="31" t="str">
        <x:v>خام_تلگرام</x:v>
      </x:c>
      <x:c r="C2176" s="31" t="str">
        <x:v>B87</x:v>
      </x:c>
      <x:c r="D2176" s="31" t="str">
        <x:v>28.10.2025 22:40:32 UTC+03:30</x:v>
      </x:c>
      <x:c r="E2176" s="31"/>
    </x:row>
    <x:row r="2177" ht="15" hidden="0" customHeight="1">
      <x:c r="A2177" s="31" t="str">
        <x:v>Anjoman accounting - refined.xlsx</x:v>
      </x:c>
      <x:c r="B2177" s="31" t="str">
        <x:v>خام_تلگرام</x:v>
      </x:c>
      <x:c r="C2177" s="31" t="str">
        <x:v>C87</x:v>
      </x:c>
      <x:c r="D2177" s="31" t="str">
        <x:v>Deleted Account</x:v>
      </x:c>
      <x:c r="E2177" s="31"/>
    </x:row>
    <x:row r="2178" ht="15" hidden="0" customHeight="1">
      <x:c r="A2178" s="31" t="str">
        <x:v>Anjoman accounting - refined.xlsx</x:v>
      </x:c>
      <x:c r="B2178" s="31" t="str">
        <x:v>خام_تلگرام</x:v>
      </x:c>
      <x:c r="C2178" s="31" t="str">
        <x:v>D87</x:v>
      </x:c>
      <x:c r="D2178" s="31" t="str">
        <x:v>درسته</x:v>
      </x:c>
      <x:c r="E2178" s="31"/>
    </x:row>
    <x:row r="2179" ht="15" hidden="0" customHeight="1">
      <x:c r="A2179" s="31" t="str">
        <x:v>Anjoman accounting - refined.xlsx</x:v>
      </x:c>
      <x:c r="B2179" s="31" t="str">
        <x:v>خام_تلگرام</x:v>
      </x:c>
      <x:c r="C2179" s="31" t="str">
        <x:v>A88</x:v>
      </x:c>
      <x:c r="D2179" s="31" t="str">
        <x:v>message75</x:v>
      </x:c>
      <x:c r="E2179" s="31"/>
    </x:row>
    <x:row r="2180" ht="15" hidden="0" customHeight="1">
      <x:c r="A2180" s="31" t="str">
        <x:v>Anjoman accounting - refined.xlsx</x:v>
      </x:c>
      <x:c r="B2180" s="31" t="str">
        <x:v>خام_تلگرام</x:v>
      </x:c>
      <x:c r="C2180" s="31" t="str">
        <x:v>B88</x:v>
      </x:c>
      <x:c r="D2180" s="31" t="str">
        <x:v>28.10.2025 22:40:35 UTC+03:30</x:v>
      </x:c>
      <x:c r="E2180" s="31"/>
    </x:row>
    <x:row r="2181" ht="15" hidden="0" customHeight="1">
      <x:c r="A2181" s="31" t="str">
        <x:v>Anjoman accounting - refined.xlsx</x:v>
      </x:c>
      <x:c r="B2181" s="31" t="str">
        <x:v>خام_تلگرام</x:v>
      </x:c>
      <x:c r="C2181" s="31" t="str">
        <x:v>D88</x:v>
      </x:c>
      <x:c r="D2181" s="31" t="str">
        <x:v>جمعا۱۱</x:v>
      </x:c>
      <x:c r="E2181" s="31"/>
    </x:row>
    <x:row r="2182" ht="15" hidden="0" customHeight="1">
      <x:c r="A2182" s="31" t="str">
        <x:v>Anjoman accounting - refined.xlsx</x:v>
      </x:c>
      <x:c r="B2182" s="31" t="str">
        <x:v>خام_تلگرام</x:v>
      </x:c>
      <x:c r="C2182" s="31" t="str">
        <x:v>A89</x:v>
      </x:c>
      <x:c r="D2182" s="31" t="str">
        <x:v>message76</x:v>
      </x:c>
      <x:c r="E2182" s="31"/>
    </x:row>
    <x:row r="2183" ht="15" hidden="0" customHeight="1">
      <x:c r="A2183" s="31" t="str">
        <x:v>Anjoman accounting - refined.xlsx</x:v>
      </x:c>
      <x:c r="B2183" s="31" t="str">
        <x:v>خام_تلگرام</x:v>
      </x:c>
      <x:c r="C2183" s="31" t="str">
        <x:v>B89</x:v>
      </x:c>
      <x:c r="D2183" s="31" t="str">
        <x:v>28.10.2025 22:47:57 UTC+03:30</x:v>
      </x:c>
      <x:c r="E2183" s="31"/>
    </x:row>
    <x:row r="2184" ht="15" hidden="0" customHeight="1">
      <x:c r="A2184" s="31" t="str">
        <x:v>Anjoman accounting - refined.xlsx</x:v>
      </x:c>
      <x:c r="B2184" s="31" t="str">
        <x:v>خام_تلگرام</x:v>
      </x:c>
      <x:c r="C2184" s="31" t="str">
        <x:v>C89</x:v>
      </x:c>
      <x:c r="D2184" s="31" t="str">
        <x:v>امین عزیزی</x:v>
      </x:c>
      <x:c r="E2184" s="31"/>
    </x:row>
    <x:row r="2185" ht="15" hidden="0" customHeight="1">
      <x:c r="A2185" s="31" t="str">
        <x:v>Anjoman accounting - refined.xlsx</x:v>
      </x:c>
      <x:c r="B2185" s="31" t="str">
        <x:v>خام_تلگرام</x:v>
      </x:c>
      <x:c r="C2185" s="31" t="str">
        <x:v>D89</x:v>
      </x:c>
      <x:c r="D2185" s="31" t="str">
        <x:v>حاجی ورودی پولمون از ۵۰ میلیون گذشت🔥</x:v>
      </x:c>
      <x:c r="E2185" s="31"/>
    </x:row>
    <x:row r="2186" ht="15" hidden="0" customHeight="1">
      <x:c r="A2186" s="31" t="str">
        <x:v>Anjoman accounting - refined.xlsx</x:v>
      </x:c>
      <x:c r="B2186" s="31" t="str">
        <x:v>خام_تلگرام</x:v>
      </x:c>
      <x:c r="C2186" s="31" t="str">
        <x:v>A90</x:v>
      </x:c>
      <x:c r="D2186" s="31" t="str">
        <x:v>message77</x:v>
      </x:c>
      <x:c r="E2186" s="31"/>
    </x:row>
    <x:row r="2187" ht="15" hidden="0" customHeight="1">
      <x:c r="A2187" s="31" t="str">
        <x:v>Anjoman accounting - refined.xlsx</x:v>
      </x:c>
      <x:c r="B2187" s="31" t="str">
        <x:v>خام_تلگرام</x:v>
      </x:c>
      <x:c r="C2187" s="31" t="str">
        <x:v>B90</x:v>
      </x:c>
      <x:c r="D2187" s="31" t="str">
        <x:v>28.10.2025 22:48:51 UTC+03:30</x:v>
      </x:c>
      <x:c r="E2187" s="31"/>
    </x:row>
    <x:row r="2188" ht="15" hidden="0" customHeight="1">
      <x:c r="A2188" s="31" t="str">
        <x:v>Anjoman accounting - refined.xlsx</x:v>
      </x:c>
      <x:c r="B2188" s="31" t="str">
        <x:v>خام_تلگرام</x:v>
      </x:c>
      <x:c r="C2188" s="31" t="str">
        <x:v>C90</x:v>
      </x:c>
      <x:c r="D2188" s="31" t="str">
        <x:v>Deleted Account</x:v>
      </x:c>
      <x:c r="E2188" s="31"/>
    </x:row>
    <x:row r="2189" ht="15" hidden="0" customHeight="1">
      <x:c r="A2189" s="31" t="str">
        <x:v>Anjoman accounting - refined.xlsx</x:v>
      </x:c>
      <x:c r="B2189" s="31" t="str">
        <x:v>خام_تلگرام</x:v>
      </x:c>
      <x:c r="C2189" s="31" t="str">
        <x:v>D90</x:v>
      </x:c>
      <x:c r="D2189" s="31" t="str">
        <x:v>بنازم</x:v>
      </x:c>
      <x:c r="E2189" s="31"/>
    </x:row>
    <x:row r="2190" ht="15" hidden="0" customHeight="1">
      <x:c r="A2190" s="31" t="str">
        <x:v>Anjoman accounting - refined.xlsx</x:v>
      </x:c>
      <x:c r="B2190" s="31" t="str">
        <x:v>خام_تلگرام</x:v>
      </x:c>
      <x:c r="C2190" s="31" t="str">
        <x:v>A91</x:v>
      </x:c>
      <x:c r="D2190" s="31" t="str">
        <x:v>message78</x:v>
      </x:c>
      <x:c r="E2190" s="31"/>
    </x:row>
    <x:row r="2191" ht="15" hidden="0" customHeight="1">
      <x:c r="A2191" s="31" t="str">
        <x:v>Anjoman accounting - refined.xlsx</x:v>
      </x:c>
      <x:c r="B2191" s="31" t="str">
        <x:v>خام_تلگرام</x:v>
      </x:c>
      <x:c r="C2191" s="31" t="str">
        <x:v>B91</x:v>
      </x:c>
      <x:c r="D2191" s="31" t="str">
        <x:v>28.10.2025 22:48:56 UTC+03:30</x:v>
      </x:c>
      <x:c r="E2191" s="31"/>
    </x:row>
    <x:row r="2192" ht="15" hidden="0" customHeight="1">
      <x:c r="A2192" s="31" t="str">
        <x:v>Anjoman accounting - refined.xlsx</x:v>
      </x:c>
      <x:c r="B2192" s="31" t="str">
        <x:v>خام_تلگرام</x:v>
      </x:c>
      <x:c r="C2192" s="31" t="str">
        <x:v>D91</x:v>
      </x:c>
      <x:c r="D2192" s="31" t="str">
        <x:v>صندوق چقدره</x:v>
      </x:c>
      <x:c r="E2192" s="31"/>
    </x:row>
    <x:row r="2193" ht="15" hidden="0" customHeight="1">
      <x:c r="A2193" s="31" t="str">
        <x:v>Anjoman accounting - refined.xlsx</x:v>
      </x:c>
      <x:c r="B2193" s="31" t="str">
        <x:v>خام_تلگرام</x:v>
      </x:c>
      <x:c r="C2193" s="31" t="str">
        <x:v>A92</x:v>
      </x:c>
      <x:c r="D2193" s="31" t="str">
        <x:v>message79</x:v>
      </x:c>
      <x:c r="E2193" s="31"/>
    </x:row>
    <x:row r="2194" ht="15" hidden="0" customHeight="1">
      <x:c r="A2194" s="31" t="str">
        <x:v>Anjoman accounting - refined.xlsx</x:v>
      </x:c>
      <x:c r="B2194" s="31" t="str">
        <x:v>خام_تلگرام</x:v>
      </x:c>
      <x:c r="C2194" s="31" t="str">
        <x:v>B92</x:v>
      </x:c>
      <x:c r="D2194" s="31" t="str">
        <x:v>28.10.2025 22:49:25 UTC+03:30</x:v>
      </x:c>
      <x:c r="E2194" s="31"/>
    </x:row>
    <x:row r="2195" ht="15" hidden="0" customHeight="1">
      <x:c r="A2195" s="31" t="str">
        <x:v>Anjoman accounting - refined.xlsx</x:v>
      </x:c>
      <x:c r="B2195" s="31" t="str">
        <x:v>خام_تلگرام</x:v>
      </x:c>
      <x:c r="C2195" s="31" t="str">
        <x:v>D92</x:v>
      </x:c>
      <x:c r="D2195" s="31" t="str">
        <x:v>یکلی فیش جدیده باید بشینم بزنم بعد بفرستم برات</x:v>
      </x:c>
      <x:c r="E2195" s="31"/>
    </x:row>
    <x:row r="2196" ht="15" hidden="0" customHeight="1">
      <x:c r="A2196" s="31" t="str">
        <x:v>Anjoman accounting - refined.xlsx</x:v>
      </x:c>
      <x:c r="B2196" s="31" t="str">
        <x:v>خام_تلگرام</x:v>
      </x:c>
      <x:c r="C2196" s="31" t="str">
        <x:v>A93</x:v>
      </x:c>
      <x:c r="D2196" s="31" t="str">
        <x:v>message80</x:v>
      </x:c>
      <x:c r="E2196" s="31"/>
    </x:row>
    <x:row r="2197" ht="15" hidden="0" customHeight="1">
      <x:c r="A2197" s="31" t="str">
        <x:v>Anjoman accounting - refined.xlsx</x:v>
      </x:c>
      <x:c r="B2197" s="31" t="str">
        <x:v>خام_تلگرام</x:v>
      </x:c>
      <x:c r="C2197" s="31" t="str">
        <x:v>B93</x:v>
      </x:c>
      <x:c r="D2197" s="31" t="str">
        <x:v>28.10.2025 22:49:48 UTC+03:30</x:v>
      </x:c>
      <x:c r="E2197" s="31"/>
    </x:row>
    <x:row r="2198" ht="15" hidden="0" customHeight="1">
      <x:c r="A2198" s="31" t="str">
        <x:v>Anjoman accounting - refined.xlsx</x:v>
      </x:c>
      <x:c r="B2198" s="31" t="str">
        <x:v>خام_تلگرام</x:v>
      </x:c>
      <x:c r="C2198" s="31" t="str">
        <x:v>D93</x:v>
      </x:c>
      <x:c r="D2198" s="31" t="str">
        <x:v>با جشن جمع شه و غرفه ببینیم چقدر مونده بزنیم به اساس</x:v>
      </x:c>
      <x:c r="E2198" s="31"/>
    </x:row>
    <x:row r="2199" ht="15" hidden="0" customHeight="1">
      <x:c r="A2199" s="31" t="str">
        <x:v>Anjoman accounting - refined.xlsx</x:v>
      </x:c>
      <x:c r="B2199" s="31" t="str">
        <x:v>خام_تلگرام</x:v>
      </x:c>
      <x:c r="C2199" s="31" t="str">
        <x:v>A94</x:v>
      </x:c>
      <x:c r="D2199" s="31" t="str">
        <x:v>message81</x:v>
      </x:c>
      <x:c r="E2199" s="31"/>
    </x:row>
    <x:row r="2200" ht="15" hidden="0" customHeight="1">
      <x:c r="A2200" s="31" t="str">
        <x:v>Anjoman accounting - refined.xlsx</x:v>
      </x:c>
      <x:c r="B2200" s="31" t="str">
        <x:v>خام_تلگرام</x:v>
      </x:c>
      <x:c r="C2200" s="31" t="str">
        <x:v>B94</x:v>
      </x:c>
      <x:c r="D2200" s="31" t="str">
        <x:v>28.10.2025 22:49:48 UTC+03:30</x:v>
      </x:c>
      <x:c r="E2200" s="31"/>
    </x:row>
    <x:row r="2201" ht="15" hidden="0" customHeight="1">
      <x:c r="A2201" s="31" t="str">
        <x:v>Anjoman accounting - refined.xlsx</x:v>
      </x:c>
      <x:c r="B2201" s="31" t="str">
        <x:v>خام_تلگرام</x:v>
      </x:c>
      <x:c r="C2201" s="31" t="str">
        <x:v>C94</x:v>
      </x:c>
      <x:c r="D2201" s="31" t="str">
        <x:v>امین عزیزی</x:v>
      </x:c>
      <x:c r="E2201" s="31"/>
    </x:row>
    <x:row r="2202" ht="15" hidden="0" customHeight="1">
      <x:c r="A2202" s="31" t="str">
        <x:v>Anjoman accounting - refined.xlsx</x:v>
      </x:c>
      <x:c r="B2202" s="31" t="str">
        <x:v>خام_تلگرام</x:v>
      </x:c>
      <x:c r="C2202" s="31" t="str">
        <x:v>D94</x:v>
      </x:c>
      <x:c r="D2202" s="31" t="str">
        <x:v>موجودیمون؟</x:v>
      </x:c>
      <x:c r="E2202" s="31"/>
    </x:row>
    <x:row r="2203" ht="15" hidden="0" customHeight="1">
      <x:c r="A2203" s="31" t="str">
        <x:v>Anjoman accounting - refined.xlsx</x:v>
      </x:c>
      <x:c r="B2203" s="31" t="str">
        <x:v>خام_تلگرام</x:v>
      </x:c>
      <x:c r="C2203" s="31" t="str">
        <x:v>A95</x:v>
      </x:c>
      <x:c r="D2203" s="31" t="str">
        <x:v>message82</x:v>
      </x:c>
      <x:c r="E2203" s="31"/>
    </x:row>
    <x:row r="2204" ht="15" hidden="0" customHeight="1">
      <x:c r="A2204" s="31" t="str">
        <x:v>Anjoman accounting - refined.xlsx</x:v>
      </x:c>
      <x:c r="B2204" s="31" t="str">
        <x:v>خام_تلگرام</x:v>
      </x:c>
      <x:c r="C2204" s="31" t="str">
        <x:v>B95</x:v>
      </x:c>
      <x:c r="D2204" s="31" t="str">
        <x:v>28.10.2025 22:49:57 UTC+03:30</x:v>
      </x:c>
      <x:c r="E2204" s="31"/>
    </x:row>
    <x:row r="2205" ht="15" hidden="0" customHeight="1">
      <x:c r="A2205" s="31" t="str">
        <x:v>Anjoman accounting - refined.xlsx</x:v>
      </x:c>
      <x:c r="B2205" s="31" t="str">
        <x:v>خام_تلگرام</x:v>
      </x:c>
      <x:c r="C2205" s="31" t="str">
        <x:v>C95</x:v>
      </x:c>
      <x:c r="D2205" s="31" t="str">
        <x:v>Deleted Account</x:v>
      </x:c>
      <x:c r="E2205" s="31"/>
    </x:row>
    <x:row r="2206" ht="15" hidden="0" customHeight="1">
      <x:c r="A2206" s="31" t="str">
        <x:v>Anjoman accounting - refined.xlsx</x:v>
      </x:c>
      <x:c r="B2206" s="31" t="str">
        <x:v>خام_تلگرام</x:v>
      </x:c>
      <x:c r="C2206" s="31" t="str">
        <x:v>D95</x:v>
      </x:c>
      <x:c r="D2206" s="31" t="str">
        <x:v>یپ</x:v>
      </x:c>
      <x:c r="E2206" s="31"/>
    </x:row>
    <x:row r="2207" ht="15" hidden="0" customHeight="1">
      <x:c r="A2207" s="31" t="str">
        <x:v>Anjoman accounting - refined.xlsx</x:v>
      </x:c>
      <x:c r="B2207" s="31" t="str">
        <x:v>خام_تلگرام</x:v>
      </x:c>
      <x:c r="C2207" s="31" t="str">
        <x:v>A96</x:v>
      </x:c>
      <x:c r="D2207" s="31" t="str">
        <x:v>message83</x:v>
      </x:c>
      <x:c r="E2207" s="31"/>
    </x:row>
    <x:row r="2208" ht="15" hidden="0" customHeight="1">
      <x:c r="A2208" s="31" t="str">
        <x:v>Anjoman accounting - refined.xlsx</x:v>
      </x:c>
      <x:c r="B2208" s="31" t="str">
        <x:v>خام_تلگرام</x:v>
      </x:c>
      <x:c r="C2208" s="31" t="str">
        <x:v>B96</x:v>
      </x:c>
      <x:c r="D2208" s="31" t="str">
        <x:v>28.10.2025 22:50:21 UTC+03:30</x:v>
      </x:c>
      <x:c r="E2208" s="31"/>
    </x:row>
    <x:row r="2209" ht="15" hidden="0" customHeight="1">
      <x:c r="A2209" s="31" t="str">
        <x:v>Anjoman accounting - refined.xlsx</x:v>
      </x:c>
      <x:c r="B2209" s="31" t="str">
        <x:v>خام_تلگرام</x:v>
      </x:c>
      <x:c r="C2209" s="31" t="str">
        <x:v>C96</x:v>
      </x:c>
      <x:c r="D2209" s="31" t="str">
        <x:v>امین عزیزی</x:v>
      </x:c>
      <x:c r="E2209" s="31"/>
    </x:row>
    <x:row r="2210" ht="15" hidden="0" customHeight="1">
      <x:c r="A2210" s="31" t="str">
        <x:v>Anjoman accounting - refined.xlsx</x:v>
      </x:c>
      <x:c r="B2210" s="31" t="str">
        <x:v>خام_تلگرام</x:v>
      </x:c>
      <x:c r="C2210" s="31" t="str">
        <x:v>D96</x:v>
      </x:c>
      <x:c r="D2210" s="31" t="str">
        <x:v>راستی ایمیل رو چک کردی؟ مقیمی میخواست مطمئن بشه حساب درسته</x:v>
      </x:c>
      <x:c r="E2210" s="31"/>
    </x:row>
    <x:row r="2211" ht="15" hidden="0" customHeight="1">
      <x:c r="A2211" s="31" t="str">
        <x:v>Anjoman accounting - refined.xlsx</x:v>
      </x:c>
      <x:c r="B2211" s="31" t="str">
        <x:v>خام_تلگرام</x:v>
      </x:c>
      <x:c r="C2211" s="31" t="str">
        <x:v>A97</x:v>
      </x:c>
      <x:c r="D2211" s="31" t="str">
        <x:v>message84</x:v>
      </x:c>
      <x:c r="E2211" s="31"/>
    </x:row>
    <x:row r="2212" ht="15" hidden="0" customHeight="1">
      <x:c r="A2212" s="31" t="str">
        <x:v>Anjoman accounting - refined.xlsx</x:v>
      </x:c>
      <x:c r="B2212" s="31" t="str">
        <x:v>خام_تلگرام</x:v>
      </x:c>
      <x:c r="C2212" s="31" t="str">
        <x:v>B97</x:v>
      </x:c>
      <x:c r="D2212" s="31" t="str">
        <x:v>28.10.2025 22:50:34 UTC+03:30</x:v>
      </x:c>
      <x:c r="E2212" s="31"/>
    </x:row>
    <x:row r="2213" ht="15" hidden="0" customHeight="1">
      <x:c r="A2213" s="31" t="str">
        <x:v>Anjoman accounting - refined.xlsx</x:v>
      </x:c>
      <x:c r="B2213" s="31" t="str">
        <x:v>خام_تلگرام</x:v>
      </x:c>
      <x:c r="C2213" s="31" t="str">
        <x:v>C97</x:v>
      </x:c>
      <x:c r="D2213" s="31" t="str">
        <x:v>Deleted Account</x:v>
      </x:c>
      <x:c r="E2213" s="31"/>
    </x:row>
    <x:row r="2214" ht="15" hidden="0" customHeight="1">
      <x:c r="A2214" s="31" t="str">
        <x:v>Anjoman accounting - refined.xlsx</x:v>
      </x:c>
      <x:c r="B2214" s="31" t="str">
        <x:v>خام_تلگرام</x:v>
      </x:c>
      <x:c r="C2214" s="31" t="str">
        <x:v>D97</x:v>
      </x:c>
      <x:c r="D2214" s="31" t="str">
        <x:v>ایمیلا نمیان برا من</x:v>
      </x:c>
      <x:c r="E2214" s="31"/>
    </x:row>
    <x:row r="2215" ht="15" hidden="0" customHeight="1">
      <x:c r="A2215" s="31" t="str">
        <x:v>Anjoman accounting - refined.xlsx</x:v>
      </x:c>
      <x:c r="B2215" s="31" t="str">
        <x:v>خام_تلگرام</x:v>
      </x:c>
      <x:c r="C2215" s="31" t="str">
        <x:v>A98</x:v>
      </x:c>
      <x:c r="D2215" s="31" t="str">
        <x:v>message85</x:v>
      </x:c>
      <x:c r="E2215" s="31"/>
    </x:row>
    <x:row r="2216" ht="15" hidden="0" customHeight="1">
      <x:c r="A2216" s="31" t="str">
        <x:v>Anjoman accounting - refined.xlsx</x:v>
      </x:c>
      <x:c r="B2216" s="31" t="str">
        <x:v>خام_تلگرام</x:v>
      </x:c>
      <x:c r="C2216" s="31" t="str">
        <x:v>B98</x:v>
      </x:c>
      <x:c r="D2216" s="31" t="str">
        <x:v>28.10.2025 22:50:52 UTC+03:30</x:v>
      </x:c>
      <x:c r="E2216" s="31"/>
    </x:row>
    <x:row r="2217" ht="15" hidden="0" customHeight="1">
      <x:c r="A2217" s="31" t="str">
        <x:v>Anjoman accounting - refined.xlsx</x:v>
      </x:c>
      <x:c r="B2217" s="31" t="str">
        <x:v>خام_تلگرام</x:v>
      </x:c>
      <x:c r="C2217" s="31" t="str">
        <x:v>C98</x:v>
      </x:c>
      <x:c r="D2217" s="31" t="str">
        <x:v>امین عزیزی</x:v>
      </x:c>
      <x:c r="E2217" s="31"/>
    </x:row>
    <x:row r="2218" ht="15" hidden="0" customHeight="1">
      <x:c r="A2218" s="31" t="str">
        <x:v>Anjoman accounting - refined.xlsx</x:v>
      </x:c>
      <x:c r="B2218" s="31" t="str">
        <x:v>خام_تلگرام</x:v>
      </x:c>
      <x:c r="C2218" s="31" t="str">
        <x:v>D98</x:v>
      </x:c>
      <x:c r="D2218" s="31" t="str">
        <x:v>ایمیل انجمن رو نداری؟</x:v>
      </x:c>
      <x:c r="E2218" s="31"/>
    </x:row>
    <x:row r="2219" ht="15" hidden="0" customHeight="1">
      <x:c r="A2219" s="31" t="str">
        <x:v>Anjoman accounting - refined.xlsx</x:v>
      </x:c>
      <x:c r="B2219" s="31" t="str">
        <x:v>خام_تلگرام</x:v>
      </x:c>
      <x:c r="C2219" s="31" t="str">
        <x:v>A99</x:v>
      </x:c>
      <x:c r="D2219" s="31" t="str">
        <x:v>message86</x:v>
      </x:c>
      <x:c r="E2219" s="31"/>
    </x:row>
    <x:row r="2220" ht="15" hidden="0" customHeight="1">
      <x:c r="A2220" s="31" t="str">
        <x:v>Anjoman accounting - refined.xlsx</x:v>
      </x:c>
      <x:c r="B2220" s="31" t="str">
        <x:v>خام_تلگرام</x:v>
      </x:c>
      <x:c r="C2220" s="31" t="str">
        <x:v>B99</x:v>
      </x:c>
      <x:c r="D2220" s="31" t="str">
        <x:v>28.10.2025 22:51:00 UTC+03:30</x:v>
      </x:c>
      <x:c r="E2220" s="31"/>
    </x:row>
    <x:row r="2221" ht="15" hidden="0" customHeight="1">
      <x:c r="A2221" s="31" t="str">
        <x:v>Anjoman accounting - refined.xlsx</x:v>
      </x:c>
      <x:c r="B2221" s="31" t="str">
        <x:v>خام_تلگرام</x:v>
      </x:c>
      <x:c r="C2221" s="31" t="str">
        <x:v>D99</x:v>
      </x:c>
      <x:c r="D2221" s="31" t="str">
        <x:v>۲۹۲۰۰</x:v>
      </x:c>
      <x:c r="E2221" s="31"/>
    </x:row>
    <x:row r="2222" ht="15" hidden="0" customHeight="1">
      <x:c r="A2222" s="31" t="str">
        <x:v>Anjoman accounting - refined.xlsx</x:v>
      </x:c>
      <x:c r="B2222" s="31" t="str">
        <x:v>خام_تلگرام</x:v>
      </x:c>
      <x:c r="C2222" s="31" t="str">
        <x:v>A100</x:v>
      </x:c>
      <x:c r="D2222" s="31" t="str">
        <x:v>message87</x:v>
      </x:c>
      <x:c r="E2222" s="31"/>
    </x:row>
    <x:row r="2223" ht="15" hidden="0" customHeight="1">
      <x:c r="A2223" s="31" t="str">
        <x:v>Anjoman accounting - refined.xlsx</x:v>
      </x:c>
      <x:c r="B2223" s="31" t="str">
        <x:v>خام_تلگرام</x:v>
      </x:c>
      <x:c r="C2223" s="31" t="str">
        <x:v>B100</x:v>
      </x:c>
      <x:c r="D2223" s="31" t="str">
        <x:v>28.10.2025 22:57:09 UTC+03:30</x:v>
      </x:c>
      <x:c r="E2223" s="31"/>
    </x:row>
    <x:row r="2224" ht="15" hidden="0" customHeight="1">
      <x:c r="A2224" s="31" t="str">
        <x:v>Anjoman accounting - refined.xlsx</x:v>
      </x:c>
      <x:c r="B2224" s="31" t="str">
        <x:v>خام_تلگرام</x:v>
      </x:c>
      <x:c r="C2224" s="31" t="str">
        <x:v>C100</x:v>
      </x:c>
      <x:c r="D2224" s="31" t="str">
        <x:v>Deleted Account</x:v>
      </x:c>
      <x:c r="E2224" s="31"/>
    </x:row>
    <x:row r="2225" ht="15" hidden="0" customHeight="1">
      <x:c r="A2225" s="31" t="str">
        <x:v>Anjoman accounting - refined.xlsx</x:v>
      </x:c>
      <x:c r="B2225" s="31" t="str">
        <x:v>خام_تلگرام</x:v>
      </x:c>
      <x:c r="C2225" s="31" t="str">
        <x:v>D100</x:v>
      </x:c>
      <x:c r="D2225" s="31" t="str">
        <x:v>دارم نمیاد ولی برا ابی می‌ره ولی روی هیچ دیوایسی از من لاگ نمیندازه</x:v>
      </x:c>
      <x:c r="E2225" s="31"/>
    </x:row>
    <x:row r="2226" ht="15" hidden="0" customHeight="1">
      <x:c r="A2226" s="31" t="str">
        <x:v>Anjoman accounting - refined.xlsx</x:v>
      </x:c>
      <x:c r="B2226" s="31" t="str">
        <x:v>خام_تلگرام</x:v>
      </x:c>
      <x:c r="C2226" s="31" t="str">
        <x:v>A101</x:v>
      </x:c>
      <x:c r="D2226" s="31" t="str">
        <x:v>message-15</x:v>
      </x:c>
      <x:c r="E2226" s="31"/>
    </x:row>
    <x:row r="2227" ht="15" hidden="0" customHeight="1">
      <x:c r="A2227" s="31" t="str">
        <x:v>Anjoman accounting - refined.xlsx</x:v>
      </x:c>
      <x:c r="B2227" s="31" t="str">
        <x:v>خام_تلگرام</x:v>
      </x:c>
      <x:c r="C2227" s="31" t="str">
        <x:v>D101</x:v>
      </x:c>
      <x:c r="D2227" s="31" t="str">
        <x:v>9 November 2025</x:v>
      </x:c>
      <x:c r="E2227" s="31"/>
    </x:row>
    <x:row r="2228" ht="15" hidden="0" customHeight="1">
      <x:c r="A2228" s="31" t="str">
        <x:v>Anjoman accounting - refined.xlsx</x:v>
      </x:c>
      <x:c r="B2228" s="31" t="str">
        <x:v>خام_تلگرام</x:v>
      </x:c>
      <x:c r="C2228" s="31" t="str">
        <x:v>A102</x:v>
      </x:c>
      <x:c r="D2228" s="31" t="str">
        <x:v>message88</x:v>
      </x:c>
      <x:c r="E2228" s="31"/>
    </x:row>
    <x:row r="2229" ht="15" hidden="0" customHeight="1">
      <x:c r="A2229" s="31" t="str">
        <x:v>Anjoman accounting - refined.xlsx</x:v>
      </x:c>
      <x:c r="B2229" s="31" t="str">
        <x:v>خام_تلگرام</x:v>
      </x:c>
      <x:c r="C2229" s="31" t="str">
        <x:v>B102</x:v>
      </x:c>
      <x:c r="D2229" s="31" t="str">
        <x:v>09.11.2025 23:15:44 UTC+03:30</x:v>
      </x:c>
      <x:c r="E2229" s="31"/>
    </x:row>
    <x:row r="2230" ht="15" hidden="0" customHeight="1">
      <x:c r="A2230" s="31" t="str">
        <x:v>Anjoman accounting - refined.xlsx</x:v>
      </x:c>
      <x:c r="B2230" s="31" t="str">
        <x:v>خام_تلگرام</x:v>
      </x:c>
      <x:c r="C2230" s="31" t="str">
        <x:v>C102</x:v>
      </x:c>
      <x:c r="D2230" s="31" t="str">
        <x:v>Deleted Account</x:v>
      </x:c>
      <x:c r="E2230" s="31"/>
    </x:row>
    <x:row r="2231" ht="15" hidden="0" customHeight="1">
      <x:c r="A2231" s="31" t="str">
        <x:v>Anjoman accounting - refined.xlsx</x:v>
      </x:c>
      <x:c r="B2231" s="31" t="str">
        <x:v>خام_تلگرام</x:v>
      </x:c>
      <x:c r="C2231" s="31" t="str">
        <x:v>D102</x:v>
      </x:c>
      <x:c r="D2231" s="31" t="str">
        <x:v>امین سلام خوبی از اردوان بپرس برای جشن چقدر خرج کرده</x:v>
      </x:c>
      <x:c r="E2231" s="31"/>
    </x:row>
    <x:row r="2232" ht="15" hidden="0" customHeight="1">
      <x:c r="A2232" s="31" t="str">
        <x:v>Anjoman accounting - refined.xlsx</x:v>
      </x:c>
      <x:c r="B2232" s="31" t="str">
        <x:v>خام_تلگرام</x:v>
      </x:c>
      <x:c r="C2232" s="31" t="str">
        <x:v>A103</x:v>
      </x:c>
      <x:c r="D2232" s="31" t="str">
        <x:v>message89</x:v>
      </x:c>
      <x:c r="E2232" s="31"/>
    </x:row>
    <x:row r="2233" ht="15" hidden="0" customHeight="1">
      <x:c r="A2233" s="31" t="str">
        <x:v>Anjoman accounting - refined.xlsx</x:v>
      </x:c>
      <x:c r="B2233" s="31" t="str">
        <x:v>خام_تلگرام</x:v>
      </x:c>
      <x:c r="C2233" s="31" t="str">
        <x:v>B103</x:v>
      </x:c>
      <x:c r="D2233" s="31" t="str">
        <x:v>09.11.2025 23:15:53 UTC+03:30</x:v>
      </x:c>
      <x:c r="E2233" s="31"/>
    </x:row>
    <x:row r="2234" ht="15" hidden="0" customHeight="1">
      <x:c r="A2234" s="31" t="str">
        <x:v>Anjoman accounting - refined.xlsx</x:v>
      </x:c>
      <x:c r="B2234" s="31" t="str">
        <x:v>خام_تلگرام</x:v>
      </x:c>
      <x:c r="C2234" s="31" t="str">
        <x:v>D103</x:v>
      </x:c>
      <x:c r="D2234" s="31" t="str">
        <x:v>دوتا فاکتور هست نمی‌دونم کدوم مال اونه</x:v>
      </x:c>
      <x:c r="E2234" s="31"/>
    </x:row>
    <x:row r="2235" ht="15" hidden="0" customHeight="1">
      <x:c r="A2235" s="31" t="str">
        <x:v>Anjoman accounting - refined.xlsx</x:v>
      </x:c>
      <x:c r="B2235" s="31" t="str">
        <x:v>خام_تلگرام</x:v>
      </x:c>
      <x:c r="C2235" s="31" t="str">
        <x:v>A104</x:v>
      </x:c>
      <x:c r="D2235" s="31" t="str">
        <x:v>message90</x:v>
      </x:c>
      <x:c r="E2235" s="31"/>
    </x:row>
    <x:row r="2236" ht="15" hidden="0" customHeight="1">
      <x:c r="A2236" s="31" t="str">
        <x:v>Anjoman accounting - refined.xlsx</x:v>
      </x:c>
      <x:c r="B2236" s="31" t="str">
        <x:v>خام_تلگرام</x:v>
      </x:c>
      <x:c r="C2236" s="31" t="str">
        <x:v>B104</x:v>
      </x:c>
      <x:c r="D2236" s="31" t="str">
        <x:v>09.11.2025 23:16:09 UTC+03:30</x:v>
      </x:c>
      <x:c r="E2236" s="31"/>
    </x:row>
    <x:row r="2237" ht="15" hidden="0" customHeight="1">
      <x:c r="A2237" s="31" t="str">
        <x:v>Anjoman accounting - refined.xlsx</x:v>
      </x:c>
      <x:c r="B2237" s="31" t="str">
        <x:v>خام_تلگرام</x:v>
      </x:c>
      <x:c r="C2237" s="31" t="str">
        <x:v>D104</x:v>
      </x:c>
      <x:c r="D2237" s="31" t="str">
        <x:v>23:16</x:v>
      </x:c>
      <x:c r="E2237" s="31"/>
    </x:row>
    <x:row r="2238" ht="15" hidden="0" customHeight="1">
      <x:c r="A2238" s="31" t="str">
        <x:v>Anjoman accounting - refined.xlsx</x:v>
      </x:c>
      <x:c r="B2238" s="31" t="str">
        <x:v>خام_تلگرام</x:v>
      </x:c>
      <x:c r="C2238" s="31" t="str">
        <x:v>E104</x:v>
      </x:c>
      <x:c r="D2238" s="31" t="str">
        <x:v>photos/photo_21@09-11-2025_23-16-09.jpg</x:v>
      </x:c>
      <x:c r="E2238" s="31"/>
    </x:row>
    <x:row r="2239" ht="15" hidden="0" customHeight="1">
      <x:c r="A2239" s="31" t="str">
        <x:v>Anjoman accounting - refined.xlsx</x:v>
      </x:c>
      <x:c r="B2239" s="31" t="str">
        <x:v>خام_تلگرام</x:v>
      </x:c>
      <x:c r="C2239" s="31" t="str">
        <x:v>A105</x:v>
      </x:c>
      <x:c r="D2239" s="31" t="str">
        <x:v>message91</x:v>
      </x:c>
      <x:c r="E2239" s="31"/>
    </x:row>
    <x:row r="2240" ht="15" hidden="0" customHeight="1">
      <x:c r="A2240" s="31" t="str">
        <x:v>Anjoman accounting - refined.xlsx</x:v>
      </x:c>
      <x:c r="B2240" s="31" t="str">
        <x:v>خام_تلگرام</x:v>
      </x:c>
      <x:c r="C2240" s="31" t="str">
        <x:v>B105</x:v>
      </x:c>
      <x:c r="D2240" s="31" t="str">
        <x:v>09.11.2025 23:16:15 UTC+03:30</x:v>
      </x:c>
      <x:c r="E2240" s="31"/>
    </x:row>
    <x:row r="2241" ht="15" hidden="0" customHeight="1">
      <x:c r="A2241" s="31" t="str">
        <x:v>Anjoman accounting - refined.xlsx</x:v>
      </x:c>
      <x:c r="B2241" s="31" t="str">
        <x:v>خام_تلگرام</x:v>
      </x:c>
      <x:c r="C2241" s="31" t="str">
        <x:v>D105</x:v>
      </x:c>
      <x:c r="D2241" s="31" t="str">
        <x:v>23:16</x:v>
      </x:c>
      <x:c r="E2241" s="31"/>
    </x:row>
    <x:row r="2242" ht="15" hidden="0" customHeight="1">
      <x:c r="A2242" s="31" t="str">
        <x:v>Anjoman accounting - refined.xlsx</x:v>
      </x:c>
      <x:c r="B2242" s="31" t="str">
        <x:v>خام_تلگرام</x:v>
      </x:c>
      <x:c r="C2242" s="31" t="str">
        <x:v>E105</x:v>
      </x:c>
      <x:c r="D2242" s="31" t="str">
        <x:v>photos/photo_22@09-11-2025_23-16-15.jpg</x:v>
      </x:c>
      <x:c r="E2242" s="31"/>
    </x:row>
    <x:row r="2243" ht="15" hidden="0" customHeight="1">
      <x:c r="A2243" s="31" t="str">
        <x:v>Anjoman accounting - refined.xlsx</x:v>
      </x:c>
      <x:c r="B2243" s="31" t="str">
        <x:v>خام_تلگرام</x:v>
      </x:c>
      <x:c r="C2243" s="31" t="str">
        <x:v>A106</x:v>
      </x:c>
      <x:c r="D2243" s="31" t="str">
        <x:v>message92</x:v>
      </x:c>
      <x:c r="E2243" s="31"/>
    </x:row>
    <x:row r="2244" ht="15" hidden="0" customHeight="1">
      <x:c r="A2244" s="31" t="str">
        <x:v>Anjoman accounting - refined.xlsx</x:v>
      </x:c>
      <x:c r="B2244" s="31" t="str">
        <x:v>خام_تلگرام</x:v>
      </x:c>
      <x:c r="C2244" s="31" t="str">
        <x:v>B106</x:v>
      </x:c>
      <x:c r="D2244" s="31" t="str">
        <x:v>09.11.2025 23:46:02 UTC+03:30</x:v>
      </x:c>
      <x:c r="E2244" s="31"/>
    </x:row>
    <x:row r="2245" ht="15" hidden="0" customHeight="1">
      <x:c r="A2245" s="31" t="str">
        <x:v>Anjoman accounting - refined.xlsx</x:v>
      </x:c>
      <x:c r="B2245" s="31" t="str">
        <x:v>خام_تلگرام</x:v>
      </x:c>
      <x:c r="C2245" s="31" t="str">
        <x:v>C106</x:v>
      </x:c>
      <x:c r="D2245" s="31" t="str">
        <x:v>امین عزیزی</x:v>
      </x:c>
      <x:c r="E2245" s="31"/>
    </x:row>
    <x:row r="2246" ht="15" hidden="0" customHeight="1">
      <x:c r="A2246" s="31" t="str">
        <x:v>Anjoman accounting - refined.xlsx</x:v>
      </x:c>
      <x:c r="B2246" s="31" t="str">
        <x:v>خام_تلگرام</x:v>
      </x:c>
      <x:c r="C2246" s="31" t="str">
        <x:v>D106</x:v>
      </x:c>
      <x:c r="D2246" s="31" t="str">
        <x:v>سلام قربونت حللله</x:v>
      </x:c>
      <x:c r="E2246" s="31"/>
    </x:row>
    <x:row r="2247" ht="15" hidden="0" customHeight="1">
      <x:c r="A2247" s="31" t="str">
        <x:v>Anjoman accounting - refined.xlsx</x:v>
      </x:c>
      <x:c r="B2247" s="31" t="str">
        <x:v>خام_تلگرام</x:v>
      </x:c>
      <x:c r="C2247" s="31" t="str">
        <x:v>A107</x:v>
      </x:c>
      <x:c r="D2247" s="31" t="str">
        <x:v>message-16</x:v>
      </x:c>
      <x:c r="E2247" s="31"/>
    </x:row>
    <x:row r="2248" ht="15" hidden="0" customHeight="1">
      <x:c r="A2248" s="31" t="str">
        <x:v>Anjoman accounting - refined.xlsx</x:v>
      </x:c>
      <x:c r="B2248" s="31" t="str">
        <x:v>خام_تلگرام</x:v>
      </x:c>
      <x:c r="C2248" s="31" t="str">
        <x:v>D107</x:v>
      </x:c>
      <x:c r="D2248" s="31" t="str">
        <x:v>12 November 2025</x:v>
      </x:c>
      <x:c r="E2248" s="31"/>
    </x:row>
    <x:row r="2249" ht="15" hidden="0" customHeight="1">
      <x:c r="A2249" s="31" t="str">
        <x:v>Anjoman accounting - refined.xlsx</x:v>
      </x:c>
      <x:c r="B2249" s="31" t="str">
        <x:v>خام_تلگرام</x:v>
      </x:c>
      <x:c r="C2249" s="31" t="str">
        <x:v>A108</x:v>
      </x:c>
      <x:c r="D2249" s="31" t="str">
        <x:v>message93</x:v>
      </x:c>
      <x:c r="E2249" s="31"/>
    </x:row>
    <x:row r="2250" ht="15" hidden="0" customHeight="1">
      <x:c r="A2250" s="31" t="str">
        <x:v>Anjoman accounting - refined.xlsx</x:v>
      </x:c>
      <x:c r="B2250" s="31" t="str">
        <x:v>خام_تلگرام</x:v>
      </x:c>
      <x:c r="C2250" s="31" t="str">
        <x:v>B108</x:v>
      </x:c>
      <x:c r="D2250" s="31" t="str">
        <x:v>12.11.2025 06:40:12 UTC+03:30</x:v>
      </x:c>
      <x:c r="E2250" s="31"/>
    </x:row>
    <x:row r="2251" ht="15" hidden="0" customHeight="1">
      <x:c r="A2251" s="31" t="str">
        <x:v>Anjoman accounting - refined.xlsx</x:v>
      </x:c>
      <x:c r="B2251" s="31" t="str">
        <x:v>خام_تلگرام</x:v>
      </x:c>
      <x:c r="C2251" s="31" t="str">
        <x:v>C108</x:v>
      </x:c>
      <x:c r="D2251" s="31" t="str">
        <x:v>Deleted Account</x:v>
      </x:c>
      <x:c r="E2251" s="31"/>
    </x:row>
    <x:row r="2252" ht="15" hidden="0" customHeight="1">
      <x:c r="A2252" s="31" t="str">
        <x:v>Anjoman accounting - refined.xlsx</x:v>
      </x:c>
      <x:c r="B2252" s="31" t="str">
        <x:v>خام_تلگرام</x:v>
      </x:c>
      <x:c r="C2252" s="31" t="str">
        <x:v>D108</x:v>
      </x:c>
      <x:c r="D2252" s="31" t="str">
        <x:v>امین نازنین صبحت بخیر</x:v>
      </x:c>
      <x:c r="E2252" s="31"/>
    </x:row>
    <x:row r="2253" ht="15" hidden="0" customHeight="1">
      <x:c r="A2253" s="31" t="str">
        <x:v>Anjoman accounting - refined.xlsx</x:v>
      </x:c>
      <x:c r="B2253" s="31" t="str">
        <x:v>خام_تلگرام</x:v>
      </x:c>
      <x:c r="C2253" s="31" t="str">
        <x:v>A109</x:v>
      </x:c>
      <x:c r="D2253" s="31" t="str">
        <x:v>message94</x:v>
      </x:c>
      <x:c r="E2253" s="31"/>
    </x:row>
    <x:row r="2254" ht="15" hidden="0" customHeight="1">
      <x:c r="A2254" s="31" t="str">
        <x:v>Anjoman accounting - refined.xlsx</x:v>
      </x:c>
      <x:c r="B2254" s="31" t="str">
        <x:v>خام_تلگرام</x:v>
      </x:c>
      <x:c r="C2254" s="31" t="str">
        <x:v>B109</x:v>
      </x:c>
      <x:c r="D2254" s="31" t="str">
        <x:v>12.11.2025 06:40:16 UTC+03:30</x:v>
      </x:c>
      <x:c r="E2254" s="31"/>
    </x:row>
    <x:row r="2255" ht="15" hidden="0" customHeight="1">
      <x:c r="A2255" s="31" t="str">
        <x:v>Anjoman accounting - refined.xlsx</x:v>
      </x:c>
      <x:c r="B2255" s="31" t="str">
        <x:v>خام_تلگرام</x:v>
      </x:c>
      <x:c r="C2255" s="31" t="str">
        <x:v>D109</x:v>
      </x:c>
      <x:c r="D2255" s="31" t="str">
        <x:v>این رو امروز خبر بده</x:v>
      </x:c>
      <x:c r="E2255" s="31"/>
    </x:row>
    <x:row r="2256" ht="15" hidden="0" customHeight="1">
      <x:c r="A2256" s="31" t="str">
        <x:v>Anjoman accounting - refined.xlsx</x:v>
      </x:c>
      <x:c r="B2256" s="31" t="str">
        <x:v>خام_تلگرام</x:v>
      </x:c>
      <x:c r="C2256" s="31" t="str">
        <x:v>A110</x:v>
      </x:c>
      <x:c r="D2256" s="31" t="str">
        <x:v>message95</x:v>
      </x:c>
      <x:c r="E2256" s="31"/>
    </x:row>
    <x:row r="2257" ht="15" hidden="0" customHeight="1">
      <x:c r="A2257" s="31" t="str">
        <x:v>Anjoman accounting - refined.xlsx</x:v>
      </x:c>
      <x:c r="B2257" s="31" t="str">
        <x:v>خام_تلگرام</x:v>
      </x:c>
      <x:c r="C2257" s="31" t="str">
        <x:v>B110</x:v>
      </x:c>
      <x:c r="D2257" s="31" t="str">
        <x:v>12.11.2025 06:40:22 UTC+03:30</x:v>
      </x:c>
      <x:c r="E2257" s="31"/>
    </x:row>
    <x:row r="2258" ht="15" hidden="0" customHeight="1">
      <x:c r="A2258" s="31" t="str">
        <x:v>Anjoman accounting - refined.xlsx</x:v>
      </x:c>
      <x:c r="B2258" s="31" t="str">
        <x:v>خام_تلگرام</x:v>
      </x:c>
      <x:c r="C2258" s="31" t="str">
        <x:v>D110</x:v>
      </x:c>
      <x:c r="D2258" s="31" t="str">
        <x:v>شماره کارت راحله هم بگیر</x:v>
      </x:c>
      <x:c r="E2258" s="31"/>
    </x:row>
    <x:row r="2259" ht="15" hidden="0" customHeight="1">
      <x:c r="A2259" s="31" t="str">
        <x:v>Anjoman accounting - refined.xlsx</x:v>
      </x:c>
      <x:c r="B2259" s="31" t="str">
        <x:v>خام_تلگرام</x:v>
      </x:c>
      <x:c r="C2259" s="31" t="str">
        <x:v>A111</x:v>
      </x:c>
      <x:c r="D2259" s="31" t="str">
        <x:v>message96</x:v>
      </x:c>
      <x:c r="E2259" s="31"/>
    </x:row>
    <x:row r="2260" ht="15" hidden="0" customHeight="1">
      <x:c r="A2260" s="31" t="str">
        <x:v>Anjoman accounting - refined.xlsx</x:v>
      </x:c>
      <x:c r="B2260" s="31" t="str">
        <x:v>خام_تلگرام</x:v>
      </x:c>
      <x:c r="C2260" s="31" t="str">
        <x:v>B111</x:v>
      </x:c>
      <x:c r="D2260" s="31" t="str">
        <x:v>12.11.2025 21:51:55 UTC+03:30</x:v>
      </x:c>
      <x:c r="E2260" s="31"/>
    </x:row>
    <x:row r="2261" ht="15" hidden="0" customHeight="1">
      <x:c r="A2261" s="31" t="str">
        <x:v>Anjoman accounting - refined.xlsx</x:v>
      </x:c>
      <x:c r="B2261" s="31" t="str">
        <x:v>خام_تلگرام</x:v>
      </x:c>
      <x:c r="C2261" s="31" t="str">
        <x:v>C111</x:v>
      </x:c>
      <x:c r="D2261" s="31" t="str">
        <x:v>امین عزیزی</x:v>
      </x:c>
      <x:c r="E2261" s="31"/>
    </x:row>
    <x:row r="2262" ht="15" hidden="0" customHeight="1">
      <x:c r="A2262" s="31" t="str">
        <x:v>Anjoman accounting - refined.xlsx</x:v>
      </x:c>
      <x:c r="B2262" s="31" t="str">
        <x:v>خام_تلگرام</x:v>
      </x:c>
      <x:c r="C2262" s="31" t="str">
        <x:v>D111</x:v>
      </x:c>
      <x:c r="D2262" s="31" t="str">
        <x:v>۱۲۰ داده اردوان</x:v>
      </x:c>
      <x:c r="E2262" s="31"/>
    </x:row>
    <x:row r="2263" ht="15" hidden="0" customHeight="1">
      <x:c r="A2263" s="31" t="str">
        <x:v>Anjoman accounting - refined.xlsx</x:v>
      </x:c>
      <x:c r="B2263" s="31" t="str">
        <x:v>خام_تلگرام</x:v>
      </x:c>
      <x:c r="C2263" s="31" t="str">
        <x:v>A112</x:v>
      </x:c>
      <x:c r="D2263" s="31" t="str">
        <x:v>message97</x:v>
      </x:c>
      <x:c r="E2263" s="31"/>
    </x:row>
    <x:row r="2264" ht="15" hidden="0" customHeight="1">
      <x:c r="A2264" s="31" t="str">
        <x:v>Anjoman accounting - refined.xlsx</x:v>
      </x:c>
      <x:c r="B2264" s="31" t="str">
        <x:v>خام_تلگرام</x:v>
      </x:c>
      <x:c r="C2264" s="31" t="str">
        <x:v>B112</x:v>
      </x:c>
      <x:c r="D2264" s="31" t="str">
        <x:v>12.11.2025 22:46:41 UTC+03:30</x:v>
      </x:c>
      <x:c r="E2264" s="31"/>
    </x:row>
    <x:row r="2265" ht="15" hidden="0" customHeight="1">
      <x:c r="A2265" s="31" t="str">
        <x:v>Anjoman accounting - refined.xlsx</x:v>
      </x:c>
      <x:c r="B2265" s="31" t="str">
        <x:v>خام_تلگرام</x:v>
      </x:c>
      <x:c r="C2265" s="31" t="str">
        <x:v>C112</x:v>
      </x:c>
      <x:c r="D2265" s="31" t="str">
        <x:v>امین عزیزی</x:v>
      </x:c>
      <x:c r="E2265" s="31"/>
    </x:row>
    <x:row r="2266" ht="15" hidden="0" customHeight="1">
      <x:c r="A2266" s="31" t="str">
        <x:v>Anjoman accounting - refined.xlsx</x:v>
      </x:c>
      <x:c r="B2266" s="31" t="str">
        <x:v>خام_تلگرام</x:v>
      </x:c>
      <x:c r="C2266" s="31" t="str">
        <x:v>D112</x:v>
      </x:c>
      <x:c r="D2266" s="31" t="str">
        <x:v>5892101714531544</x:v>
      </x:c>
      <x:c r="E2266" s="31"/>
    </x:row>
    <x:row r="2267" ht="15" hidden="0" customHeight="1">
      <x:c r="A2267" s="31" t="str">
        <x:v>Anjoman accounting - refined.xlsx</x:v>
      </x:c>
      <x:c r="B2267" s="31" t="str">
        <x:v>خام_تلگرام</x:v>
      </x:c>
      <x:c r="C2267" s="31" t="str">
        <x:v>A113</x:v>
      </x:c>
      <x:c r="D2267" s="31" t="str">
        <x:v>message98</x:v>
      </x:c>
      <x:c r="E2267" s="31"/>
    </x:row>
    <x:row r="2268" ht="15" hidden="0" customHeight="1">
      <x:c r="A2268" s="31" t="str">
        <x:v>Anjoman accounting - refined.xlsx</x:v>
      </x:c>
      <x:c r="B2268" s="31" t="str">
        <x:v>خام_تلگرام</x:v>
      </x:c>
      <x:c r="C2268" s="31" t="str">
        <x:v>B113</x:v>
      </x:c>
      <x:c r="D2268" s="31" t="str">
        <x:v>12.11.2025 22:46:51 UTC+03:30</x:v>
      </x:c>
      <x:c r="E2268" s="31"/>
    </x:row>
    <x:row r="2269" ht="15" hidden="0" customHeight="1">
      <x:c r="A2269" s="31" t="str">
        <x:v>Anjoman accounting - refined.xlsx</x:v>
      </x:c>
      <x:c r="B2269" s="31" t="str">
        <x:v>خام_تلگرام</x:v>
      </x:c>
      <x:c r="C2269" s="31" t="str">
        <x:v>D113</x:v>
      </x:c>
      <x:c r="D2269" s="31" t="str">
        <x:v>هروقت زدی لایو فیش بفرست</x:v>
      </x:c>
      <x:c r="E2269" s="31"/>
    </x:row>
    <x:row r="2270" ht="15" hidden="0" customHeight="1">
      <x:c r="A2270" s="31" t="str">
        <x:v>Anjoman accounting - refined.xlsx</x:v>
      </x:c>
      <x:c r="B2270" s="31" t="str">
        <x:v>خام_تلگرام</x:v>
      </x:c>
      <x:c r="C2270" s="31" t="str">
        <x:v>A114</x:v>
      </x:c>
      <x:c r="D2270" s="31" t="str">
        <x:v>message-17</x:v>
      </x:c>
      <x:c r="E2270" s="31"/>
    </x:row>
    <x:row r="2271" ht="15" hidden="0" customHeight="1">
      <x:c r="A2271" s="31" t="str">
        <x:v>Anjoman accounting - refined.xlsx</x:v>
      </x:c>
      <x:c r="B2271" s="31" t="str">
        <x:v>خام_تلگرام</x:v>
      </x:c>
      <x:c r="C2271" s="31" t="str">
        <x:v>D114</x:v>
      </x:c>
      <x:c r="D2271" s="31" t="str">
        <x:v>14 November 2025</x:v>
      </x:c>
      <x:c r="E2271" s="31"/>
    </x:row>
    <x:row r="2272" ht="15" hidden="0" customHeight="1">
      <x:c r="A2272" s="31" t="str">
        <x:v>Anjoman accounting - refined.xlsx</x:v>
      </x:c>
      <x:c r="B2272" s="31" t="str">
        <x:v>خام_تلگرام</x:v>
      </x:c>
      <x:c r="C2272" s="31" t="str">
        <x:v>A115</x:v>
      </x:c>
      <x:c r="D2272" s="31" t="str">
        <x:v>message99</x:v>
      </x:c>
      <x:c r="E2272" s="31"/>
    </x:row>
    <x:row r="2273" ht="15" hidden="0" customHeight="1">
      <x:c r="A2273" s="31" t="str">
        <x:v>Anjoman accounting - refined.xlsx</x:v>
      </x:c>
      <x:c r="B2273" s="31" t="str">
        <x:v>خام_تلگرام</x:v>
      </x:c>
      <x:c r="C2273" s="31" t="str">
        <x:v>B115</x:v>
      </x:c>
      <x:c r="D2273" s="31" t="str">
        <x:v>14.11.2025 04:07:19 UTC+03:30</x:v>
      </x:c>
      <x:c r="E2273" s="31"/>
    </x:row>
    <x:row r="2274" ht="15" hidden="0" customHeight="1">
      <x:c r="A2274" s="31" t="str">
        <x:v>Anjoman accounting - refined.xlsx</x:v>
      </x:c>
      <x:c r="B2274" s="31" t="str">
        <x:v>خام_تلگرام</x:v>
      </x:c>
      <x:c r="C2274" s="31" t="str">
        <x:v>C115</x:v>
      </x:c>
      <x:c r="D2274" s="31" t="str">
        <x:v>Deleted Account</x:v>
      </x:c>
      <x:c r="E2274" s="31"/>
    </x:row>
    <x:row r="2275" ht="15" hidden="0" customHeight="1">
      <x:c r="A2275" s="31" t="str">
        <x:v>Anjoman accounting - refined.xlsx</x:v>
      </x:c>
      <x:c r="B2275" s="31" t="str">
        <x:v>خام_تلگرام</x:v>
      </x:c>
      <x:c r="C2275" s="31" t="str">
        <x:v>D115</x:v>
      </x:c>
      <x:c r="D2275" s="31" t="str">
        <x:v>واریزی هزینه چسب بادکنک جشن ورودی</x:v>
      </x:c>
      <x:c r="E2275" s="31"/>
    </x:row>
    <x:row r="2276" ht="15" hidden="0" customHeight="1">
      <x:c r="A2276" s="31" t="str">
        <x:v>Anjoman accounting - refined.xlsx</x:v>
      </x:c>
      <x:c r="B2276" s="31" t="str">
        <x:v>خام_تلگرام</x:v>
      </x:c>
      <x:c r="C2276" s="31" t="str">
        <x:v>E115</x:v>
      </x:c>
      <x:c r="D2276" s="31" t="str">
        <x:v>photos/photo_23@14-11-2025_04-07-19.jpg</x:v>
      </x:c>
      <x:c r="E2276" s="31"/>
    </x:row>
    <x:row r="2277" ht="15" hidden="0" customHeight="1">
      <x:c r="A2277" s="31" t="str">
        <x:v>Anjoman accounting - refined.xlsx</x:v>
      </x:c>
      <x:c r="B2277" s="31" t="str">
        <x:v>خام_تلگرام</x:v>
      </x:c>
      <x:c r="C2277" s="31" t="str">
        <x:v>A116</x:v>
      </x:c>
      <x:c r="D2277" s="31" t="str">
        <x:v>message100</x:v>
      </x:c>
      <x:c r="E2277" s="31"/>
    </x:row>
    <x:row r="2278" ht="15" hidden="0" customHeight="1">
      <x:c r="A2278" s="31" t="str">
        <x:v>Anjoman accounting - refined.xlsx</x:v>
      </x:c>
      <x:c r="B2278" s="31" t="str">
        <x:v>خام_تلگرام</x:v>
      </x:c>
      <x:c r="C2278" s="31" t="str">
        <x:v>B116</x:v>
      </x:c>
      <x:c r="D2278" s="31" t="str">
        <x:v>14.11.2025 04:07:19 UTC+03:30</x:v>
      </x:c>
      <x:c r="E2278" s="31"/>
    </x:row>
    <x:row r="2279" ht="15" hidden="0" customHeight="1">
      <x:c r="A2279" s="31" t="str">
        <x:v>Anjoman accounting - refined.xlsx</x:v>
      </x:c>
      <x:c r="B2279" s="31" t="str">
        <x:v>خام_تلگرام</x:v>
      </x:c>
      <x:c r="C2279" s="31" t="str">
        <x:v>D116</x:v>
      </x:c>
      <x:c r="D2279" s="31" t="str">
        <x:v>واریزی جهت خرید لوازم تزئینات جشن ورودی 1404</x:v>
      </x:c>
      <x:c r="E2279" s="31"/>
    </x:row>
    <x:row r="2280" ht="15" hidden="0" customHeight="1">
      <x:c r="A2280" s="31" t="str">
        <x:v>Anjoman accounting - refined.xlsx</x:v>
      </x:c>
      <x:c r="B2280" s="31" t="str">
        <x:v>خام_تلگرام</x:v>
      </x:c>
      <x:c r="C2280" s="31" t="str">
        <x:v>E116</x:v>
      </x:c>
      <x:c r="D2280" s="31" t="str">
        <x:v>photos/photo_24@14-11-2025_04-07-19.jpg</x:v>
      </x:c>
      <x:c r="E2280" s="31"/>
    </x:row>
    <x:row r="2281" ht="15" hidden="0" customHeight="1">
      <x:c r="A2281" s="31" t="str">
        <x:v>Anjoman accounting - refined.xlsx</x:v>
      </x:c>
      <x:c r="B2281" s="31" t="str">
        <x:v>خام_تلگرام</x:v>
      </x:c>
      <x:c r="C2281" s="31" t="str">
        <x:v>A117</x:v>
      </x:c>
      <x:c r="D2281" s="31" t="str">
        <x:v>message-18</x:v>
      </x:c>
      <x:c r="E2281" s="31"/>
    </x:row>
    <x:row r="2282" ht="15" hidden="0" customHeight="1">
      <x:c r="A2282" s="31" t="str">
        <x:v>Anjoman accounting - refined.xlsx</x:v>
      </x:c>
      <x:c r="B2282" s="31" t="str">
        <x:v>خام_تلگرام</x:v>
      </x:c>
      <x:c r="C2282" s="31" t="str">
        <x:v>D117</x:v>
      </x:c>
      <x:c r="D2282" s="31" t="str">
        <x:v>19 November 2025</x:v>
      </x:c>
      <x:c r="E2282" s="31"/>
    </x:row>
    <x:row r="2283" ht="15" hidden="0" customHeight="1">
      <x:c r="A2283" s="31" t="str">
        <x:v>Anjoman accounting - refined.xlsx</x:v>
      </x:c>
      <x:c r="B2283" s="31" t="str">
        <x:v>خام_تلگرام</x:v>
      </x:c>
      <x:c r="C2283" s="31" t="str">
        <x:v>A118</x:v>
      </x:c>
      <x:c r="D2283" s="31" t="str">
        <x:v>message101</x:v>
      </x:c>
      <x:c r="E2283" s="31"/>
    </x:row>
    <x:row r="2284" ht="15" hidden="0" customHeight="1">
      <x:c r="A2284" s="31" t="str">
        <x:v>Anjoman accounting - refined.xlsx</x:v>
      </x:c>
      <x:c r="B2284" s="31" t="str">
        <x:v>خام_تلگرام</x:v>
      </x:c>
      <x:c r="C2284" s="31" t="str">
        <x:v>B118</x:v>
      </x:c>
      <x:c r="D2284" s="31" t="str">
        <x:v>19.11.2025 11:46:31 UTC+03:30</x:v>
      </x:c>
      <x:c r="E2284" s="31"/>
    </x:row>
    <x:row r="2285" ht="15" hidden="0" customHeight="1">
      <x:c r="A2285" s="31" t="str">
        <x:v>Anjoman accounting - refined.xlsx</x:v>
      </x:c>
      <x:c r="B2285" s="31" t="str">
        <x:v>خام_تلگرام</x:v>
      </x:c>
      <x:c r="C2285" s="31" t="str">
        <x:v>C118</x:v>
      </x:c>
      <x:c r="D2285" s="31" t="str">
        <x:v>Deleted Account</x:v>
      </x:c>
      <x:c r="E2285" s="31"/>
    </x:row>
    <x:row r="2286" ht="15" hidden="0" customHeight="1">
      <x:c r="A2286" s="31" t="str">
        <x:v>Anjoman accounting - refined.xlsx</x:v>
      </x:c>
      <x:c r="B2286" s="31" t="str">
        <x:v>خام_تلگرام</x:v>
      </x:c>
      <x:c r="C2286" s="31" t="str">
        <x:v>D118</x:v>
      </x:c>
      <x:c r="D2286" s="31" t="str">
        <x:v>واریزی دکتر مقیمی جهت هزینه های جاری انجمن</x:v>
      </x:c>
      <x:c r="E2286" s="31"/>
    </x:row>
    <x:row r="2287" ht="15" hidden="0" customHeight="1">
      <x:c r="A2287" s="31" t="str">
        <x:v>Anjoman accounting - refined.xlsx</x:v>
      </x:c>
      <x:c r="B2287" s="31" t="str">
        <x:v>خام_تلگرام</x:v>
      </x:c>
      <x:c r="C2287" s="31" t="str">
        <x:v>A119</x:v>
      </x:c>
      <x:c r="D2287" s="31" t="str">
        <x:v>message102</x:v>
      </x:c>
      <x:c r="E2287" s="31"/>
    </x:row>
    <x:row r="2288" ht="15" hidden="0" customHeight="1">
      <x:c r="A2288" s="31" t="str">
        <x:v>Anjoman accounting - refined.xlsx</x:v>
      </x:c>
      <x:c r="B2288" s="31" t="str">
        <x:v>خام_تلگرام</x:v>
      </x:c>
      <x:c r="C2288" s="31" t="str">
        <x:v>B119</x:v>
      </x:c>
      <x:c r="D2288" s="31" t="str">
        <x:v>19.11.2025 11:46:31 UTC+03:30</x:v>
      </x:c>
      <x:c r="E2288" s="31"/>
    </x:row>
    <x:row r="2289" ht="15" hidden="0" customHeight="1">
      <x:c r="A2289" s="31" t="str">
        <x:v>Anjoman accounting - refined.xlsx</x:v>
      </x:c>
      <x:c r="B2289" s="31" t="str">
        <x:v>خام_تلگرام</x:v>
      </x:c>
      <x:c r="C2289" s="31" t="str">
        <x:v>C119</x:v>
      </x:c>
      <x:c r="D2289" s="31" t="str">
        <x:v>Deleted Account</x:v>
      </x:c>
      <x:c r="E2289" s="31"/>
    </x:row>
    <x:row r="2290" ht="15" hidden="0" customHeight="1">
      <x:c r="A2290" s="31" t="str">
        <x:v>Anjoman accounting - refined.xlsx</x:v>
      </x:c>
      <x:c r="B2290" s="31" t="str">
        <x:v>خام_تلگرام</x:v>
      </x:c>
      <x:c r="C2290" s="31" t="str">
        <x:v>D119</x:v>
      </x:c>
      <x:c r="D2290" s="31" t="str">
        <x:v>11:46 Deleted Account SM Saman Moghimi 19.11.2025 11:44:07</x:v>
      </x:c>
      <x:c r="E2290" s="31"/>
    </x:row>
    <x:row r="2291" ht="15" hidden="0" customHeight="1">
      <x:c r="A2291" s="31" t="str">
        <x:v>Anjoman accounting - refined.xlsx</x:v>
      </x:c>
      <x:c r="B2291" s="31" t="str">
        <x:v>خام_تلگرام</x:v>
      </x:c>
      <x:c r="C2291" s="31" t="str">
        <x:v>E119</x:v>
      </x:c>
      <x:c r="D2291" s="31" t="str">
        <x:v>photos/photo_25@19-11-2025_11-46-31.jpg</x:v>
      </x:c>
      <x:c r="E2291" s="31"/>
    </x:row>
    <x:row r="2292" ht="15" hidden="0" customHeight="1">
      <x:c r="A2292" s="31" t="str">
        <x:v>Anjoman accounting - refined.xlsx</x:v>
      </x:c>
      <x:c r="B2292" s="31" t="str">
        <x:v>خام_تلگرام</x:v>
      </x:c>
      <x:c r="C2292" s="31" t="str">
        <x:v>A120</x:v>
      </x:c>
      <x:c r="D2292" s="31" t="str">
        <x:v>message103</x:v>
      </x:c>
      <x:c r="E2292" s="31"/>
    </x:row>
    <x:row r="2293" ht="15" hidden="0" customHeight="1">
      <x:c r="A2293" s="31" t="str">
        <x:v>Anjoman accounting - refined.xlsx</x:v>
      </x:c>
      <x:c r="B2293" s="31" t="str">
        <x:v>خام_تلگرام</x:v>
      </x:c>
      <x:c r="C2293" s="31" t="str">
        <x:v>B120</x:v>
      </x:c>
      <x:c r="D2293" s="31" t="str">
        <x:v>19.11.2025 11:46:31 UTC+03:30</x:v>
      </x:c>
      <x:c r="E2293" s="31"/>
    </x:row>
    <x:row r="2294" ht="15" hidden="0" customHeight="1">
      <x:c r="A2294" s="31" t="str">
        <x:v>Anjoman accounting - refined.xlsx</x:v>
      </x:c>
      <x:c r="B2294" s="31" t="str">
        <x:v>خام_تلگرام</x:v>
      </x:c>
      <x:c r="C2294" s="31" t="str">
        <x:v>C120</x:v>
      </x:c>
      <x:c r="D2294" s="31" t="str">
        <x:v>Saman Moghimi 19.11.2025 11:44:07</x:v>
      </x:c>
      <x:c r="E2294" s="31"/>
    </x:row>
    <x:row r="2295" ht="15" hidden="0" customHeight="1">
      <x:c r="A2295" s="31" t="str">
        <x:v>Anjoman accounting - refined.xlsx</x:v>
      </x:c>
      <x:c r="B2295" s="31" t="str">
        <x:v>خام_تلگرام</x:v>
      </x:c>
      <x:c r="C2295" s="31" t="str">
        <x:v>D120</x:v>
      </x:c>
      <x:c r="D2295" s="31" t="str">
        <x:v>این فعلا ده میلیون.</x:v>
      </x:c>
      <x:c r="E2295" s="31"/>
    </x:row>
    <x:row r="2296" ht="15" hidden="0" customHeight="1">
      <x:c r="A2296" s="31" t="str">
        <x:v>Anjoman accounting - refined.xlsx</x:v>
      </x:c>
      <x:c r="B2296" s="31" t="str">
        <x:v>خام_تلگرام</x:v>
      </x:c>
      <x:c r="C2296" s="31" t="str">
        <x:v>A121</x:v>
      </x:c>
      <x:c r="D2296" s="31" t="str">
        <x:v>message-19</x:v>
      </x:c>
      <x:c r="E2296" s="31"/>
    </x:row>
    <x:row r="2297" ht="15" hidden="0" customHeight="1">
      <x:c r="A2297" s="31" t="str">
        <x:v>Anjoman accounting - refined.xlsx</x:v>
      </x:c>
      <x:c r="B2297" s="31" t="str">
        <x:v>خام_تلگرام</x:v>
      </x:c>
      <x:c r="C2297" s="31" t="str">
        <x:v>D121</x:v>
      </x:c>
      <x:c r="D2297" s="31" t="str">
        <x:v>21 November 2025</x:v>
      </x:c>
      <x:c r="E2297" s="31"/>
    </x:row>
    <x:row r="2298" ht="15" hidden="0" customHeight="1">
      <x:c r="A2298" s="31" t="str">
        <x:v>Anjoman accounting - refined.xlsx</x:v>
      </x:c>
      <x:c r="B2298" s="31" t="str">
        <x:v>خام_تلگرام</x:v>
      </x:c>
      <x:c r="C2298" s="31" t="str">
        <x:v>A122</x:v>
      </x:c>
      <x:c r="D2298" s="31" t="str">
        <x:v>message105</x:v>
      </x:c>
      <x:c r="E2298" s="31"/>
    </x:row>
    <x:row r="2299" ht="15" hidden="0" customHeight="1">
      <x:c r="A2299" s="31" t="str">
        <x:v>Anjoman accounting - refined.xlsx</x:v>
      </x:c>
      <x:c r="B2299" s="31" t="str">
        <x:v>خام_تلگرام</x:v>
      </x:c>
      <x:c r="C2299" s="31" t="str">
        <x:v>B122</x:v>
      </x:c>
      <x:c r="D2299" s="31" t="str">
        <x:v>21.11.2025 13:25:18 UTC+03:30</x:v>
      </x:c>
      <x:c r="E2299" s="31"/>
    </x:row>
    <x:row r="2300" ht="15" hidden="0" customHeight="1">
      <x:c r="A2300" s="31" t="str">
        <x:v>Anjoman accounting - refined.xlsx</x:v>
      </x:c>
      <x:c r="B2300" s="31" t="str">
        <x:v>خام_تلگرام</x:v>
      </x:c>
      <x:c r="C2300" s="31" t="str">
        <x:v>C122</x:v>
      </x:c>
      <x:c r="D2300" s="31" t="str">
        <x:v>Deleted Account</x:v>
      </x:c>
      <x:c r="E2300" s="31"/>
    </x:row>
    <x:row r="2301" ht="15" hidden="0" customHeight="1">
      <x:c r="A2301" s="31" t="str">
        <x:v>Anjoman accounting - refined.xlsx</x:v>
      </x:c>
      <x:c r="B2301" s="31" t="str">
        <x:v>خام_تلگرام</x:v>
      </x:c>
      <x:c r="C2301" s="31" t="str">
        <x:v>D122</x:v>
      </x:c>
      <x:c r="D2301" s="31" t="str">
        <x:v>1404/07/22 10:40:31 -10,523,750 شیرینی جلسه دیدار با اساتید- انجمن</x:v>
      </x:c>
      <x:c r="E2301" s="31"/>
    </x:row>
    <x:row r="2302" ht="15" hidden="0" customHeight="1">
      <x:c r="A2302" s="31" t="str">
        <x:v>Anjoman accounting - refined.xlsx</x:v>
      </x:c>
      <x:c r="B2302" s="31" t="str">
        <x:v>خام_تلگرام</x:v>
      </x:c>
      <x:c r="C2302" s="31" t="str">
        <x:v>A123</x:v>
      </x:c>
      <x:c r="D2302" s="31" t="str">
        <x:v>message106</x:v>
      </x:c>
      <x:c r="E2302" s="31"/>
    </x:row>
    <x:row r="2303" ht="15" hidden="0" customHeight="1">
      <x:c r="A2303" s="31" t="str">
        <x:v>Anjoman accounting - refined.xlsx</x:v>
      </x:c>
      <x:c r="B2303" s="31" t="str">
        <x:v>خام_تلگرام</x:v>
      </x:c>
      <x:c r="C2303" s="31" t="str">
        <x:v>B123</x:v>
      </x:c>
      <x:c r="D2303" s="31" t="str">
        <x:v>21.11.2025 13:25:31 UTC+03:30</x:v>
      </x:c>
      <x:c r="E2303" s="31"/>
    </x:row>
    <x:row r="2304" ht="15" hidden="0" customHeight="1">
      <x:c r="A2304" s="31" t="str">
        <x:v>Anjoman accounting - refined.xlsx</x:v>
      </x:c>
      <x:c r="B2304" s="31" t="str">
        <x:v>خام_تلگرام</x:v>
      </x:c>
      <x:c r="C2304" s="31" t="str">
        <x:v>D123</x:v>
      </x:c>
      <x:c r="D2304" s="31" t="str">
        <x:v>1404/08/03 16:36:35 -700,000 دستمال - انجمن</x:v>
      </x:c>
      <x:c r="E2304" s="31"/>
    </x:row>
    <x:row r="2305" ht="15" hidden="0" customHeight="1">
      <x:c r="A2305" s="31" t="str">
        <x:v>Anjoman accounting - refined.xlsx</x:v>
      </x:c>
      <x:c r="B2305" s="31" t="str">
        <x:v>خام_تلگرام</x:v>
      </x:c>
      <x:c r="C2305" s="31" t="str">
        <x:v>A124</x:v>
      </x:c>
      <x:c r="D2305" s="31" t="str">
        <x:v>message107</x:v>
      </x:c>
      <x:c r="E2305" s="31"/>
    </x:row>
    <x:row r="2306" ht="15" hidden="0" customHeight="1">
      <x:c r="A2306" s="31" t="str">
        <x:v>Anjoman accounting - refined.xlsx</x:v>
      </x:c>
      <x:c r="B2306" s="31" t="str">
        <x:v>خام_تلگرام</x:v>
      </x:c>
      <x:c r="C2306" s="31" t="str">
        <x:v>B124</x:v>
      </x:c>
      <x:c r="D2306" s="31" t="str">
        <x:v>21.11.2025 13:25:42 UTC+03:30</x:v>
      </x:c>
      <x:c r="E2306" s="31"/>
    </x:row>
    <x:row r="2307" ht="24" hidden="0" customHeight="1">
      <x:c r="A2307" s="31" t="str">
        <x:v>Anjoman accounting - refined.xlsx</x:v>
      </x:c>
      <x:c r="B2307" s="31" t="str">
        <x:v>خام_تلگرام</x:v>
      </x:c>
      <x:c r="C2307" s="31" t="str">
        <x:v>D124</x:v>
      </x:c>
      <x:c r="D2307" s="31" t="str">
        <x:v>1404/08/07 15:18:06 -14,440,000 خرید جایزه جشن - انجمن -دفترچه خودکار و.. 1404/08/07 15:23:42 -15,000,000 خرید جایزه جشن - انجمن -هندزفری و ... 1404/08/07 15:32:21 -14,000,000 خرید جایزه جشن - انجمن - دستبند فرفره و...</x:v>
      </x:c>
      <x:c r="E2307" s="31"/>
    </x:row>
    <x:row r="2308" ht="15" hidden="0" customHeight="1">
      <x:c r="A2308" s="31" t="str">
        <x:v>Anjoman accounting - refined.xlsx</x:v>
      </x:c>
      <x:c r="B2308" s="31" t="str">
        <x:v>خام_تلگرام</x:v>
      </x:c>
      <x:c r="C2308" s="31" t="str">
        <x:v>A125</x:v>
      </x:c>
      <x:c r="D2308" s="31" t="str">
        <x:v>message108</x:v>
      </x:c>
      <x:c r="E2308" s="31"/>
    </x:row>
    <x:row r="2309" ht="15" hidden="0" customHeight="1">
      <x:c r="A2309" s="31" t="str">
        <x:v>Anjoman accounting - refined.xlsx</x:v>
      </x:c>
      <x:c r="B2309" s="31" t="str">
        <x:v>خام_تلگرام</x:v>
      </x:c>
      <x:c r="C2309" s="31" t="str">
        <x:v>B125</x:v>
      </x:c>
      <x:c r="D2309" s="31" t="str">
        <x:v>21.11.2025 13:25:55 UTC+03:30</x:v>
      </x:c>
      <x:c r="E2309" s="31"/>
    </x:row>
    <x:row r="2310" ht="24" hidden="0" customHeight="1">
      <x:c r="A2310" s="31" t="str">
        <x:v>Anjoman accounting - refined.xlsx</x:v>
      </x:c>
      <x:c r="B2310" s="31" t="str">
        <x:v>خام_تلگرام</x:v>
      </x:c>
      <x:c r="C2310" s="31" t="str">
        <x:v>D125</x:v>
      </x:c>
      <x:c r="D2310" s="31" t="str">
        <x:v>1404/08/05 12:16:49 -3,100,000 خرید اتصالات پروژکتور - انجمن 1404/08/05 12:24:15 -17,600,000 خرید حفاظ برق و ابزار جهت اتصال پروژکتور غرفه ها - انجمن 1404/08/05 13:13:11 -2,300,000 پذیرایی غرفه -انجمن</x:v>
      </x:c>
      <x:c r="E2310" s="31"/>
    </x:row>
    <x:row r="2311" ht="15" hidden="0" customHeight="1">
      <x:c r="A2311" s="31" t="str">
        <x:v>Anjoman accounting - refined.xlsx</x:v>
      </x:c>
      <x:c r="B2311" s="31" t="str">
        <x:v>خام_تلگرام</x:v>
      </x:c>
      <x:c r="C2311" s="31" t="str">
        <x:v>A126</x:v>
      </x:c>
      <x:c r="D2311" s="31" t="str">
        <x:v>message109</x:v>
      </x:c>
      <x:c r="E2311" s="31"/>
    </x:row>
    <x:row r="2312" ht="15" hidden="0" customHeight="1">
      <x:c r="A2312" s="31" t="str">
        <x:v>Anjoman accounting - refined.xlsx</x:v>
      </x:c>
      <x:c r="B2312" s="31" t="str">
        <x:v>خام_تلگرام</x:v>
      </x:c>
      <x:c r="C2312" s="31" t="str">
        <x:v>B126</x:v>
      </x:c>
      <x:c r="D2312" s="31" t="str">
        <x:v>21.11.2025 13:26:09 UTC+03:30</x:v>
      </x:c>
      <x:c r="E2312" s="31"/>
    </x:row>
    <x:row r="2313" ht="15" hidden="0" customHeight="1">
      <x:c r="A2313" s="31" t="str">
        <x:v>Anjoman accounting - refined.xlsx</x:v>
      </x:c>
      <x:c r="B2313" s="31" t="str">
        <x:v>خام_تلگرام</x:v>
      </x:c>
      <x:c r="C2313" s="31" t="str">
        <x:v>D126</x:v>
      </x:c>
      <x:c r="D2313" s="31" t="str">
        <x:v>1404/08/28 6:49:28 -12,261,000 دارو برای کمک اولیه - انجمن</x:v>
      </x:c>
      <x:c r="E2313" s="31"/>
    </x:row>
    <x:row r="2314" ht="15" hidden="0" customHeight="1">
      <x:c r="A2314" s="31" t="str">
        <x:v>Anjoman accounting - refined.xlsx</x:v>
      </x:c>
      <x:c r="B2314" s="31" t="str">
        <x:v>خام_تلگرام</x:v>
      </x:c>
      <x:c r="C2314" s="31" t="str">
        <x:v>A127</x:v>
      </x:c>
      <x:c r="D2314" s="31" t="str">
        <x:v>message110</x:v>
      </x:c>
      <x:c r="E2314" s="31"/>
    </x:row>
    <x:row r="2315" ht="15" hidden="0" customHeight="1">
      <x:c r="A2315" s="31" t="str">
        <x:v>Anjoman accounting - refined.xlsx</x:v>
      </x:c>
      <x:c r="B2315" s="31" t="str">
        <x:v>خام_تلگرام</x:v>
      </x:c>
      <x:c r="C2315" s="31" t="str">
        <x:v>B127</x:v>
      </x:c>
      <x:c r="D2315" s="31" t="str">
        <x:v>21.11.2025 13:26:19 UTC+03:30</x:v>
      </x:c>
      <x:c r="E2315" s="31"/>
    </x:row>
    <x:row r="2316" ht="15" hidden="0" customHeight="1">
      <x:c r="A2316" s="31" t="str">
        <x:v>Anjoman accounting - refined.xlsx</x:v>
      </x:c>
      <x:c r="B2316" s="31" t="str">
        <x:v>خام_تلگرام</x:v>
      </x:c>
      <x:c r="C2316" s="31" t="str">
        <x:v>D127</x:v>
      </x:c>
      <x:c r="D2316" s="31" t="str">
        <x:v>1404/08/28 12:55:53 -23,000 چاپ قوانین - انجمن 1404/08/28 12:55:53 -13,000 چاپ قوانین - انجمن</x:v>
      </x:c>
      <x:c r="E2316" s="31"/>
    </x:row>
    <x:row r="2317" ht="15" hidden="0" customHeight="1">
      <x:c r="A2317" s="31" t="str">
        <x:v>Anjoman accounting - refined.xlsx</x:v>
      </x:c>
      <x:c r="B2317" s="31" t="str">
        <x:v>خام_تلگرام</x:v>
      </x:c>
      <x:c r="C2317" s="31" t="str">
        <x:v>A128</x:v>
      </x:c>
      <x:c r="D2317" s="31" t="str">
        <x:v>message111</x:v>
      </x:c>
      <x:c r="E2317" s="31"/>
    </x:row>
    <x:row r="2318" ht="15" hidden="0" customHeight="1">
      <x:c r="A2318" s="31" t="str">
        <x:v>Anjoman accounting - refined.xlsx</x:v>
      </x:c>
      <x:c r="B2318" s="31" t="str">
        <x:v>خام_تلگرام</x:v>
      </x:c>
      <x:c r="C2318" s="31" t="str">
        <x:v>B128</x:v>
      </x:c>
      <x:c r="D2318" s="31" t="str">
        <x:v>21.11.2025 13:33:16 UTC+03:30</x:v>
      </x:c>
      <x:c r="E2318" s="31"/>
    </x:row>
    <x:row r="2319" ht="15" hidden="0" customHeight="1">
      <x:c r="A2319" s="31" t="str">
        <x:v>Anjoman accounting - refined.xlsx</x:v>
      </x:c>
      <x:c r="B2319" s="31" t="str">
        <x:v>خام_تلگرام</x:v>
      </x:c>
      <x:c r="C2319" s="31" t="str">
        <x:v>D128</x:v>
      </x:c>
      <x:c r="D2319" s="31" t="str">
        <x:v>300000 تومن هم پول نقد شاباش جشن</x:v>
      </x:c>
      <x:c r="E2319" s="31"/>
    </x:row>
    <x:row r="2320" ht="15" hidden="0" customHeight="1">
      <x:c r="A2320" s="31" t="str">
        <x:v>Anjoman accounting - refined.xlsx</x:v>
      </x:c>
      <x:c r="B2320" s="31" t="str">
        <x:v>خام_تلگرام</x:v>
      </x:c>
      <x:c r="C2320" s="31" t="str">
        <x:v>A129</x:v>
      </x:c>
      <x:c r="D2320" s="31" t="str">
        <x:v>message-20</x:v>
      </x:c>
      <x:c r="E2320" s="31"/>
    </x:row>
    <x:row r="2321" ht="15" hidden="0" customHeight="1">
      <x:c r="A2321" s="31" t="str">
        <x:v>Anjoman accounting - refined.xlsx</x:v>
      </x:c>
      <x:c r="B2321" s="31" t="str">
        <x:v>خام_تلگرام</x:v>
      </x:c>
      <x:c r="C2321" s="31" t="str">
        <x:v>D129</x:v>
      </x:c>
      <x:c r="D2321" s="31" t="str">
        <x:v>21 December 2025</x:v>
      </x:c>
      <x:c r="E2321" s="31"/>
    </x:row>
    <x:row r="2322" ht="15" hidden="0" customHeight="1">
      <x:c r="A2322" s="31" t="str">
        <x:v>Anjoman accounting - refined.xlsx</x:v>
      </x:c>
      <x:c r="B2322" s="31" t="str">
        <x:v>خام_تلگرام</x:v>
      </x:c>
      <x:c r="C2322" s="31" t="str">
        <x:v>A130</x:v>
      </x:c>
      <x:c r="D2322" s="31" t="str">
        <x:v>message112</x:v>
      </x:c>
      <x:c r="E2322" s="31"/>
    </x:row>
    <x:row r="2323" ht="15" hidden="0" customHeight="1">
      <x:c r="A2323" s="31" t="str">
        <x:v>Anjoman accounting - refined.xlsx</x:v>
      </x:c>
      <x:c r="B2323" s="31" t="str">
        <x:v>خام_تلگرام</x:v>
      </x:c>
      <x:c r="C2323" s="31" t="str">
        <x:v>B130</x:v>
      </x:c>
      <x:c r="D2323" s="31" t="str">
        <x:v>21.12.2025 05:36:21 UTC+03:30</x:v>
      </x:c>
      <x:c r="E2323" s="31"/>
    </x:row>
    <x:row r="2324" ht="15" hidden="0" customHeight="1">
      <x:c r="A2324" s="31" t="str">
        <x:v>Anjoman accounting - refined.xlsx</x:v>
      </x:c>
      <x:c r="B2324" s="31" t="str">
        <x:v>خام_تلگرام</x:v>
      </x:c>
      <x:c r="C2324" s="31" t="str">
        <x:v>C130</x:v>
      </x:c>
      <x:c r="D2324" s="31" t="str">
        <x:v>Deleted Account</x:v>
      </x:c>
      <x:c r="E2324" s="31"/>
    </x:row>
    <x:row r="2325" ht="15" hidden="0" customHeight="1">
      <x:c r="A2325" s="31" t="str">
        <x:v>Anjoman accounting - refined.xlsx</x:v>
      </x:c>
      <x:c r="B2325" s="31" t="str">
        <x:v>خام_تلگرام</x:v>
      </x:c>
      <x:c r="C2325" s="31" t="str">
        <x:v>D130</x:v>
      </x:c>
      <x:c r="D2325" s="31" t="str">
        <x:v>05:36 Deleted Account</x:v>
      </x:c>
      <x:c r="E2325" s="31"/>
    </x:row>
    <x:row r="2326" ht="15" hidden="0" customHeight="1">
      <x:c r="A2326" s="31" t="str">
        <x:v>Anjoman accounting - refined.xlsx</x:v>
      </x:c>
      <x:c r="B2326" s="31" t="str">
        <x:v>خام_تلگرام</x:v>
      </x:c>
      <x:c r="C2326" s="31" t="str">
        <x:v>E130</x:v>
      </x:c>
      <x:c r="D2326" s="31" t="str">
        <x:v>photos/photo_26@21-12-2025_05-36-21.jpg</x:v>
      </x:c>
      <x:c r="E2326" s="31"/>
    </x:row>
    <x:row r="2327" ht="15" hidden="0" customHeight="1">
      <x:c r="A2327" s="31" t="str">
        <x:v>Anjoman accounting - refined.xlsx</x:v>
      </x:c>
      <x:c r="B2327" s="31" t="str">
        <x:v>خام_تلگرام</x:v>
      </x:c>
      <x:c r="C2327" s="31" t="str">
        <x:v>A131</x:v>
      </x:c>
      <x:c r="D2327" s="31" t="str">
        <x:v>message113</x:v>
      </x:c>
      <x:c r="E2327" s="31"/>
    </x:row>
    <x:row r="2328" ht="15" hidden="0" customHeight="1">
      <x:c r="A2328" s="31" t="str">
        <x:v>Anjoman accounting - refined.xlsx</x:v>
      </x:c>
      <x:c r="B2328" s="31" t="str">
        <x:v>خام_تلگرام</x:v>
      </x:c>
      <x:c r="C2328" s="31" t="str">
        <x:v>B131</x:v>
      </x:c>
      <x:c r="D2328" s="31" t="str">
        <x:v>21.12.2025 08:29:22 UTC+03:30</x:v>
      </x:c>
      <x:c r="E2328" s="31"/>
    </x:row>
    <x:row r="2329" ht="15" hidden="0" customHeight="1">
      <x:c r="A2329" s="31" t="str">
        <x:v>Anjoman accounting - refined.xlsx</x:v>
      </x:c>
      <x:c r="B2329" s="31" t="str">
        <x:v>خام_تلگرام</x:v>
      </x:c>
      <x:c r="C2329" s="31" t="str">
        <x:v>C131</x:v>
      </x:c>
      <x:c r="D2329" s="31" t="str">
        <x:v>امین عزیزی</x:v>
      </x:c>
      <x:c r="E2329" s="31"/>
    </x:row>
    <x:row r="2330" ht="15" hidden="0" customHeight="1">
      <x:c r="A2330" s="31" t="str">
        <x:v>Anjoman accounting - refined.xlsx</x:v>
      </x:c>
      <x:c r="B2330" s="31" t="str">
        <x:v>خام_تلگرام</x:v>
      </x:c>
      <x:c r="C2330" s="31" t="str">
        <x:v>D131</x:v>
      </x:c>
      <x:c r="D2330" s="31" t="str">
        <x:v>حاجی چقدر پول داره مقیمی😂</x:v>
      </x:c>
      <x:c r="E2330" s="31"/>
    </x:row>
    <x:row r="2331" ht="15" hidden="0" customHeight="1">
      <x:c r="A2331" s="31" t="str">
        <x:v>Anjoman accounting - refined.xlsx</x:v>
      </x:c>
      <x:c r="B2331" s="31" t="str">
        <x:v>خام_تلگرام</x:v>
      </x:c>
      <x:c r="C2331" s="31" t="str">
        <x:v>A132</x:v>
      </x:c>
      <x:c r="D2331" s="31" t="str">
        <x:v>message-21</x:v>
      </x:c>
      <x:c r="E2331" s="31"/>
    </x:row>
    <x:row r="2332" ht="15" hidden="0" customHeight="1">
      <x:c r="A2332" s="31" t="str">
        <x:v>Anjoman accounting - refined.xlsx</x:v>
      </x:c>
      <x:c r="B2332" s="31" t="str">
        <x:v>خام_تلگرام</x:v>
      </x:c>
      <x:c r="C2332" s="31" t="str">
        <x:v>D132</x:v>
      </x:c>
      <x:c r="D2332" s="31" t="str">
        <x:v>16 February 2026</x:v>
      </x:c>
      <x:c r="E2332" s="31"/>
    </x:row>
    <x:row r="2333" ht="15" hidden="0" customHeight="1">
      <x:c r="A2333" s="31" t="str">
        <x:v>Anjoman accounting - refined.xlsx</x:v>
      </x:c>
      <x:c r="B2333" s="31" t="str">
        <x:v>خام_تلگرام</x:v>
      </x:c>
      <x:c r="C2333" s="31" t="str">
        <x:v>A133</x:v>
      </x:c>
      <x:c r="D2333" s="31" t="str">
        <x:v>message114</x:v>
      </x:c>
      <x:c r="E2333" s="31"/>
    </x:row>
    <x:row r="2334" ht="15" hidden="0" customHeight="1">
      <x:c r="A2334" s="31" t="str">
        <x:v>Anjoman accounting - refined.xlsx</x:v>
      </x:c>
      <x:c r="B2334" s="31" t="str">
        <x:v>خام_تلگرام</x:v>
      </x:c>
      <x:c r="C2334" s="31" t="str">
        <x:v>B133</x:v>
      </x:c>
      <x:c r="D2334" s="31" t="str">
        <x:v>16.02.2026 15:48:21 UTC+03:30</x:v>
      </x:c>
      <x:c r="E2334" s="31"/>
    </x:row>
    <x:row r="2335" ht="15" hidden="0" customHeight="1">
      <x:c r="A2335" s="31" t="str">
        <x:v>Anjoman accounting - refined.xlsx</x:v>
      </x:c>
      <x:c r="B2335" s="31" t="str">
        <x:v>خام_تلگرام</x:v>
      </x:c>
      <x:c r="C2335" s="31" t="str">
        <x:v>C133</x:v>
      </x:c>
      <x:c r="D2335" s="31" t="str">
        <x:v>Deleted Account</x:v>
      </x:c>
      <x:c r="E2335" s="31"/>
    </x:row>
    <x:row r="2336" ht="15" hidden="0" customHeight="1">
      <x:c r="A2336" s="31" t="str">
        <x:v>Anjoman accounting - refined.xlsx</x:v>
      </x:c>
      <x:c r="B2336" s="31" t="str">
        <x:v>خام_تلگرام</x:v>
      </x:c>
      <x:c r="C2336" s="31" t="str">
        <x:v>D133</x:v>
      </x:c>
      <x:c r="D2336" s="31" t="str">
        <x:v>امین برای یلدا اینا رو جزو ورودی ها بزن</x:v>
      </x:c>
      <x:c r="E2336" s="31"/>
    </x:row>
    <x:row r="2337" ht="15" hidden="0" customHeight="1">
      <x:c r="A2337" s="31" t="str">
        <x:v>Anjoman accounting - refined.xlsx</x:v>
      </x:c>
      <x:c r="B2337" s="31" t="str">
        <x:v>خام_تلگرام</x:v>
      </x:c>
      <x:c r="C2337" s="31" t="str">
        <x:v>A134</x:v>
      </x:c>
      <x:c r="D2337" s="31" t="str">
        <x:v>message115</x:v>
      </x:c>
      <x:c r="E2337" s="31"/>
    </x:row>
    <x:row r="2338" ht="15" hidden="0" customHeight="1">
      <x:c r="A2338" s="31" t="str">
        <x:v>Anjoman accounting - refined.xlsx</x:v>
      </x:c>
      <x:c r="B2338" s="31" t="str">
        <x:v>خام_تلگرام</x:v>
      </x:c>
      <x:c r="C2338" s="31" t="str">
        <x:v>B134</x:v>
      </x:c>
      <x:c r="D2338" s="31" t="str">
        <x:v>16.02.2026 15:49:32 UTC+03:30</x:v>
      </x:c>
      <x:c r="E2338" s="31"/>
    </x:row>
    <x:row r="2339" ht="24" hidden="0" customHeight="1">
      <x:c r="A2339" s="31" t="str">
        <x:v>Anjoman accounting - refined.xlsx</x:v>
      </x:c>
      <x:c r="B2339" s="31" t="str">
        <x:v>خام_تلگرام</x:v>
      </x:c>
      <x:c r="C2339" s="31" t="str">
        <x:v>D134</x:v>
      </x:c>
      <x:c r="D2339" s="31" t="str">
        <x:v>بانک سپه واريز:1,500,000ريال حساب:3001254062925 مانده:130,982,851 10/1-10:11 بانک سپه برداشت:100,037,800 حساب : 3001254062925 مانده:30,945,051 10/1-10:29 بانک سپه واريز:5,000,000ريال حساب:3001254062925 مانده:47,945,051 10/1-14:29 بانک سپه واريز:10,000,000ريال حساب:3001254062925 مانده:33,652,252 10/2-7:40</x:v>
      </x:c>
      <x:c r="E2339" s="31"/>
    </x:row>
    <x:row r="2340" ht="15" hidden="0" customHeight="1">
      <x:c r="A2340" s="31" t="str">
        <x:v>Anjoman accounting - refined.xlsx</x:v>
      </x:c>
      <x:c r="B2340" s="31" t="str">
        <x:v>خام_تلگرام</x:v>
      </x:c>
      <x:c r="C2340" s="31" t="str">
        <x:v>A135</x:v>
      </x:c>
      <x:c r="D2340" s="31" t="str">
        <x:v>message116</x:v>
      </x:c>
      <x:c r="E2340" s="31"/>
    </x:row>
    <x:row r="2341" ht="15" hidden="0" customHeight="1">
      <x:c r="A2341" s="31" t="str">
        <x:v>Anjoman accounting - refined.xlsx</x:v>
      </x:c>
      <x:c r="B2341" s="31" t="str">
        <x:v>خام_تلگرام</x:v>
      </x:c>
      <x:c r="C2341" s="31" t="str">
        <x:v>B135</x:v>
      </x:c>
      <x:c r="D2341" s="31" t="str">
        <x:v>16.02.2026 15:50:28 UTC+03:30</x:v>
      </x:c>
      <x:c r="E2341" s="31"/>
    </x:row>
    <x:row r="2342" ht="15" hidden="0" customHeight="1">
      <x:c r="A2342" s="31" t="str">
        <x:v>Anjoman accounting - refined.xlsx</x:v>
      </x:c>
      <x:c r="B2342" s="31" t="str">
        <x:v>خام_تلگرام</x:v>
      </x:c>
      <x:c r="C2342" s="31" t="str">
        <x:v>D135</x:v>
      </x:c>
      <x:c r="D2342" s="31" t="str">
        <x:v>یکم گیج کننده شد ولی جمعا 15,790,000 واریزی نقدی بوده و 700,000 وجه نقد</x:v>
      </x:c>
      <x:c r="E2342" s="31"/>
    </x:row>
    <x:row r="2343" ht="15" hidden="0" customHeight="1">
      <x:c r="A2343" s="31" t="str">
        <x:v>Anjoman accounting - refined.xlsx</x:v>
      </x:c>
      <x:c r="B2343" s="31" t="str">
        <x:v>خام_تلگرام</x:v>
      </x:c>
      <x:c r="C2343" s="31" t="str">
        <x:v>A136</x:v>
      </x:c>
      <x:c r="D2343" s="31" t="str">
        <x:v>message117</x:v>
      </x:c>
      <x:c r="E2343" s="31"/>
    </x:row>
    <x:row r="2344" ht="15" hidden="0" customHeight="1">
      <x:c r="A2344" s="31" t="str">
        <x:v>Anjoman accounting - refined.xlsx</x:v>
      </x:c>
      <x:c r="B2344" s="31" t="str">
        <x:v>خام_تلگرام</x:v>
      </x:c>
      <x:c r="C2344" s="31" t="str">
        <x:v>B136</x:v>
      </x:c>
      <x:c r="D2344" s="31" t="str">
        <x:v>16.02.2026 15:50:53 UTC+03:30</x:v>
      </x:c>
      <x:c r="E2344" s="31"/>
    </x:row>
    <x:row r="2345" ht="15" hidden="0" customHeight="1">
      <x:c r="A2345" s="31" t="str">
        <x:v>Anjoman accounting - refined.xlsx</x:v>
      </x:c>
      <x:c r="B2345" s="31" t="str">
        <x:v>خام_تلگرام</x:v>
      </x:c>
      <x:c r="C2345" s="31" t="str">
        <x:v>D136</x:v>
      </x:c>
      <x:c r="D2345" s="31" t="str">
        <x:v>تا بعد رسیدم تهران فاکتور هارو مرتب کنم بدم بهت</x:v>
      </x:c>
      <x:c r="E2345" s="31"/>
    </x:row>
    <x:row r="2346" ht="15" hidden="0" customHeight="1">
      <x:c r="A2346" s="31" t="str">
        <x:v>Anjoman accounting - refined.xlsx</x:v>
      </x:c>
      <x:c r="B2346" s="31" t="str">
        <x:v>خام_تلگرام</x:v>
      </x:c>
      <x:c r="C2346" s="31" t="str">
        <x:v>A137</x:v>
      </x:c>
      <x:c r="D2346" s="31" t="str">
        <x:v>message-22</x:v>
      </x:c>
      <x:c r="E2346" s="31"/>
    </x:row>
    <x:row r="2347" ht="15" hidden="0" customHeight="1">
      <x:c r="A2347" s="31" t="str">
        <x:v>Anjoman accounting - refined.xlsx</x:v>
      </x:c>
      <x:c r="B2347" s="31" t="str">
        <x:v>خام_تلگرام</x:v>
      </x:c>
      <x:c r="C2347" s="31" t="str">
        <x:v>D137</x:v>
      </x:c>
      <x:c r="D2347" s="31" t="str">
        <x:v>19 February 2026</x:v>
      </x:c>
      <x:c r="E2347" s="31"/>
    </x:row>
    <x:row r="2348" ht="15" hidden="0" customHeight="1">
      <x:c r="A2348" s="31" t="str">
        <x:v>Anjoman accounting - refined.xlsx</x:v>
      </x:c>
      <x:c r="B2348" s="31" t="str">
        <x:v>خام_تلگرام</x:v>
      </x:c>
      <x:c r="C2348" s="31" t="str">
        <x:v>A138</x:v>
      </x:c>
      <x:c r="D2348" s="31" t="str">
        <x:v>message118</x:v>
      </x:c>
      <x:c r="E2348" s="31"/>
    </x:row>
    <x:row r="2349" ht="15" hidden="0" customHeight="1">
      <x:c r="A2349" s="31" t="str">
        <x:v>Anjoman accounting - refined.xlsx</x:v>
      </x:c>
      <x:c r="B2349" s="31" t="str">
        <x:v>خام_تلگرام</x:v>
      </x:c>
      <x:c r="C2349" s="31" t="str">
        <x:v>B138</x:v>
      </x:c>
      <x:c r="D2349" s="31" t="str">
        <x:v>19.02.2026 10:32:24 UTC+03:30</x:v>
      </x:c>
      <x:c r="E2349" s="31"/>
    </x:row>
    <x:row r="2350" ht="15" hidden="0" customHeight="1">
      <x:c r="A2350" s="31" t="str">
        <x:v>Anjoman accounting - refined.xlsx</x:v>
      </x:c>
      <x:c r="B2350" s="31" t="str">
        <x:v>خام_تلگرام</x:v>
      </x:c>
      <x:c r="C2350" s="31" t="str">
        <x:v>C138</x:v>
      </x:c>
      <x:c r="D2350" s="31" t="str">
        <x:v>امین عزیزی</x:v>
      </x:c>
      <x:c r="E2350" s="31"/>
    </x:row>
    <x:row r="2351" ht="15" hidden="0" customHeight="1">
      <x:c r="A2351" s="31" t="str">
        <x:v>Anjoman accounting - refined.xlsx</x:v>
      </x:c>
      <x:c r="B2351" s="31" t="str">
        <x:v>خام_تلگرام</x:v>
      </x:c>
      <x:c r="C2351" s="31" t="str">
        <x:v>D138</x:v>
      </x:c>
      <x:c r="D2351" s="31" t="str">
        <x:v>حسن اینو رو ورودی بزنم؟ زده برداشت این اصلا هست جزوشون یا نه؟</x:v>
      </x:c>
      <x:c r="E2351" s="31"/>
    </x:row>
    <x:row r="2352" ht="15" hidden="0" customHeight="1">
      <x:c r="A2352" s="31" t="str">
        <x:v>Anjoman accounting - refined.xlsx</x:v>
      </x:c>
      <x:c r="B2352" s="31" t="str">
        <x:v>خام_تلگرام</x:v>
      </x:c>
      <x:c r="C2352" s="31" t="str">
        <x:v>A139</x:v>
      </x:c>
      <x:c r="D2352" s="31" t="str">
        <x:v>message119</x:v>
      </x:c>
      <x:c r="E2352" s="31"/>
    </x:row>
    <x:row r="2353" ht="15" hidden="0" customHeight="1">
      <x:c r="A2353" s="31" t="str">
        <x:v>Anjoman accounting - refined.xlsx</x:v>
      </x:c>
      <x:c r="B2353" s="31" t="str">
        <x:v>خام_تلگرام</x:v>
      </x:c>
      <x:c r="C2353" s="31" t="str">
        <x:v>B139</x:v>
      </x:c>
      <x:c r="D2353" s="31" t="str">
        <x:v>19.02.2026 10:35:49 UTC+03:30</x:v>
      </x:c>
      <x:c r="E2353" s="31"/>
    </x:row>
    <x:row r="2354" ht="15" hidden="0" customHeight="1">
      <x:c r="A2354" s="31" t="str">
        <x:v>Anjoman accounting - refined.xlsx</x:v>
      </x:c>
      <x:c r="B2354" s="31" t="str">
        <x:v>خام_تلگرام</x:v>
      </x:c>
      <x:c r="C2354" s="31" t="str">
        <x:v>D139</x:v>
      </x:c>
      <x:c r="D2354" s="31" t="str">
        <x:v>خرج جشن رو هم بگو لطفا</x:v>
      </x:c>
      <x:c r="E2354" s="31"/>
    </x:row>
    <x:row r="2355" ht="15" hidden="0" customHeight="1">
      <x:c r="A2355" s="31" t="str">
        <x:v>Anjoman accounting - refined.xlsx</x:v>
      </x:c>
      <x:c r="B2355" s="31" t="str">
        <x:v>خام_تلگرام</x:v>
      </x:c>
      <x:c r="C2355" s="31" t="str">
        <x:v>A140</x:v>
      </x:c>
      <x:c r="D2355" s="31" t="str">
        <x:v>message-23</x:v>
      </x:c>
      <x:c r="E2355" s="31"/>
    </x:row>
    <x:row r="2356" ht="15" hidden="0" customHeight="1">
      <x:c r="A2356" s="31" t="str">
        <x:v>Anjoman accounting - refined.xlsx</x:v>
      </x:c>
      <x:c r="B2356" s="31" t="str">
        <x:v>خام_تلگرام</x:v>
      </x:c>
      <x:c r="C2356" s="31" t="str">
        <x:v>D140</x:v>
      </x:c>
      <x:c r="D2356" s="31" t="str">
        <x:v>21 February 2026</x:v>
      </x:c>
      <x:c r="E2356" s="31"/>
    </x:row>
    <x:row r="2357" ht="15" hidden="0" customHeight="1">
      <x:c r="A2357" s="31" t="str">
        <x:v>Anjoman accounting - refined.xlsx</x:v>
      </x:c>
      <x:c r="B2357" s="31" t="str">
        <x:v>خام_تلگرام</x:v>
      </x:c>
      <x:c r="C2357" s="31" t="str">
        <x:v>A141</x:v>
      </x:c>
      <x:c r="D2357" s="31" t="str">
        <x:v>message120</x:v>
      </x:c>
      <x:c r="E2357" s="31"/>
    </x:row>
    <x:row r="2358" ht="15" hidden="0" customHeight="1">
      <x:c r="A2358" s="31" t="str">
        <x:v>Anjoman accounting - refined.xlsx</x:v>
      </x:c>
      <x:c r="B2358" s="31" t="str">
        <x:v>خام_تلگرام</x:v>
      </x:c>
      <x:c r="C2358" s="31" t="str">
        <x:v>B141</x:v>
      </x:c>
      <x:c r="D2358" s="31" t="str">
        <x:v>21.02.2026 02:53:32 UTC+03:30</x:v>
      </x:c>
      <x:c r="E2358" s="31"/>
    </x:row>
    <x:row r="2359" ht="15" hidden="0" customHeight="1">
      <x:c r="A2359" s="31" t="str">
        <x:v>Anjoman accounting - refined.xlsx</x:v>
      </x:c>
      <x:c r="B2359" s="31" t="str">
        <x:v>خام_تلگرام</x:v>
      </x:c>
      <x:c r="C2359" s="31" t="str">
        <x:v>C141</x:v>
      </x:c>
      <x:c r="D2359" s="31" t="str">
        <x:v>Deleted Account</x:v>
      </x:c>
      <x:c r="E2359" s="31"/>
    </x:row>
    <x:row r="2360" ht="15" hidden="0" customHeight="1">
      <x:c r="A2360" s="31" t="str">
        <x:v>Anjoman accounting - refined.xlsx</x:v>
      </x:c>
      <x:c r="B2360" s="31" t="str">
        <x:v>خام_تلگرام</x:v>
      </x:c>
      <x:c r="C2360" s="31" t="str">
        <x:v>D141</x:v>
      </x:c>
      <x:c r="D2360" s="31" t="str">
        <x:v>این برداشت برای کارت به کارت هزینه‌ها بوده صرفا گذاشتم که با بقیه واریزی ها جمع بزنی</x:v>
      </x:c>
      <x:c r="E2360" s="31"/>
    </x:row>
    <x:row r="2361" ht="15" hidden="0" customHeight="1">
      <x:c r="A2361" s="31" t="str">
        <x:v>Anjoman accounting - refined.xlsx</x:v>
      </x:c>
      <x:c r="B2361" s="31" t="str">
        <x:v>خام_تلگرام</x:v>
      </x:c>
      <x:c r="C2361" s="31" t="str">
        <x:v>A142</x:v>
      </x:c>
      <x:c r="D2361" s="31" t="str">
        <x:v>message121</x:v>
      </x:c>
      <x:c r="E2361" s="31"/>
    </x:row>
    <x:row r="2362" ht="15" hidden="0" customHeight="1">
      <x:c r="A2362" s="31" t="str">
        <x:v>Anjoman accounting - refined.xlsx</x:v>
      </x:c>
      <x:c r="B2362" s="31" t="str">
        <x:v>خام_تلگرام</x:v>
      </x:c>
      <x:c r="C2362" s="31" t="str">
        <x:v>B142</x:v>
      </x:c>
      <x:c r="D2362" s="31" t="str">
        <x:v>21.02.2026 02:54:33 UTC+03:30</x:v>
      </x:c>
      <x:c r="E2362" s="31"/>
    </x:row>
    <x:row r="2363" ht="15" hidden="0" customHeight="1">
      <x:c r="A2363" s="31" t="str">
        <x:v>Anjoman accounting - refined.xlsx</x:v>
      </x:c>
      <x:c r="B2363" s="31" t="str">
        <x:v>خام_تلگرام</x:v>
      </x:c>
      <x:c r="C2363" s="31" t="str">
        <x:v>D142</x:v>
      </x:c>
      <x:c r="D2363" s="31" t="str">
        <x:v>ولی عدد ورودی کل از منبع کمک مالی جمعی ،برابر جمع این دوتا میشه</x:v>
      </x:c>
      <x:c r="E2363" s="31"/>
    </x:row>
    <x:row r="2364" ht="15" hidden="0" customHeight="1">
      <x:c r="A2364" s="31" t="str">
        <x:v>Anjoman accounting - refined.xlsx</x:v>
      </x:c>
      <x:c r="B2364" s="31" t="str">
        <x:v>خام_تلگرام</x:v>
      </x:c>
      <x:c r="C2364" s="31" t="str">
        <x:v>A143</x:v>
      </x:c>
      <x:c r="D2364" s="31" t="str">
        <x:v>message122</x:v>
      </x:c>
      <x:c r="E2364" s="31"/>
    </x:row>
    <x:row r="2365" ht="15" hidden="0" customHeight="1">
      <x:c r="A2365" s="31" t="str">
        <x:v>Anjoman accounting - refined.xlsx</x:v>
      </x:c>
      <x:c r="B2365" s="31" t="str">
        <x:v>خام_تلگرام</x:v>
      </x:c>
      <x:c r="C2365" s="31" t="str">
        <x:v>B143</x:v>
      </x:c>
      <x:c r="D2365" s="31" t="str">
        <x:v>21.02.2026 02:54:39 UTC+03:30</x:v>
      </x:c>
      <x:c r="E2365" s="31"/>
    </x:row>
    <x:row r="2366" ht="15" hidden="0" customHeight="1">
      <x:c r="A2366" s="31" t="str">
        <x:v>Anjoman accounting - refined.xlsx</x:v>
      </x:c>
      <x:c r="B2366" s="31" t="str">
        <x:v>خام_تلگرام</x:v>
      </x:c>
      <x:c r="C2366" s="31" t="str">
        <x:v>D143</x:v>
      </x:c>
      <x:c r="D2366" s="31" t="str">
        <x:v>حله</x:v>
      </x:c>
      <x:c r="E2366" s="31"/>
    </x:row>
    <x:row r="2367" ht="15" hidden="0" customHeight="1">
      <x:c r="A2367" s="31" t="str">
        <x:v>Anjoman accounting - refined.xlsx</x:v>
      </x:c>
      <x:c r="B2367" s="31" t="str">
        <x:v>خام_تلگرام</x:v>
      </x:c>
      <x:c r="C2367" s="31" t="str">
        <x:v>A144</x:v>
      </x:c>
      <x:c r="D2367" s="31" t="str">
        <x:v>message123</x:v>
      </x:c>
      <x:c r="E2367" s="31"/>
    </x:row>
    <x:row r="2368" ht="15" hidden="0" customHeight="1">
      <x:c r="A2368" s="31" t="str">
        <x:v>Anjoman accounting - refined.xlsx</x:v>
      </x:c>
      <x:c r="B2368" s="31" t="str">
        <x:v>خام_تلگرام</x:v>
      </x:c>
      <x:c r="C2368" s="31" t="str">
        <x:v>B144</x:v>
      </x:c>
      <x:c r="D2368" s="31" t="str">
        <x:v>21.02.2026 02:54:41 UTC+03:30</x:v>
      </x:c>
      <x:c r="E2368" s="31"/>
    </x:row>
    <x:row r="2369" ht="15" hidden="0" customHeight="1">
      <x:c r="A2369" s="31" t="str">
        <x:v>Anjoman accounting - refined.xlsx</x:v>
      </x:c>
      <x:c r="B2369" s="31" t="str">
        <x:v>خام_تلگرام</x:v>
      </x:c>
      <x:c r="C2369" s="31" t="str">
        <x:v>D144</x:v>
      </x:c>
      <x:c r="D2369" s="31" t="str">
        <x:v>.</x:v>
      </x:c>
      <x:c r="E2369" s="31"/>
    </x:row>
    <x:row r="2370" ht="15" hidden="0" customHeight="1">
      <x:c r="A2370" s="31" t="str">
        <x:v>Anjoman accounting - refined.xlsx</x:v>
      </x:c>
      <x:c r="B2370" s="31" t="str">
        <x:v>خام_تلگرام</x:v>
      </x:c>
      <x:c r="C2370" s="31" t="str">
        <x:v>A145</x:v>
      </x:c>
      <x:c r="D2370" s="31" t="str">
        <x:v>message-24</x:v>
      </x:c>
      <x:c r="E2370" s="31"/>
    </x:row>
    <x:row r="2371" ht="15" hidden="0" customHeight="1">
      <x:c r="A2371" s="31" t="str">
        <x:v>Anjoman accounting - refined.xlsx</x:v>
      </x:c>
      <x:c r="B2371" s="31" t="str">
        <x:v>خام_تلگرام</x:v>
      </x:c>
      <x:c r="C2371" s="31" t="str">
        <x:v>D145</x:v>
      </x:c>
      <x:c r="D2371" s="31" t="str">
        <x:v>17 May 2026</x:v>
      </x:c>
      <x:c r="E2371" s="31"/>
    </x:row>
    <x:row r="2372" ht="15" hidden="0" customHeight="1">
      <x:c r="A2372" s="31" t="str">
        <x:v>Anjoman accounting - refined.xlsx</x:v>
      </x:c>
      <x:c r="B2372" s="31" t="str">
        <x:v>خام_تلگرام</x:v>
      </x:c>
      <x:c r="C2372" s="31" t="str">
        <x:v>A146</x:v>
      </x:c>
      <x:c r="D2372" s="31" t="str">
        <x:v>message124</x:v>
      </x:c>
      <x:c r="E2372" s="31"/>
    </x:row>
    <x:row r="2373" ht="15" hidden="0" customHeight="1">
      <x:c r="A2373" s="31" t="str">
        <x:v>Anjoman accounting - refined.xlsx</x:v>
      </x:c>
      <x:c r="B2373" s="31" t="str">
        <x:v>خام_تلگرام</x:v>
      </x:c>
      <x:c r="C2373" s="31" t="str">
        <x:v>B146</x:v>
      </x:c>
      <x:c r="D2373" s="31" t="str">
        <x:v>17.05.2026 19:45:07 UTC+03:30</x:v>
      </x:c>
      <x:c r="E2373" s="31"/>
    </x:row>
    <x:row r="2374" ht="15" hidden="0" customHeight="1">
      <x:c r="A2374" s="31" t="str">
        <x:v>Anjoman accounting - refined.xlsx</x:v>
      </x:c>
      <x:c r="B2374" s="31" t="str">
        <x:v>خام_تلگرام</x:v>
      </x:c>
      <x:c r="C2374" s="31" t="str">
        <x:v>C146</x:v>
      </x:c>
      <x:c r="D2374" s="31" t="str">
        <x:v>Deleted Account</x:v>
      </x:c>
      <x:c r="E2374" s="31"/>
    </x:row>
    <x:row r="2375" ht="15" hidden="0" customHeight="1">
      <x:c r="A2375" s="31" t="str">
        <x:v>Anjoman accounting - refined.xlsx</x:v>
      </x:c>
      <x:c r="B2375" s="31" t="str">
        <x:v>خام_تلگرام</x:v>
      </x:c>
      <x:c r="C2375" s="31" t="str">
        <x:v>D146</x:v>
      </x:c>
      <x:c r="D2375" s="31" t="str">
        <x:v>19:45 Deleted Account P Parnian 13.05.2026 13:19:49 CamScanner 13-05-2026 12.43 (1).pdf 7.0 MB</x:v>
      </x:c>
      <x:c r="E2375" s="31"/>
    </x:row>
    <x:row r="2376" ht="15" hidden="0" customHeight="1">
      <x:c r="A2376" s="31" t="str">
        <x:v>Anjoman accounting - refined.xlsx</x:v>
      </x:c>
      <x:c r="B2376" s="31" t="str">
        <x:v>خام_تلگرام</x:v>
      </x:c>
      <x:c r="C2376" s="31" t="str">
        <x:v>E146</x:v>
      </x:c>
      <x:c r="D2376" s="31" t="str">
        <x:v>files/CamScanner 13-05-2026 12.43 (1).pdf</x:v>
      </x:c>
      <x:c r="E2376" s="31"/>
    </x:row>
    <x:row r="2377" ht="15" hidden="0" customHeight="1">
      <x:c r="A2377" s="31" t="str">
        <x:v>Anjoman accounting - refined.xlsx</x:v>
      </x:c>
      <x:c r="B2377" s="31" t="str">
        <x:v>خام_تلگرام</x:v>
      </x:c>
      <x:c r="C2377" s="31" t="str">
        <x:v>A147</x:v>
      </x:c>
      <x:c r="D2377" s="31" t="str">
        <x:v>message125</x:v>
      </x:c>
      <x:c r="E2377" s="31"/>
    </x:row>
    <x:row r="2378" ht="15" hidden="0" customHeight="1">
      <x:c r="A2378" s="31" t="str">
        <x:v>Anjoman accounting - refined.xlsx</x:v>
      </x:c>
      <x:c r="B2378" s="31" t="str">
        <x:v>خام_تلگرام</x:v>
      </x:c>
      <x:c r="C2378" s="31" t="str">
        <x:v>B147</x:v>
      </x:c>
      <x:c r="D2378" s="31" t="str">
        <x:v>17.05.2026 19:45:07 UTC+03:30</x:v>
      </x:c>
      <x:c r="E2378" s="31"/>
    </x:row>
    <x:row r="2379" ht="15" hidden="0" customHeight="1">
      <x:c r="A2379" s="31" t="str">
        <x:v>Anjoman accounting - refined.xlsx</x:v>
      </x:c>
      <x:c r="B2379" s="31" t="str">
        <x:v>خام_تلگرام</x:v>
      </x:c>
      <x:c r="C2379" s="31" t="str">
        <x:v>C147</x:v>
      </x:c>
      <x:c r="D2379" s="31" t="str">
        <x:v>Deleted Account</x:v>
      </x:c>
      <x:c r="E2379" s="31"/>
    </x:row>
    <x:row r="2380" ht="15" hidden="0" customHeight="1">
      <x:c r="A2380" s="31" t="str">
        <x:v>Anjoman accounting - refined.xlsx</x:v>
      </x:c>
      <x:c r="B2380" s="31" t="str">
        <x:v>خام_تلگرام</x:v>
      </x:c>
      <x:c r="C2380" s="31" t="str">
        <x:v>D147</x:v>
      </x:c>
      <x:c r="D2380" s="31" t="str">
        <x:v>19:45 Deleted Account Deleted Account 17.05.2026 18:38:53</x:v>
      </x:c>
      <x:c r="E2380" s="31"/>
    </x:row>
    <x:row r="2381" ht="15" hidden="0" customHeight="1">
      <x:c r="A2381" s="31" t="str">
        <x:v>Anjoman accounting - refined.xlsx</x:v>
      </x:c>
      <x:c r="B2381" s="31" t="str">
        <x:v>خام_تلگرام</x:v>
      </x:c>
      <x:c r="C2381" s="31" t="str">
        <x:v>E147</x:v>
      </x:c>
      <x:c r="D2381" s="31" t="str">
        <x:v>photos/photo_27@17-05-2026_19-45-07.jpg</x:v>
      </x:c>
      <x:c r="E2381" s="31"/>
    </x:row>
    <x:row r="2382" ht="15" hidden="0" customHeight="1">
      <x:c r="A2382" s="31" t="str">
        <x:v>Anjoman accounting - refined.xlsx</x:v>
      </x:c>
      <x:c r="B2382" s="31" t="str">
        <x:v>خام_تلگرام</x:v>
      </x:c>
      <x:c r="C2382" s="31" t="str">
        <x:v>A148</x:v>
      </x:c>
      <x:c r="D2382" s="31" t="str">
        <x:v>message126</x:v>
      </x:c>
      <x:c r="E2382" s="31"/>
    </x:row>
    <x:row r="2383" ht="15" hidden="0" customHeight="1">
      <x:c r="A2383" s="31" t="str">
        <x:v>Anjoman accounting - refined.xlsx</x:v>
      </x:c>
      <x:c r="B2383" s="31" t="str">
        <x:v>خام_تلگرام</x:v>
      </x:c>
      <x:c r="C2383" s="31" t="str">
        <x:v>B148</x:v>
      </x:c>
      <x:c r="D2383" s="31" t="str">
        <x:v>17.05.2026 19:45:07 UTC+03:30</x:v>
      </x:c>
      <x:c r="E2383" s="31"/>
    </x:row>
    <x:row r="2384" ht="15" hidden="0" customHeight="1">
      <x:c r="A2384" s="31" t="str">
        <x:v>Anjoman accounting - refined.xlsx</x:v>
      </x:c>
      <x:c r="B2384" s="31" t="str">
        <x:v>خام_تلگرام</x:v>
      </x:c>
      <x:c r="C2384" s="31" t="str">
        <x:v>D148</x:v>
      </x:c>
      <x:c r="D2384" s="31" t="str">
        <x:v>19:45</x:v>
      </x:c>
      <x:c r="E2384" s="31"/>
    </x:row>
    <x:row r="2385" ht="15" hidden="0" customHeight="1">
      <x:c r="A2385" s="31" t="str">
        <x:v>Anjoman accounting - refined.xlsx</x:v>
      </x:c>
      <x:c r="B2385" s="31" t="str">
        <x:v>خام_تلگرام</x:v>
      </x:c>
      <x:c r="C2385" s="31" t="str">
        <x:v>E148</x:v>
      </x:c>
      <x:c r="D2385" s="31" t="str">
        <x:v>photos/photo_28@17-05-2026_19-45-07.jpg</x:v>
      </x:c>
      <x:c r="E2385" s="31"/>
    </x:row>
    <x:row r="2386" ht="15" hidden="0" customHeight="1">
      <x:c r="A2386" s="31" t="str">
        <x:v>Anjoman accounting - refined.xlsx</x:v>
      </x:c>
      <x:c r="B2386" s="31" t="str">
        <x:v>خام_تلگرام</x:v>
      </x:c>
      <x:c r="C2386" s="31" t="str">
        <x:v>A149</x:v>
      </x:c>
      <x:c r="D2386" s="31" t="str">
        <x:v>message127</x:v>
      </x:c>
      <x:c r="E2386" s="31"/>
    </x:row>
    <x:row r="2387" ht="15" hidden="0" customHeight="1">
      <x:c r="A2387" s="31" t="str">
        <x:v>Anjoman accounting - refined.xlsx</x:v>
      </x:c>
      <x:c r="B2387" s="31" t="str">
        <x:v>خام_تلگرام</x:v>
      </x:c>
      <x:c r="C2387" s="31" t="str">
        <x:v>B149</x:v>
      </x:c>
      <x:c r="D2387" s="31" t="str">
        <x:v>17.05.2026 20:15:05 UTC+03:30</x:v>
      </x:c>
      <x:c r="E2387" s="31"/>
    </x:row>
    <x:row r="2388" ht="15" hidden="0" customHeight="1">
      <x:c r="A2388" s="31" t="str">
        <x:v>Anjoman accounting - refined.xlsx</x:v>
      </x:c>
      <x:c r="B2388" s="31" t="str">
        <x:v>خام_تلگرام</x:v>
      </x:c>
      <x:c r="C2388" s="31" t="str">
        <x:v>C149</x:v>
      </x:c>
      <x:c r="D2388" s="31" t="str">
        <x:v>امین عزیزی</x:v>
      </x:c>
      <x:c r="E2388" s="31"/>
    </x:row>
    <x:row r="2389" ht="15" hidden="0" customHeight="1">
      <x:c r="A2389" s="31" t="str">
        <x:v>Anjoman accounting - refined.xlsx</x:v>
      </x:c>
      <x:c r="B2389" s="31" t="str">
        <x:v>خام_تلگرام</x:v>
      </x:c>
      <x:c r="C2389" s="31" t="str">
        <x:v>D149</x:v>
      </x:c>
      <x:c r="D2389" s="31" t="str">
        <x:v>این چیه؟</x:v>
      </x:c>
      <x:c r="E2389" s="31"/>
    </x:row>
    <x:row r="2390" ht="15" hidden="0" customHeight="1">
      <x:c r="A2390" s="31" t="str">
        <x:v>Anjoman accounting - refined.xlsx</x:v>
      </x:c>
      <x:c r="B2390" s="31" t="str">
        <x:v>خام_تلگرام</x:v>
      </x:c>
      <x:c r="C2390" s="31" t="str">
        <x:v>A150</x:v>
      </x:c>
      <x:c r="D2390" s="31" t="str">
        <x:v>message128</x:v>
      </x:c>
      <x:c r="E2390" s="31"/>
    </x:row>
    <x:row r="2391" ht="15" hidden="0" customHeight="1">
      <x:c r="A2391" s="31" t="str">
        <x:v>Anjoman accounting - refined.xlsx</x:v>
      </x:c>
      <x:c r="B2391" s="31" t="str">
        <x:v>خام_تلگرام</x:v>
      </x:c>
      <x:c r="C2391" s="31" t="str">
        <x:v>B150</x:v>
      </x:c>
      <x:c r="D2391" s="31" t="str">
        <x:v>17.05.2026 20:16:06 UTC+03:30</x:v>
      </x:c>
      <x:c r="E2391" s="31"/>
    </x:row>
    <x:row r="2392" ht="15" hidden="0" customHeight="1">
      <x:c r="A2392" s="31" t="str">
        <x:v>Anjoman accounting - refined.xlsx</x:v>
      </x:c>
      <x:c r="B2392" s="31" t="str">
        <x:v>خام_تلگرام</x:v>
      </x:c>
      <x:c r="C2392" s="31" t="str">
        <x:v>C150</x:v>
      </x:c>
      <x:c r="D2392" s="31" t="str">
        <x:v>Deleted Account</x:v>
      </x:c>
      <x:c r="E2392" s="31"/>
    </x:row>
    <x:row r="2393" ht="15" hidden="0" customHeight="1">
      <x:c r="A2393" s="31" t="str">
        <x:v>Anjoman accounting - refined.xlsx</x:v>
      </x:c>
      <x:c r="B2393" s="31" t="str">
        <x:v>خام_تلگرام</x:v>
      </x:c>
      <x:c r="C2393" s="31" t="str">
        <x:v>D150</x:v>
      </x:c>
      <x:c r="D2393" s="31" t="str">
        <x:v>این از جشن یلدا کوکی و یسری چیزه پرنیان دیر فرستاده بود</x:v>
      </x:c>
      <x:c r="E2393" s="31"/>
    </x:row>
    <x:row r="2394" ht="15" hidden="0" customHeight="1">
      <x:c r="A2394" s="31" t="str">
        <x:v>Anjoman accounting - refined.xlsx</x:v>
      </x:c>
      <x:c r="B2394" s="31" t="str">
        <x:v>خام_تلگرام</x:v>
      </x:c>
      <x:c r="C2394" s="31" t="str">
        <x:v>A151</x:v>
      </x:c>
      <x:c r="D2394" s="31" t="str">
        <x:v>message129</x:v>
      </x:c>
      <x:c r="E2394" s="31"/>
    </x:row>
    <x:row r="2395" ht="15" hidden="0" customHeight="1">
      <x:c r="A2395" s="31" t="str">
        <x:v>Anjoman accounting - refined.xlsx</x:v>
      </x:c>
      <x:c r="B2395" s="31" t="str">
        <x:v>خام_تلگرام</x:v>
      </x:c>
      <x:c r="C2395" s="31" t="str">
        <x:v>B151</x:v>
      </x:c>
      <x:c r="D2395" s="31" t="str">
        <x:v>17.05.2026 20:16:15 UTC+03:30</x:v>
      </x:c>
      <x:c r="E2395" s="31"/>
    </x:row>
    <x:row r="2396" ht="15" hidden="0" customHeight="1">
      <x:c r="A2396" s="31" t="str">
        <x:v>Anjoman accounting - refined.xlsx</x:v>
      </x:c>
      <x:c r="B2396" s="31" t="str">
        <x:v>خام_تلگرام</x:v>
      </x:c>
      <x:c r="C2396" s="31" t="str">
        <x:v>D151</x:v>
      </x:c>
      <x:c r="D2396" s="31" t="str">
        <x:v>واردشون کن این رسیداشه</x:v>
      </x:c>
      <x:c r="E2396" s="31"/>
    </x:row>
    <x:row r="2397" ht="15" hidden="0" customHeight="1">
      <x:c r="A2397" s="31" t="str">
        <x:v>Anjoman accounting - refined.xlsx</x:v>
      </x:c>
      <x:c r="B2397" s="31" t="str">
        <x:v>خام_تلگرام</x:v>
      </x:c>
      <x:c r="C2397" s="31" t="str">
        <x:v>A152</x:v>
      </x:c>
      <x:c r="D2397" s="31" t="str">
        <x:v>message130</x:v>
      </x:c>
      <x:c r="E2397" s="31"/>
    </x:row>
    <x:row r="2398" ht="15" hidden="0" customHeight="1">
      <x:c r="A2398" s="31" t="str">
        <x:v>Anjoman accounting - refined.xlsx</x:v>
      </x:c>
      <x:c r="B2398" s="31" t="str">
        <x:v>خام_تلگرام</x:v>
      </x:c>
      <x:c r="C2398" s="31" t="str">
        <x:v>B152</x:v>
      </x:c>
      <x:c r="D2398" s="31" t="str">
        <x:v>17.05.2026 20:16:18 UTC+03:30</x:v>
      </x:c>
      <x:c r="E2398" s="31"/>
    </x:row>
    <x:row r="2399" ht="15" hidden="0" customHeight="1">
      <x:c r="A2399" s="31" t="str">
        <x:v>Anjoman accounting - refined.xlsx</x:v>
      </x:c>
      <x:c r="B2399" s="31" t="str">
        <x:v>خام_تلگرام</x:v>
      </x:c>
      <x:c r="C2399" s="31" t="str">
        <x:v>D152</x:v>
      </x:c>
      <x:c r="D2399" s="31" t="str">
        <x:v>یه چک بکن</x:v>
      </x:c>
      <x:c r="E2399" s="31"/>
    </x:row>
    <x:row r="2400" ht="15" hidden="0" customHeight="1">
      <x:c r="A2400" s="31" t="str">
        <x:v>Anjoman accounting - refined.xlsx</x:v>
      </x:c>
      <x:c r="B2400" s="31" t="str">
        <x:v>خام_تلگرام</x:v>
      </x:c>
      <x:c r="C2400" s="31" t="str">
        <x:v>A153</x:v>
      </x:c>
      <x:c r="D2400" s="31" t="str">
        <x:v>message131</x:v>
      </x:c>
      <x:c r="E2400" s="31"/>
    </x:row>
    <x:row r="2401" ht="15" hidden="0" customHeight="1">
      <x:c r="A2401" s="31" t="str">
        <x:v>Anjoman accounting - refined.xlsx</x:v>
      </x:c>
      <x:c r="B2401" s="31" t="str">
        <x:v>خام_تلگرام</x:v>
      </x:c>
      <x:c r="C2401" s="31" t="str">
        <x:v>B153</x:v>
      </x:c>
      <x:c r="D2401" s="31" t="str">
        <x:v>17.05.2026 20:17:06 UTC+03:30</x:v>
      </x:c>
      <x:c r="E2401" s="31"/>
    </x:row>
    <x:row r="2402" ht="15" hidden="0" customHeight="1">
      <x:c r="A2402" s="31" t="str">
        <x:v>Anjoman accounting - refined.xlsx</x:v>
      </x:c>
      <x:c r="B2402" s="31" t="str">
        <x:v>خام_تلگرام</x:v>
      </x:c>
      <x:c r="C2402" s="31" t="str">
        <x:v>C153</x:v>
      </x:c>
      <x:c r="D2402" s="31" t="str">
        <x:v>امین عزیزی</x:v>
      </x:c>
      <x:c r="E2402" s="31"/>
    </x:row>
    <x:row r="2403" ht="15" hidden="0" customHeight="1">
      <x:c r="A2403" s="31" t="str">
        <x:v>Anjoman accounting - refined.xlsx</x:v>
      </x:c>
      <x:c r="B2403" s="31" t="str">
        <x:v>خام_تلگرام</x:v>
      </x:c>
      <x:c r="C2403" s="31" t="str">
        <x:v>D153</x:v>
      </x:c>
      <x:c r="D2403" s="31" t="str">
        <x:v>حله حله</x:v>
      </x:c>
      <x:c r="E2403" s="31"/>
    </x:row>
    <x:row r="2404" ht="15" hidden="0" customHeight="1">
      <x:c r="A2404" s="31" t="str">
        <x:v>Anjoman accounting - refined.xlsx</x:v>
      </x:c>
      <x:c r="B2404" s="31" t="str">
        <x:v>خام_تلگرام</x:v>
      </x:c>
      <x:c r="C2404" s="31" t="str">
        <x:v>A154</x:v>
      </x:c>
      <x:c r="D2404" s="31" t="str">
        <x:v>message-25</x:v>
      </x:c>
      <x:c r="E2404" s="31"/>
    </x:row>
    <x:row r="2405" ht="15" hidden="0" customHeight="1">
      <x:c r="A2405" s="31" t="str">
        <x:v>Anjoman accounting - refined.xlsx</x:v>
      </x:c>
      <x:c r="B2405" s="31" t="str">
        <x:v>خام_تلگرام</x:v>
      </x:c>
      <x:c r="C2405" s="31" t="str">
        <x:v>D154</x:v>
      </x:c>
      <x:c r="D2405" s="31" t="str">
        <x:v>18 May 2026</x:v>
      </x:c>
      <x:c r="E2405" s="31"/>
    </x:row>
    <x:row r="2406" ht="15" hidden="0" customHeight="1">
      <x:c r="A2406" s="31" t="str">
        <x:v>Anjoman accounting - refined.xlsx</x:v>
      </x:c>
      <x:c r="B2406" s="31" t="str">
        <x:v>خام_تلگرام</x:v>
      </x:c>
      <x:c r="C2406" s="31" t="str">
        <x:v>A155</x:v>
      </x:c>
      <x:c r="D2406" s="31" t="str">
        <x:v>message132</x:v>
      </x:c>
      <x:c r="E2406" s="31"/>
    </x:row>
    <x:row r="2407" ht="15" hidden="0" customHeight="1">
      <x:c r="A2407" s="31" t="str">
        <x:v>Anjoman accounting - refined.xlsx</x:v>
      </x:c>
      <x:c r="B2407" s="31" t="str">
        <x:v>خام_تلگرام</x:v>
      </x:c>
      <x:c r="C2407" s="31" t="str">
        <x:v>B155</x:v>
      </x:c>
      <x:c r="D2407" s="31" t="str">
        <x:v>18.05.2026 01:14:16 UTC+03:30</x:v>
      </x:c>
      <x:c r="E2407" s="31"/>
    </x:row>
    <x:row r="2408" ht="15" hidden="0" customHeight="1">
      <x:c r="A2408" s="31" t="str">
        <x:v>Anjoman accounting - refined.xlsx</x:v>
      </x:c>
      <x:c r="B2408" s="31" t="str">
        <x:v>خام_تلگرام</x:v>
      </x:c>
      <x:c r="C2408" s="31" t="str">
        <x:v>C155</x:v>
      </x:c>
      <x:c r="D2408" s="31" t="str">
        <x:v>Deleted Account</x:v>
      </x:c>
      <x:c r="E2408" s="31"/>
    </x:row>
    <x:row r="2409" ht="15" hidden="0" customHeight="1">
      <x:c r="A2409" s="31" t="str">
        <x:v>Anjoman accounting - refined.xlsx</x:v>
      </x:c>
      <x:c r="B2409" s="31" t="str">
        <x:v>خام_تلگرام</x:v>
      </x:c>
      <x:c r="C2409" s="31" t="str">
        <x:v>D155</x:v>
      </x:c>
      <x:c r="D2409" s="31" t="str">
        <x:v>01:14 Deleted Account In reply to this message Sticker Not included, change data exporting settings to download. 👃, 203.4 KB</x:v>
      </x:c>
      <x:c r="E2409" s="31"/>
    </x:row>
    <x:row r="2410" ht="15" hidden="0" customHeight="1">
      <x:c r="A2410" s="31" t="str">
        <x:v>Anjoman accounting - refined.xlsx</x:v>
      </x:c>
      <x:c r="B2410" s="31" t="str">
        <x:v>خام_تلگرام</x:v>
      </x:c>
      <x:c r="C2410" s="31" t="str">
        <x:v>A156</x:v>
      </x:c>
      <x:c r="D2410" s="31" t="str">
        <x:v>message-26</x:v>
      </x:c>
      <x:c r="E2410" s="31"/>
    </x:row>
    <x:row r="2411" ht="15" hidden="0" customHeight="1">
      <x:c r="A2411" s="31" t="str">
        <x:v>Anjoman accounting - refined.xlsx</x:v>
      </x:c>
      <x:c r="B2411" s="31" t="str">
        <x:v>خام_تلگرام</x:v>
      </x:c>
      <x:c r="C2411" s="31" t="str">
        <x:v>D156</x:v>
      </x:c>
      <x:c r="D2411" s="31" t="str">
        <x:v>21 June 2026</x:v>
      </x:c>
      <x:c r="E2411" s="31"/>
    </x:row>
    <x:row r="2412" ht="15" hidden="0" customHeight="1">
      <x:c r="A2412" s="31" t="str">
        <x:v>Anjoman accounting - refined.xlsx</x:v>
      </x:c>
      <x:c r="B2412" s="31" t="str">
        <x:v>خام_تلگرام</x:v>
      </x:c>
      <x:c r="C2412" s="31" t="str">
        <x:v>A157</x:v>
      </x:c>
      <x:c r="D2412" s="31" t="str">
        <x:v>message133</x:v>
      </x:c>
      <x:c r="E2412" s="31"/>
    </x:row>
    <x:row r="2413" ht="15" hidden="0" customHeight="1">
      <x:c r="A2413" s="31" t="str">
        <x:v>Anjoman accounting - refined.xlsx</x:v>
      </x:c>
      <x:c r="B2413" s="31" t="str">
        <x:v>خام_تلگرام</x:v>
      </x:c>
      <x:c r="C2413" s="31" t="str">
        <x:v>B157</x:v>
      </x:c>
      <x:c r="D2413" s="31" t="str">
        <x:v>21.06.2026 12:47:37 UTC+03:30</x:v>
      </x:c>
      <x:c r="E2413" s="31"/>
    </x:row>
    <x:row r="2414" ht="15" hidden="0" customHeight="1">
      <x:c r="A2414" s="31" t="str">
        <x:v>Anjoman accounting - refined.xlsx</x:v>
      </x:c>
      <x:c r="B2414" s="31" t="str">
        <x:v>خام_تلگرام</x:v>
      </x:c>
      <x:c r="C2414" s="31" t="str">
        <x:v>C157</x:v>
      </x:c>
      <x:c r="D2414" s="31" t="str">
        <x:v>Deleted Account</x:v>
      </x:c>
      <x:c r="E2414" s="31"/>
    </x:row>
    <x:row r="2415" ht="15" hidden="0" customHeight="1">
      <x:c r="A2415" s="31" t="str">
        <x:v>Anjoman accounting - refined.xlsx</x:v>
      </x:c>
      <x:c r="B2415" s="31" t="str">
        <x:v>خام_تلگرام</x:v>
      </x:c>
      <x:c r="C2415" s="31" t="str">
        <x:v>D157</x:v>
      </x:c>
      <x:c r="D2415" s="31" t="str">
        <x:v>12:47 Deleted Account Sticker Not included, change data exporting settings to download. 😎, 115.3 KB</x:v>
      </x:c>
      <x:c r="E2415" s="31"/>
    </x:row>
    <x:row r="2416" ht="15" hidden="0" customHeight="1">
      <x:c r="A2416" s="31" t="str">
        <x:v>Anjoman accounting - refined.xlsx</x:v>
      </x:c>
      <x:c r="B2416" s="31" t="str">
        <x:v>خام_تلگرام</x:v>
      </x:c>
      <x:c r="C2416" s="31" t="str">
        <x:v>A158</x:v>
      </x:c>
      <x:c r="D2416" s="31" t="str">
        <x:v>message134</x:v>
      </x:c>
      <x:c r="E2416" s="31"/>
    </x:row>
    <x:row r="2417" ht="15" hidden="0" customHeight="1">
      <x:c r="A2417" s="31" t="str">
        <x:v>Anjoman accounting - refined.xlsx</x:v>
      </x:c>
      <x:c r="B2417" s="31" t="str">
        <x:v>خام_تلگرام</x:v>
      </x:c>
      <x:c r="C2417" s="31" t="str">
        <x:v>B158</x:v>
      </x:c>
      <x:c r="D2417" s="31" t="str">
        <x:v>21.06.2026 12:50:19 UTC+03:30</x:v>
      </x:c>
      <x:c r="E2417" s="31"/>
    </x:row>
    <x:row r="2418" ht="15" hidden="0" customHeight="1">
      <x:c r="A2418" s="31" t="str">
        <x:v>Anjoman accounting - refined.xlsx</x:v>
      </x:c>
      <x:c r="B2418" s="31" t="str">
        <x:v>خام_تلگرام</x:v>
      </x:c>
      <x:c r="C2418" s="31" t="str">
        <x:v>C158</x:v>
      </x:c>
      <x:c r="D2418" s="31" t="str">
        <x:v>امین عزیزی</x:v>
      </x:c>
      <x:c r="E2418" s="31"/>
    </x:row>
    <x:row r="2419" ht="15" hidden="0" customHeight="1">
      <x:c r="A2419" s="31" t="str">
        <x:v>Anjoman accounting - refined.xlsx</x:v>
      </x:c>
      <x:c r="B2419" s="31" t="str">
        <x:v>خام_تلگرام</x:v>
      </x:c>
      <x:c r="C2419" s="31" t="str">
        <x:v>D158</x:v>
      </x:c>
      <x:c r="D2419" s="31" t="str">
        <x:v>ا 12:50 امین عزیزی Animation Not included, change data exporting settings to download. 198.3 KB</x:v>
      </x:c>
      <x:c r="E2419" s="31"/>
    </x:row>
    <x:row r="2420" ht="15" hidden="0" customHeight="1">
      <x:c r="A2420" s="31" t="str">
        <x:v>Anjoman accounting - refined.xlsx</x:v>
      </x:c>
      <x:c r="B2420" s="31" t="str">
        <x:v>خام_تلگرام</x:v>
      </x:c>
      <x:c r="C2420" s="31" t="str">
        <x:v>A159</x:v>
      </x:c>
      <x:c r="D2420" s="31" t="str">
        <x:v>message-27</x:v>
      </x:c>
      <x:c r="E2420" s="31"/>
    </x:row>
    <x:row r="2421" ht="15" hidden="0" customHeight="1">
      <x:c r="A2421" s="31" t="str">
        <x:v>Anjoman accounting - refined.xlsx</x:v>
      </x:c>
      <x:c r="B2421" s="31" t="str">
        <x:v>خام_تلگرام</x:v>
      </x:c>
      <x:c r="C2421" s="31" t="str">
        <x:v>D159</x:v>
      </x:c>
      <x:c r="D2421" s="31" t="str">
        <x:v>27 June 2026</x:v>
      </x:c>
      <x:c r="E2421" s="31"/>
    </x:row>
    <x:row r="2422" ht="15" hidden="0" customHeight="1">
      <x:c r="A2422" s="31" t="str">
        <x:v>Anjoman accounting - refined.xlsx</x:v>
      </x:c>
      <x:c r="B2422" s="31" t="str">
        <x:v>خام_تلگرام</x:v>
      </x:c>
      <x:c r="C2422" s="31" t="str">
        <x:v>A160</x:v>
      </x:c>
      <x:c r="D2422" s="31" t="str">
        <x:v>message135</x:v>
      </x:c>
      <x:c r="E2422" s="31"/>
    </x:row>
    <x:row r="2423" ht="15" hidden="0" customHeight="1">
      <x:c r="A2423" s="31" t="str">
        <x:v>Anjoman accounting - refined.xlsx</x:v>
      </x:c>
      <x:c r="B2423" s="31" t="str">
        <x:v>خام_تلگرام</x:v>
      </x:c>
      <x:c r="C2423" s="31" t="str">
        <x:v>B160</x:v>
      </x:c>
      <x:c r="D2423" s="31" t="str">
        <x:v>27.06.2026 15:35:40 UTC+03:30</x:v>
      </x:c>
      <x:c r="E2423" s="31"/>
    </x:row>
    <x:row r="2424" ht="15" hidden="0" customHeight="1">
      <x:c r="A2424" s="31" t="str">
        <x:v>Anjoman accounting - refined.xlsx</x:v>
      </x:c>
      <x:c r="B2424" s="31" t="str">
        <x:v>خام_تلگرام</x:v>
      </x:c>
      <x:c r="C2424" s="31" t="str">
        <x:v>C160</x:v>
      </x:c>
      <x:c r="D2424" s="31" t="str">
        <x:v>Deleted Account</x:v>
      </x:c>
      <x:c r="E2424" s="31"/>
    </x:row>
    <x:row r="2425" ht="15" hidden="0" customHeight="1">
      <x:c r="A2425" s="31" t="str">
        <x:v>Anjoman accounting - refined.xlsx</x:v>
      </x:c>
      <x:c r="B2425" s="31" t="str">
        <x:v>خام_تلگرام</x:v>
      </x:c>
      <x:c r="C2425" s="31" t="str">
        <x:v>D160</x:v>
      </x:c>
      <x:c r="D2425" s="31" t="str">
        <x:v>امین</x:v>
      </x:c>
      <x:c r="E2425" s="31"/>
    </x:row>
    <x:row r="2426" ht="15" hidden="0" customHeight="1">
      <x:c r="A2426" s="31" t="str">
        <x:v>Anjoman accounting - refined.xlsx</x:v>
      </x:c>
      <x:c r="B2426" s="31" t="str">
        <x:v>خام_تلگرام</x:v>
      </x:c>
      <x:c r="C2426" s="31" t="str">
        <x:v>A161</x:v>
      </x:c>
      <x:c r="D2426" s="31" t="str">
        <x:v>message136</x:v>
      </x:c>
      <x:c r="E2426" s="31"/>
    </x:row>
    <x:row r="2427" ht="15" hidden="0" customHeight="1">
      <x:c r="A2427" s="31" t="str">
        <x:v>Anjoman accounting - refined.xlsx</x:v>
      </x:c>
      <x:c r="B2427" s="31" t="str">
        <x:v>خام_تلگرام</x:v>
      </x:c>
      <x:c r="C2427" s="31" t="str">
        <x:v>B161</x:v>
      </x:c>
      <x:c r="D2427" s="31" t="str">
        <x:v>27.06.2026 15:36:03 UTC+03:30</x:v>
      </x:c>
      <x:c r="E2427" s="31"/>
    </x:row>
    <x:row r="2428" ht="15" hidden="0" customHeight="1">
      <x:c r="A2428" s="31" t="str">
        <x:v>Anjoman accounting - refined.xlsx</x:v>
      </x:c>
      <x:c r="B2428" s="31" t="str">
        <x:v>خام_تلگرام</x:v>
      </x:c>
      <x:c r="C2428" s="31" t="str">
        <x:v>D161</x:v>
      </x:c>
      <x:c r="D2428" s="31" t="str">
        <x:v>میگم هرچی عکس داری از فاکتور ها تا اخر امروز بفرست اینجا</x:v>
      </x:c>
      <x:c r="E2428" s="31"/>
    </x:row>
    <x:row r="2429" ht="15" hidden="0" customHeight="1">
      <x:c r="A2429" s="31" t="str">
        <x:v>Anjoman accounting - refined.xlsx</x:v>
      </x:c>
      <x:c r="B2429" s="31" t="str">
        <x:v>خام_تلگرام</x:v>
      </x:c>
      <x:c r="C2429" s="31" t="str">
        <x:v>A162</x:v>
      </x:c>
      <x:c r="D2429" s="31" t="str">
        <x:v>message137</x:v>
      </x:c>
      <x:c r="E2429" s="31"/>
    </x:row>
    <x:row r="2430" ht="15" hidden="0" customHeight="1">
      <x:c r="A2430" s="31" t="str">
        <x:v>Anjoman accounting - refined.xlsx</x:v>
      </x:c>
      <x:c r="B2430" s="31" t="str">
        <x:v>خام_تلگرام</x:v>
      </x:c>
      <x:c r="C2430" s="31" t="str">
        <x:v>B162</x:v>
      </x:c>
      <x:c r="D2430" s="31" t="str">
        <x:v>27.06.2026 15:36:34 UTC+03:30</x:v>
      </x:c>
      <x:c r="E2430" s="31"/>
    </x:row>
    <x:row r="2431" ht="15" hidden="0" customHeight="1">
      <x:c r="A2431" s="31" t="str">
        <x:v>Anjoman accounting - refined.xlsx</x:v>
      </x:c>
      <x:c r="B2431" s="31" t="str">
        <x:v>خام_تلگرام</x:v>
      </x:c>
      <x:c r="C2431" s="31" t="str">
        <x:v>D162</x:v>
      </x:c>
      <x:c r="D2431" s="31" t="str">
        <x:v>و اینکه برای فردا عصر و پسفردا عصر یا حتی 3شنبه عصر تایم های خالیت رو بگو یه نیمساعت بریم میت</x:v>
      </x:c>
      <x:c r="E2431" s="31"/>
    </x:row>
    <x:row r="2432" ht="15" hidden="0" customHeight="1">
      <x:c r="A2432" s="31" t="str">
        <x:v>Anjoman accounting - refined.xlsx</x:v>
      </x:c>
      <x:c r="B2432" s="31" t="str">
        <x:v>خام_تلگرام</x:v>
      </x:c>
      <x:c r="C2432" s="31" t="str">
        <x:v>A163</x:v>
      </x:c>
      <x:c r="D2432" s="31" t="str">
        <x:v>message138</x:v>
      </x:c>
      <x:c r="E2432" s="31"/>
    </x:row>
    <x:row r="2433" ht="15" hidden="0" customHeight="1">
      <x:c r="A2433" s="31" t="str">
        <x:v>Anjoman accounting - refined.xlsx</x:v>
      </x:c>
      <x:c r="B2433" s="31" t="str">
        <x:v>خام_تلگرام</x:v>
      </x:c>
      <x:c r="C2433" s="31" t="str">
        <x:v>B163</x:v>
      </x:c>
      <x:c r="D2433" s="31" t="str">
        <x:v>27.06.2026 16:50:34 UTC+03:30</x:v>
      </x:c>
      <x:c r="E2433" s="31"/>
    </x:row>
    <x:row r="2434" ht="15" hidden="0" customHeight="1">
      <x:c r="A2434" s="31" t="str">
        <x:v>Anjoman accounting - refined.xlsx</x:v>
      </x:c>
      <x:c r="B2434" s="31" t="str">
        <x:v>خام_تلگرام</x:v>
      </x:c>
      <x:c r="C2434" s="31" t="str">
        <x:v>C163</x:v>
      </x:c>
      <x:c r="D2434" s="31" t="str">
        <x:v>امین عزیزی</x:v>
      </x:c>
      <x:c r="E2434" s="31"/>
    </x:row>
    <x:row r="2435" ht="15" hidden="0" customHeight="1">
      <x:c r="A2435" s="31" t="str">
        <x:v>Anjoman accounting - refined.xlsx</x:v>
      </x:c>
      <x:c r="B2435" s="31" t="str">
        <x:v>خام_تلگرام</x:v>
      </x:c>
      <x:c r="C2435" s="31" t="str">
        <x:v>D163</x:v>
      </x:c>
      <x:c r="D2435" s="31" t="str">
        <x:v>فاکتورها دست خودته عکسی به من ندادی خودشونم ندادی💀😂</x:v>
      </x:c>
      <x:c r="E2435" s="31"/>
    </x:row>
    <x:row r="2436" ht="15" hidden="0" customHeight="1">
      <x:c r="A2436" s="31" t="str">
        <x:v>Anjoman accounting - refined.xlsx</x:v>
      </x:c>
      <x:c r="B2436" s="31" t="str">
        <x:v>خام_تلگرام</x:v>
      </x:c>
      <x:c r="C2436" s="31" t="str">
        <x:v>A164</x:v>
      </x:c>
      <x:c r="D2436" s="31" t="str">
        <x:v>message139</x:v>
      </x:c>
      <x:c r="E2436" s="31"/>
    </x:row>
    <x:row r="2437" ht="15" hidden="0" customHeight="1">
      <x:c r="A2437" s="31" t="str">
        <x:v>Anjoman accounting - refined.xlsx</x:v>
      </x:c>
      <x:c r="B2437" s="31" t="str">
        <x:v>خام_تلگرام</x:v>
      </x:c>
      <x:c r="C2437" s="31" t="str">
        <x:v>B164</x:v>
      </x:c>
      <x:c r="D2437" s="31" t="str">
        <x:v>27.06.2026 16:50:56 UTC+03:30</x:v>
      </x:c>
      <x:c r="E2437" s="31"/>
    </x:row>
    <x:row r="2438" ht="15" hidden="0" customHeight="1">
      <x:c r="A2438" s="31" t="str">
        <x:v>Anjoman accounting - refined.xlsx</x:v>
      </x:c>
      <x:c r="B2438" s="31" t="str">
        <x:v>خام_تلگرام</x:v>
      </x:c>
      <x:c r="C2438" s="31" t="str">
        <x:v>D164</x:v>
      </x:c>
      <x:c r="D2438" s="31" t="str">
        <x:v>فردا عصر بهترین زمانه هروقت بگی اوکیم</x:v>
      </x:c>
      <x:c r="E2438" s="31"/>
    </x:row>
    <x:row r="2439" ht="15" hidden="0" customHeight="1">
      <x:c r="A2439" s="31" t="str">
        <x:v>Anjoman accounting - refined.xlsx</x:v>
      </x:c>
      <x:c r="B2439" s="31" t="str">
        <x:v>خام_تلگرام</x:v>
      </x:c>
      <x:c r="C2439" s="31" t="str">
        <x:v>A165</x:v>
      </x:c>
      <x:c r="D2439" s="31" t="str">
        <x:v>message140</x:v>
      </x:c>
      <x:c r="E2439" s="31"/>
    </x:row>
    <x:row r="2440" ht="15" hidden="0" customHeight="1">
      <x:c r="A2440" s="31" t="str">
        <x:v>Anjoman accounting - refined.xlsx</x:v>
      </x:c>
      <x:c r="B2440" s="31" t="str">
        <x:v>خام_تلگرام</x:v>
      </x:c>
      <x:c r="C2440" s="31" t="str">
        <x:v>B165</x:v>
      </x:c>
      <x:c r="D2440" s="31" t="str">
        <x:v>27.06.2026 17:09:39 UTC+03:30</x:v>
      </x:c>
      <x:c r="E2440" s="31"/>
    </x:row>
    <x:row r="2441" ht="15" hidden="0" customHeight="1">
      <x:c r="A2441" s="31" t="str">
        <x:v>Anjoman accounting - refined.xlsx</x:v>
      </x:c>
      <x:c r="B2441" s="31" t="str">
        <x:v>خام_تلگرام</x:v>
      </x:c>
      <x:c r="C2441" s="31" t="str">
        <x:v>C165</x:v>
      </x:c>
      <x:c r="D2441" s="31" t="str">
        <x:v>Deleted Account</x:v>
      </x:c>
      <x:c r="E2441" s="31"/>
    </x:row>
    <x:row r="2442" ht="15" hidden="0" customHeight="1">
      <x:c r="A2442" s="31" t="str">
        <x:v>Anjoman accounting - refined.xlsx</x:v>
      </x:c>
      <x:c r="B2442" s="31" t="str">
        <x:v>خام_تلگرام</x:v>
      </x:c>
      <x:c r="C2442" s="31" t="str">
        <x:v>D165</x:v>
      </x:c>
      <x:c r="D2442" s="31" t="str">
        <x:v>نه اون قبلی ها</x:v>
      </x:c>
      <x:c r="E2442" s="31"/>
    </x:row>
    <x:row r="2443" ht="15" hidden="0" customHeight="1">
      <x:c r="A2443" s="31" t="str">
        <x:v>Anjoman accounting - refined.xlsx</x:v>
      </x:c>
      <x:c r="B2443" s="31" t="str">
        <x:v>خام_تلگرام</x:v>
      </x:c>
      <x:c r="C2443" s="31" t="str">
        <x:v>A166</x:v>
      </x:c>
      <x:c r="D2443" s="31" t="str">
        <x:v>message141</x:v>
      </x:c>
      <x:c r="E2443" s="31"/>
    </x:row>
    <x:row r="2444" ht="15" hidden="0" customHeight="1">
      <x:c r="A2444" s="31" t="str">
        <x:v>Anjoman accounting - refined.xlsx</x:v>
      </x:c>
      <x:c r="B2444" s="31" t="str">
        <x:v>خام_تلگرام</x:v>
      </x:c>
      <x:c r="C2444" s="31" t="str">
        <x:v>B166</x:v>
      </x:c>
      <x:c r="D2444" s="31" t="str">
        <x:v>27.06.2026 17:10:03 UTC+03:30</x:v>
      </x:c>
      <x:c r="E2444" s="31"/>
    </x:row>
    <x:row r="2445" ht="15" hidden="0" customHeight="1">
      <x:c r="A2445" s="31" t="str">
        <x:v>Anjoman accounting - refined.xlsx</x:v>
      </x:c>
      <x:c r="B2445" s="31" t="str">
        <x:v>خام_تلگرام</x:v>
      </x:c>
      <x:c r="C2445" s="31" t="str">
        <x:v>D166</x:v>
      </x:c>
      <x:c r="D2445" s="31" t="str">
        <x:v>حله عالی</x:v>
      </x:c>
      <x:c r="E2445" s="31"/>
    </x:row>
    <x:row r="2446" ht="15" hidden="0" customHeight="1">
      <x:c r="A2446" s="31" t="str">
        <x:v>Anjoman accounting - refined.xlsx</x:v>
      </x:c>
      <x:c r="B2446" s="31" t="str">
        <x:v>خام_تلگرام</x:v>
      </x:c>
      <x:c r="C2446" s="31" t="str">
        <x:v>A167</x:v>
      </x:c>
      <x:c r="D2446" s="31" t="str">
        <x:v>message142</x:v>
      </x:c>
      <x:c r="E2446" s="31"/>
    </x:row>
    <x:row r="2447" ht="15" hidden="0" customHeight="1">
      <x:c r="A2447" s="31" t="str">
        <x:v>Anjoman accounting - refined.xlsx</x:v>
      </x:c>
      <x:c r="B2447" s="31" t="str">
        <x:v>خام_تلگرام</x:v>
      </x:c>
      <x:c r="C2447" s="31" t="str">
        <x:v>B167</x:v>
      </x:c>
      <x:c r="D2447" s="31" t="str">
        <x:v>27.06.2026 18:24:14 UTC+03:30</x:v>
      </x:c>
      <x:c r="E2447" s="31"/>
    </x:row>
    <x:row r="2448" ht="15" hidden="0" customHeight="1">
      <x:c r="A2448" s="31" t="str">
        <x:v>Anjoman accounting - refined.xlsx</x:v>
      </x:c>
      <x:c r="B2448" s="31" t="str">
        <x:v>خام_تلگرام</x:v>
      </x:c>
      <x:c r="C2448" s="31" t="str">
        <x:v>C167</x:v>
      </x:c>
      <x:c r="D2448" s="31" t="str">
        <x:v>Deleted Account</x:v>
      </x:c>
      <x:c r="E2448" s="31"/>
    </x:row>
    <x:row r="2449" ht="15" hidden="0" customHeight="1">
      <x:c r="A2449" s="31" t="str">
        <x:v>Anjoman accounting - refined.xlsx</x:v>
      </x:c>
      <x:c r="B2449" s="31" t="str">
        <x:v>خام_تلگرام</x:v>
      </x:c>
      <x:c r="C2449" s="31" t="str">
        <x:v>D167</x:v>
      </x:c>
      <x:c r="D2449" s="31" t="str">
        <x:v>جشن یلدا</x:v>
      </x:c>
      <x:c r="E2449" s="31"/>
    </x:row>
    <x:row r="2450" ht="15" hidden="0" customHeight="1">
      <x:c r="A2450" s="31" t="str">
        <x:v>Anjoman accounting - refined.xlsx</x:v>
      </x:c>
      <x:c r="B2450" s="31" t="str">
        <x:v>خام_تلگرام</x:v>
      </x:c>
      <x:c r="C2450" s="31" t="str">
        <x:v>E167</x:v>
      </x:c>
      <x:c r="D2450" s="31" t="str">
        <x:v>photos/photo_29@27-06-2026_18-24-14.jpg</x:v>
      </x:c>
      <x:c r="E2450" s="31"/>
    </x:row>
    <x:row r="2451" ht="15" hidden="0" customHeight="1">
      <x:c r="A2451" s="31" t="str">
        <x:v>Anjoman accounting - refined.xlsx</x:v>
      </x:c>
      <x:c r="B2451" s="31" t="str">
        <x:v>خام_تلگرام</x:v>
      </x:c>
      <x:c r="C2451" s="31" t="str">
        <x:v>A168</x:v>
      </x:c>
      <x:c r="D2451" s="31" t="str">
        <x:v>message143</x:v>
      </x:c>
      <x:c r="E2451" s="31"/>
    </x:row>
    <x:row r="2452" ht="15" hidden="0" customHeight="1">
      <x:c r="A2452" s="31" t="str">
        <x:v>Anjoman accounting - refined.xlsx</x:v>
      </x:c>
      <x:c r="B2452" s="31" t="str">
        <x:v>خام_تلگرام</x:v>
      </x:c>
      <x:c r="C2452" s="31" t="str">
        <x:v>B168</x:v>
      </x:c>
      <x:c r="D2452" s="31" t="str">
        <x:v>27.06.2026 18:24:31 UTC+03:30</x:v>
      </x:c>
      <x:c r="E2452" s="31"/>
    </x:row>
    <x:row r="2453" ht="15" hidden="0" customHeight="1">
      <x:c r="A2453" s="31" t="str">
        <x:v>Anjoman accounting - refined.xlsx</x:v>
      </x:c>
      <x:c r="B2453" s="31" t="str">
        <x:v>خام_تلگرام</x:v>
      </x:c>
      <x:c r="C2453" s="31" t="str">
        <x:v>D168</x:v>
      </x:c>
      <x:c r="D2453" s="31" t="str">
        <x:v>جشن یلدا</x:v>
      </x:c>
      <x:c r="E2453" s="31"/>
    </x:row>
    <x:row r="2454" ht="15" hidden="0" customHeight="1">
      <x:c r="A2454" s="31" t="str">
        <x:v>Anjoman accounting - refined.xlsx</x:v>
      </x:c>
      <x:c r="B2454" s="31" t="str">
        <x:v>خام_تلگرام</x:v>
      </x:c>
      <x:c r="C2454" s="31" t="str">
        <x:v>E168</x:v>
      </x:c>
      <x:c r="D2454" s="31" t="str">
        <x:v>photos/photo_30@27-06-2026_18-24-31.jpg</x:v>
      </x:c>
      <x:c r="E2454" s="31"/>
    </x:row>
    <x:row r="2455" ht="15" hidden="0" customHeight="1">
      <x:c r="A2455" s="31" t="str">
        <x:v>Anjoman accounting - refined.xlsx</x:v>
      </x:c>
      <x:c r="B2455" s="31" t="str">
        <x:v>خام_تلگرام</x:v>
      </x:c>
      <x:c r="C2455" s="31" t="str">
        <x:v>A169</x:v>
      </x:c>
      <x:c r="D2455" s="31" t="str">
        <x:v>message144</x:v>
      </x:c>
      <x:c r="E2455" s="31"/>
    </x:row>
    <x:row r="2456" ht="15" hidden="0" customHeight="1">
      <x:c r="A2456" s="31" t="str">
        <x:v>Anjoman accounting - refined.xlsx</x:v>
      </x:c>
      <x:c r="B2456" s="31" t="str">
        <x:v>خام_تلگرام</x:v>
      </x:c>
      <x:c r="C2456" s="31" t="str">
        <x:v>B169</x:v>
      </x:c>
      <x:c r="D2456" s="31" t="str">
        <x:v>27.06.2026 18:24:39 UTC+03:30</x:v>
      </x:c>
      <x:c r="E2456" s="31"/>
    </x:row>
    <x:row r="2457" ht="15" hidden="0" customHeight="1">
      <x:c r="A2457" s="31" t="str">
        <x:v>Anjoman accounting - refined.xlsx</x:v>
      </x:c>
      <x:c r="B2457" s="31" t="str">
        <x:v>خام_تلگرام</x:v>
      </x:c>
      <x:c r="C2457" s="31" t="str">
        <x:v>D169</x:v>
      </x:c>
      <x:c r="D2457" s="31" t="str">
        <x:v>18:24</x:v>
      </x:c>
      <x:c r="E2457" s="31"/>
    </x:row>
    <x:row r="2458" ht="15" hidden="0" customHeight="1">
      <x:c r="A2458" s="31" t="str">
        <x:v>Anjoman accounting - refined.xlsx</x:v>
      </x:c>
      <x:c r="B2458" s="31" t="str">
        <x:v>خام_تلگرام</x:v>
      </x:c>
      <x:c r="C2458" s="31" t="str">
        <x:v>E169</x:v>
      </x:c>
      <x:c r="D2458" s="31" t="str">
        <x:v>photos/photo_31@27-06-2026_18-24-39.jpg</x:v>
      </x:c>
      <x:c r="E2458" s="31"/>
    </x:row>
    <x:row r="2459" ht="15" hidden="0" customHeight="1">
      <x:c r="A2459" s="31" t="str">
        <x:v>Anjoman accounting - refined.xlsx</x:v>
      </x:c>
      <x:c r="B2459" s="31" t="str">
        <x:v>خام_تلگرام</x:v>
      </x:c>
      <x:c r="C2459" s="31" t="str">
        <x:v>A170</x:v>
      </x:c>
      <x:c r="D2459" s="31" t="str">
        <x:v>message145</x:v>
      </x:c>
      <x:c r="E2459" s="31"/>
    </x:row>
    <x:row r="2460" ht="15" hidden="0" customHeight="1">
      <x:c r="A2460" s="31" t="str">
        <x:v>Anjoman accounting - refined.xlsx</x:v>
      </x:c>
      <x:c r="B2460" s="31" t="str">
        <x:v>خام_تلگرام</x:v>
      </x:c>
      <x:c r="C2460" s="31" t="str">
        <x:v>B170</x:v>
      </x:c>
      <x:c r="D2460" s="31" t="str">
        <x:v>27.06.2026 18:24:52 UTC+03:30</x:v>
      </x:c>
      <x:c r="E2460" s="31"/>
    </x:row>
    <x:row r="2461" ht="15" hidden="0" customHeight="1">
      <x:c r="A2461" s="31" t="str">
        <x:v>Anjoman accounting - refined.xlsx</x:v>
      </x:c>
      <x:c r="B2461" s="31" t="str">
        <x:v>خام_تلگرام</x:v>
      </x:c>
      <x:c r="C2461" s="31" t="str">
        <x:v>D170</x:v>
      </x:c>
      <x:c r="D2461" s="31" t="str">
        <x:v>چاپ پوستر انجمن</x:v>
      </x:c>
      <x:c r="E2461" s="31"/>
    </x:row>
    <x:row r="2462" ht="15" hidden="0" customHeight="1">
      <x:c r="A2462" s="31" t="str">
        <x:v>Anjoman accounting - refined.xlsx</x:v>
      </x:c>
      <x:c r="B2462" s="31" t="str">
        <x:v>خام_تلگرام</x:v>
      </x:c>
      <x:c r="C2462" s="31" t="str">
        <x:v>E170</x:v>
      </x:c>
      <x:c r="D2462" s="31" t="str">
        <x:v>photos/photo_32@27-06-2026_18-24-52.jpg</x:v>
      </x:c>
      <x:c r="E2462" s="31"/>
    </x:row>
    <x:row r="2463" ht="15" hidden="0" customHeight="1">
      <x:c r="A2463" s="31" t="str">
        <x:v>Anjoman accounting - refined.xlsx</x:v>
      </x:c>
      <x:c r="B2463" s="31" t="str">
        <x:v>خام_تلگرام</x:v>
      </x:c>
      <x:c r="C2463" s="31" t="str">
        <x:v>A171</x:v>
      </x:c>
      <x:c r="D2463" s="31" t="str">
        <x:v>message146</x:v>
      </x:c>
      <x:c r="E2463" s="31"/>
    </x:row>
    <x:row r="2464" ht="15" hidden="0" customHeight="1">
      <x:c r="A2464" s="31" t="str">
        <x:v>Anjoman accounting - refined.xlsx</x:v>
      </x:c>
      <x:c r="B2464" s="31" t="str">
        <x:v>خام_تلگرام</x:v>
      </x:c>
      <x:c r="C2464" s="31" t="str">
        <x:v>B171</x:v>
      </x:c>
      <x:c r="D2464" s="31" t="str">
        <x:v>27.06.2026 18:25:49 UTC+03:30</x:v>
      </x:c>
      <x:c r="E2464" s="31"/>
    </x:row>
    <x:row r="2465" ht="15" hidden="0" customHeight="1">
      <x:c r="A2465" s="31" t="str">
        <x:v>Anjoman accounting - refined.xlsx</x:v>
      </x:c>
      <x:c r="B2465" s="31" t="str">
        <x:v>خام_تلگرام</x:v>
      </x:c>
      <x:c r="C2465" s="31" t="str">
        <x:v>D171</x:v>
      </x:c>
      <x:c r="D2465" s="31" t="str">
        <x:v>خودکار و روان‌نویس و دفترچه جشن ورودی</x:v>
      </x:c>
      <x:c r="E2465" s="31"/>
    </x:row>
    <x:row r="2466" ht="15" hidden="0" customHeight="1">
      <x:c r="A2466" s="31" t="str">
        <x:v>Anjoman accounting - refined.xlsx</x:v>
      </x:c>
      <x:c r="B2466" s="31" t="str">
        <x:v>خام_تلگرام</x:v>
      </x:c>
      <x:c r="C2466" s="31" t="str">
        <x:v>E171</x:v>
      </x:c>
      <x:c r="D2466" s="31" t="str">
        <x:v>photos/photo_33@27-06-2026_18-25-49.jpg</x:v>
      </x:c>
      <x:c r="E2466" s="31"/>
    </x:row>
    <x:row r="2467" ht="15" hidden="0" customHeight="1">
      <x:c r="A2467" s="31" t="str">
        <x:v>Anjoman accounting - refined.xlsx</x:v>
      </x:c>
      <x:c r="B2467" s="31" t="str">
        <x:v>خام_تلگرام</x:v>
      </x:c>
      <x:c r="C2467" s="31" t="str">
        <x:v>A172</x:v>
      </x:c>
      <x:c r="D2467" s="31" t="str">
        <x:v>message147</x:v>
      </x:c>
      <x:c r="E2467" s="31"/>
    </x:row>
    <x:row r="2468" ht="15" hidden="0" customHeight="1">
      <x:c r="A2468" s="31" t="str">
        <x:v>Anjoman accounting - refined.xlsx</x:v>
      </x:c>
      <x:c r="B2468" s="31" t="str">
        <x:v>خام_تلگرام</x:v>
      </x:c>
      <x:c r="C2468" s="31" t="str">
        <x:v>B172</x:v>
      </x:c>
      <x:c r="D2468" s="31" t="str">
        <x:v>27.06.2026 18:26:03 UTC+03:30</x:v>
      </x:c>
      <x:c r="E2468" s="31"/>
    </x:row>
    <x:row r="2469" ht="15" hidden="0" customHeight="1">
      <x:c r="A2469" s="31" t="str">
        <x:v>Anjoman accounting - refined.xlsx</x:v>
      </x:c>
      <x:c r="B2469" s="31" t="str">
        <x:v>خام_تلگرام</x:v>
      </x:c>
      <x:c r="C2469" s="31" t="str">
        <x:v>D172</x:v>
      </x:c>
      <x:c r="D2469" s="31" t="str">
        <x:v>جوایز جشن ورودی</x:v>
      </x:c>
      <x:c r="E2469" s="31"/>
    </x:row>
    <x:row r="2470" ht="15" hidden="0" customHeight="1">
      <x:c r="A2470" s="31" t="str">
        <x:v>Anjoman accounting - refined.xlsx</x:v>
      </x:c>
      <x:c r="B2470" s="31" t="str">
        <x:v>خام_تلگرام</x:v>
      </x:c>
      <x:c r="C2470" s="31" t="str">
        <x:v>E172</x:v>
      </x:c>
      <x:c r="D2470" s="31" t="str">
        <x:v>photos/photo_34@27-06-2026_18-26-03.jpg</x:v>
      </x:c>
      <x:c r="E2470" s="31"/>
    </x:row>
    <x:row r="2471" ht="15" hidden="0" customHeight="1">
      <x:c r="A2471" s="31" t="str">
        <x:v>Anjoman accounting - refined.xlsx</x:v>
      </x:c>
      <x:c r="B2471" s="31" t="str">
        <x:v>خام_تلگرام</x:v>
      </x:c>
      <x:c r="C2471" s="31" t="str">
        <x:v>A173</x:v>
      </x:c>
      <x:c r="D2471" s="31" t="str">
        <x:v>message148</x:v>
      </x:c>
      <x:c r="E2471" s="31"/>
    </x:row>
    <x:row r="2472" ht="15" hidden="0" customHeight="1">
      <x:c r="A2472" s="31" t="str">
        <x:v>Anjoman accounting - refined.xlsx</x:v>
      </x:c>
      <x:c r="B2472" s="31" t="str">
        <x:v>خام_تلگرام</x:v>
      </x:c>
      <x:c r="C2472" s="31" t="str">
        <x:v>B173</x:v>
      </x:c>
      <x:c r="D2472" s="31" t="str">
        <x:v>27.06.2026 18:26:22 UTC+03:30</x:v>
      </x:c>
      <x:c r="E2472" s="31"/>
    </x:row>
    <x:row r="2473" ht="15" hidden="0" customHeight="1">
      <x:c r="A2473" s="31" t="str">
        <x:v>Anjoman accounting - refined.xlsx</x:v>
      </x:c>
      <x:c r="B2473" s="31" t="str">
        <x:v>خام_تلگرام</x:v>
      </x:c>
      <x:c r="C2473" s="31" t="str">
        <x:v>D173</x:v>
      </x:c>
      <x:c r="D2473" s="31" t="str">
        <x:v>جوایز جشن ورودی و فلش انجمن</x:v>
      </x:c>
      <x:c r="E2473" s="31"/>
    </x:row>
    <x:row r="2474" ht="15" hidden="0" customHeight="1">
      <x:c r="A2474" s="31" t="str">
        <x:v>Anjoman accounting - refined.xlsx</x:v>
      </x:c>
      <x:c r="B2474" s="31" t="str">
        <x:v>خام_تلگرام</x:v>
      </x:c>
      <x:c r="C2474" s="31" t="str">
        <x:v>E173</x:v>
      </x:c>
      <x:c r="D2474" s="31" t="str">
        <x:v>photos/photo_35@27-06-2026_18-26-22.jpg</x:v>
      </x:c>
      <x:c r="E2474" s="31"/>
    </x:row>
    <x:row r="2475" ht="15" hidden="0" customHeight="1">
      <x:c r="A2475" s="31" t="str">
        <x:v>Anjoman accounting - refined.xlsx</x:v>
      </x:c>
      <x:c r="B2475" s="31" t="str">
        <x:v>خام_تلگرام</x:v>
      </x:c>
      <x:c r="C2475" s="31" t="str">
        <x:v>A174</x:v>
      </x:c>
      <x:c r="D2475" s="31" t="str">
        <x:v>message149</x:v>
      </x:c>
      <x:c r="E2475" s="31"/>
    </x:row>
    <x:row r="2476" ht="15" hidden="0" customHeight="1">
      <x:c r="A2476" s="31" t="str">
        <x:v>Anjoman accounting - refined.xlsx</x:v>
      </x:c>
      <x:c r="B2476" s="31" t="str">
        <x:v>خام_تلگرام</x:v>
      </x:c>
      <x:c r="C2476" s="31" t="str">
        <x:v>B174</x:v>
      </x:c>
      <x:c r="D2476" s="31" t="str">
        <x:v>27.06.2026 18:26:45 UTC+03:30</x:v>
      </x:c>
      <x:c r="E2476" s="31"/>
    </x:row>
    <x:row r="2477" ht="15" hidden="0" customHeight="1">
      <x:c r="A2477" s="31" t="str">
        <x:v>Anjoman accounting - refined.xlsx</x:v>
      </x:c>
      <x:c r="B2477" s="31" t="str">
        <x:v>خام_تلگرام</x:v>
      </x:c>
      <x:c r="C2477" s="31" t="str">
        <x:v>D174</x:v>
      </x:c>
      <x:c r="D2477" s="31" t="str">
        <x:v>پذیرایی نشست اساتید مهرماه</x:v>
      </x:c>
      <x:c r="E2477" s="31"/>
    </x:row>
    <x:row r="2478" ht="15" hidden="0" customHeight="1">
      <x:c r="A2478" s="31" t="str">
        <x:v>Anjoman accounting - refined.xlsx</x:v>
      </x:c>
      <x:c r="B2478" s="31" t="str">
        <x:v>خام_تلگرام</x:v>
      </x:c>
      <x:c r="C2478" s="31" t="str">
        <x:v>E174</x:v>
      </x:c>
      <x:c r="D2478" s="31" t="str">
        <x:v>photos/photo_36@27-06-2026_18-26-45.jpg</x:v>
      </x:c>
      <x:c r="E2478" s="31"/>
    </x:row>
    <x:row r="2479" ht="15" hidden="0" customHeight="1">
      <x:c r="A2479" s="31" t="str">
        <x:v>Anjoman accounting - refined.xlsx</x:v>
      </x:c>
      <x:c r="B2479" s="31" t="str">
        <x:v>خام_تلگرام</x:v>
      </x:c>
      <x:c r="C2479" s="31" t="str">
        <x:v>A175</x:v>
      </x:c>
      <x:c r="D2479" s="31" t="str">
        <x:v>message150</x:v>
      </x:c>
      <x:c r="E2479" s="31"/>
    </x:row>
    <x:row r="2480" ht="15" hidden="0" customHeight="1">
      <x:c r="A2480" s="31" t="str">
        <x:v>Anjoman accounting - refined.xlsx</x:v>
      </x:c>
      <x:c r="B2480" s="31" t="str">
        <x:v>خام_تلگرام</x:v>
      </x:c>
      <x:c r="C2480" s="31" t="str">
        <x:v>B175</x:v>
      </x:c>
      <x:c r="D2480" s="31" t="str">
        <x:v>27.06.2026 18:27:12 UTC+03:30</x:v>
      </x:c>
      <x:c r="E2480" s="31"/>
    </x:row>
    <x:row r="2481" ht="15" hidden="0" customHeight="1">
      <x:c r="A2481" s="31" t="str">
        <x:v>Anjoman accounting - refined.xlsx</x:v>
      </x:c>
      <x:c r="B2481" s="31" t="str">
        <x:v>خام_تلگرام</x:v>
      </x:c>
      <x:c r="C2481" s="31" t="str">
        <x:v>D175</x:v>
      </x:c>
      <x:c r="D2481" s="31" t="str">
        <x:v>پذیرایی چای و فیزیک مهرماه</x:v>
      </x:c>
      <x:c r="E2481" s="31"/>
    </x:row>
    <x:row r="2482" ht="15" hidden="0" customHeight="1">
      <x:c r="A2482" s="31" t="str">
        <x:v>Anjoman accounting - refined.xlsx</x:v>
      </x:c>
      <x:c r="B2482" s="31" t="str">
        <x:v>خام_تلگرام</x:v>
      </x:c>
      <x:c r="C2482" s="31" t="str">
        <x:v>E175</x:v>
      </x:c>
      <x:c r="D2482" s="31" t="str">
        <x:v>photos/photo_37@27-06-2026_18-27-12.jpg</x:v>
      </x:c>
      <x:c r="E2482" s="31"/>
    </x:row>
    <x:row r="2483" ht="15" hidden="0" customHeight="1">
      <x:c r="A2483" s="31" t="str">
        <x:v>Anjoman accounting - refined.xlsx</x:v>
      </x:c>
      <x:c r="B2483" s="31" t="str">
        <x:v>خام_تلگرام</x:v>
      </x:c>
      <x:c r="C2483" s="31" t="str">
        <x:v>A176</x:v>
      </x:c>
      <x:c r="D2483" s="31" t="str">
        <x:v>message151</x:v>
      </x:c>
      <x:c r="E2483" s="31"/>
    </x:row>
    <x:row r="2484" ht="15" hidden="0" customHeight="1">
      <x:c r="A2484" s="31" t="str">
        <x:v>Anjoman accounting - refined.xlsx</x:v>
      </x:c>
      <x:c r="B2484" s="31" t="str">
        <x:v>خام_تلگرام</x:v>
      </x:c>
      <x:c r="C2484" s="31" t="str">
        <x:v>B176</x:v>
      </x:c>
      <x:c r="D2484" s="31" t="str">
        <x:v>27.06.2026 18:27:25 UTC+03:30</x:v>
      </x:c>
      <x:c r="E2484" s="31"/>
    </x:row>
    <x:row r="2485" ht="15" hidden="0" customHeight="1">
      <x:c r="A2485" s="31" t="str">
        <x:v>Anjoman accounting - refined.xlsx</x:v>
      </x:c>
      <x:c r="B2485" s="31" t="str">
        <x:v>خام_تلگرام</x:v>
      </x:c>
      <x:c r="C2485" s="31" t="str">
        <x:v>D176</x:v>
      </x:c>
      <x:c r="D2485" s="31" t="str">
        <x:v>پذیرایی یلدا</x:v>
      </x:c>
      <x:c r="E2485" s="31"/>
    </x:row>
    <x:row r="2486" ht="15" hidden="0" customHeight="1">
      <x:c r="A2486" s="31" t="str">
        <x:v>Anjoman accounting - refined.xlsx</x:v>
      </x:c>
      <x:c r="B2486" s="31" t="str">
        <x:v>خام_تلگرام</x:v>
      </x:c>
      <x:c r="C2486" s="31" t="str">
        <x:v>E176</x:v>
      </x:c>
      <x:c r="D2486" s="31" t="str">
        <x:v>photos/photo_38@27-06-2026_18-27-25.jpg</x:v>
      </x:c>
      <x:c r="E2486" s="31"/>
    </x:row>
    <x:row r="2487" ht="15" hidden="0" customHeight="1">
      <x:c r="A2487" s="31" t="str">
        <x:v>Anjoman accounting - refined.xlsx</x:v>
      </x:c>
      <x:c r="B2487" s="31" t="str">
        <x:v>خام_تلگرام</x:v>
      </x:c>
      <x:c r="C2487" s="31" t="str">
        <x:v>A177</x:v>
      </x:c>
      <x:c r="D2487" s="31" t="str">
        <x:v>message152</x:v>
      </x:c>
      <x:c r="E2487" s="31"/>
    </x:row>
    <x:row r="2488" ht="15" hidden="0" customHeight="1">
      <x:c r="A2488" s="31" t="str">
        <x:v>Anjoman accounting - refined.xlsx</x:v>
      </x:c>
      <x:c r="B2488" s="31" t="str">
        <x:v>خام_تلگرام</x:v>
      </x:c>
      <x:c r="C2488" s="31" t="str">
        <x:v>B177</x:v>
      </x:c>
      <x:c r="D2488" s="31" t="str">
        <x:v>27.06.2026 18:29:10 UTC+03:30</x:v>
      </x:c>
      <x:c r="E2488" s="31"/>
    </x:row>
    <x:row r="2489" ht="15" hidden="0" customHeight="1">
      <x:c r="A2489" s="31" t="str">
        <x:v>Anjoman accounting - refined.xlsx</x:v>
      </x:c>
      <x:c r="B2489" s="31" t="str">
        <x:v>خام_تلگرام</x:v>
      </x:c>
      <x:c r="C2489" s="31" t="str">
        <x:v>D177</x:v>
      </x:c>
      <x:c r="D2489" s="31" t="str">
        <x:v>نخ بسته‌بندی فال یلدا</x:v>
      </x:c>
      <x:c r="E2489" s="31"/>
    </x:row>
    <x:row r="2490" ht="15" hidden="0" customHeight="1">
      <x:c r="A2490" s="31" t="str">
        <x:v>Anjoman accounting - refined.xlsx</x:v>
      </x:c>
      <x:c r="B2490" s="31" t="str">
        <x:v>خام_تلگرام</x:v>
      </x:c>
      <x:c r="C2490" s="31" t="str">
        <x:v>E177</x:v>
      </x:c>
      <x:c r="D2490" s="31" t="str">
        <x:v>photos/photo_39@27-06-2026_18-29-10.jpg</x:v>
      </x:c>
      <x:c r="E2490" s="31"/>
    </x:row>
    <x:row r="2491" ht="15" hidden="0" customHeight="1">
      <x:c r="A2491" s="31" t="str">
        <x:v>Anjoman accounting - refined.xlsx</x:v>
      </x:c>
      <x:c r="B2491" s="31" t="str">
        <x:v>خام_تلگرام</x:v>
      </x:c>
      <x:c r="C2491" s="31" t="str">
        <x:v>A178</x:v>
      </x:c>
      <x:c r="D2491" s="31" t="str">
        <x:v>message153</x:v>
      </x:c>
      <x:c r="E2491" s="31"/>
    </x:row>
    <x:row r="2492" ht="15" hidden="0" customHeight="1">
      <x:c r="A2492" s="31" t="str">
        <x:v>Anjoman accounting - refined.xlsx</x:v>
      </x:c>
      <x:c r="B2492" s="31" t="str">
        <x:v>خام_تلگرام</x:v>
      </x:c>
      <x:c r="C2492" s="31" t="str">
        <x:v>B178</x:v>
      </x:c>
      <x:c r="D2492" s="31" t="str">
        <x:v>27.06.2026 18:31:08 UTC+03:30</x:v>
      </x:c>
      <x:c r="E2492" s="31"/>
    </x:row>
    <x:row r="2493" ht="15" hidden="0" customHeight="1">
      <x:c r="A2493" s="31" t="str">
        <x:v>Anjoman accounting - refined.xlsx</x:v>
      </x:c>
      <x:c r="B2493" s="31" t="str">
        <x:v>خام_تلگرام</x:v>
      </x:c>
      <x:c r="C2493" s="31" t="str">
        <x:v>D178</x:v>
      </x:c>
      <x:c r="D2493" s="31" t="str">
        <x:v>پذیرایی غرفه انجمن شریف سلام دو عدد دلستر بیسکوئیت و چیپس و پفک</x:v>
      </x:c>
      <x:c r="E2493" s="31"/>
    </x:row>
    <x:row r="2494" ht="15" hidden="0" customHeight="1">
      <x:c r="A2494" s="31" t="str">
        <x:v>Anjoman accounting - refined.xlsx</x:v>
      </x:c>
      <x:c r="B2494" s="31" t="str">
        <x:v>خام_تلگرام</x:v>
      </x:c>
      <x:c r="C2494" s="31" t="str">
        <x:v>E178</x:v>
      </x:c>
      <x:c r="D2494" s="31" t="str">
        <x:v>photos/photo_40@27-06-2026_18-31-08.jpg</x:v>
      </x:c>
      <x:c r="E2494" s="31"/>
    </x:row>
    <x:row r="2495" ht="15" hidden="0" customHeight="1">
      <x:c r="A2495" s="31" t="str">
        <x:v>Anjoman accounting - refined.xlsx</x:v>
      </x:c>
      <x:c r="B2495" s="31" t="str">
        <x:v>خام_تلگرام</x:v>
      </x:c>
      <x:c r="C2495" s="31" t="str">
        <x:v>A179</x:v>
      </x:c>
      <x:c r="D2495" s="31" t="str">
        <x:v>message154</x:v>
      </x:c>
      <x:c r="E2495" s="31"/>
    </x:row>
    <x:row r="2496" ht="15" hidden="0" customHeight="1">
      <x:c r="A2496" s="31" t="str">
        <x:v>Anjoman accounting - refined.xlsx</x:v>
      </x:c>
      <x:c r="B2496" s="31" t="str">
        <x:v>خام_تلگرام</x:v>
      </x:c>
      <x:c r="C2496" s="31" t="str">
        <x:v>B179</x:v>
      </x:c>
      <x:c r="D2496" s="31" t="str">
        <x:v>27.06.2026 18:36:09 UTC+03:30</x:v>
      </x:c>
      <x:c r="E2496" s="31"/>
    </x:row>
    <x:row r="2497" ht="15" hidden="0" customHeight="1">
      <x:c r="A2497" s="31" t="str">
        <x:v>Anjoman accounting - refined.xlsx</x:v>
      </x:c>
      <x:c r="B2497" s="31" t="str">
        <x:v>خام_تلگرام</x:v>
      </x:c>
      <x:c r="C2497" s="31" t="str">
        <x:v>C179</x:v>
      </x:c>
      <x:c r="D2497" s="31" t="str">
        <x:v>Deleted Account</x:v>
      </x:c>
      <x:c r="E2497" s="31"/>
    </x:row>
    <x:row r="2498" ht="36" hidden="0" customHeight="1">
      <x:c r="A2498" s="31" t="str">
        <x:v>Anjoman accounting - refined.xlsx</x:v>
      </x:c>
      <x:c r="B2498" s="31" t="str">
        <x:v>خام_تلگرام</x:v>
      </x:c>
      <x:c r="C2498" s="31" t="str">
        <x:v>D179</x:v>
      </x:c>
      <x:c r="D2498" s="31" t="str">
        <x:v>سلام خوبی ببین من یه ۴۰۰ خرید کردم که یه سری جا سوییچی و یه دونه گوشواره انار و اینا بود یه ۲۵۰ دوباره که بازم جا سوییچی های عروسکی بود یه ۶۰۰ که هندونه و انار های ریز بودن با یه ۱۱۶۲ که ۲۷۵ تاشو ساندویچ خریدیم میمونه ۸۸۷ که ۲۲ تا ژله فرمند بودن که قیمت اصلی‌شون ۴۵ بود ولی تخفیف خورده بودن فک کنم شده بودن ۴۰ اینا حالا از اینا من رسید ۴۰۰ و ۲۵۰ رو دارم ولی رسید ۶۰۰ رو ندارم فاکتور اون ۱۱۶۲ رو هم داده بودم حسین ولی گم کرده</x:v>
      </x:c>
      <x:c r="E2498" s="31"/>
    </x:row>
    <x:row r="2499" ht="15" hidden="0" customHeight="1">
      <x:c r="A2499" s="31" t="str">
        <x:v>Anjoman accounting - refined.xlsx</x:v>
      </x:c>
      <x:c r="B2499" s="31" t="str">
        <x:v>خام_تلگرام</x:v>
      </x:c>
      <x:c r="C2499" s="31" t="str">
        <x:v>A180</x:v>
      </x:c>
      <x:c r="D2499" s="31" t="str">
        <x:v>message155</x:v>
      </x:c>
      <x:c r="E2499" s="31"/>
    </x:row>
    <x:row r="2500" ht="15" hidden="0" customHeight="1">
      <x:c r="A2500" s="31" t="str">
        <x:v>Anjoman accounting - refined.xlsx</x:v>
      </x:c>
      <x:c r="B2500" s="31" t="str">
        <x:v>خام_تلگرام</x:v>
      </x:c>
      <x:c r="C2500" s="31" t="str">
        <x:v>B180</x:v>
      </x:c>
      <x:c r="D2500" s="31" t="str">
        <x:v>27.06.2026 18:36:09 UTC+03:30</x:v>
      </x:c>
      <x:c r="E2500" s="31"/>
    </x:row>
    <x:row r="2501" ht="15" hidden="0" customHeight="1">
      <x:c r="A2501" s="31" t="str">
        <x:v>Anjoman accounting - refined.xlsx</x:v>
      </x:c>
      <x:c r="B2501" s="31" t="str">
        <x:v>خام_تلگرام</x:v>
      </x:c>
      <x:c r="C2501" s="31" t="str">
        <x:v>C180</x:v>
      </x:c>
      <x:c r="D2501" s="31" t="str">
        <x:v>Bardia 25.12.2025 19:23:48</x:v>
      </x:c>
      <x:c r="E2501" s="31"/>
    </x:row>
    <x:row r="2502" ht="15" hidden="0" customHeight="1">
      <x:c r="A2502" s="31" t="str">
        <x:v>Anjoman accounting - refined.xlsx</x:v>
      </x:c>
      <x:c r="B2502" s="31" t="str">
        <x:v>خام_تلگرام</x:v>
      </x:c>
      <x:c r="C2502" s="31" t="str">
        <x:v>D180</x:v>
      </x:c>
      <x:c r="D2502" s="31" t="str">
        <x:v>18:36 B Bardia 25.12.2025 19:23:48</x:v>
      </x:c>
      <x:c r="E2502" s="31"/>
    </x:row>
    <x:row r="2503" ht="15" hidden="0" customHeight="1">
      <x:c r="A2503" s="31" t="str">
        <x:v>Anjoman accounting - refined.xlsx</x:v>
      </x:c>
      <x:c r="B2503" s="31" t="str">
        <x:v>خام_تلگرام</x:v>
      </x:c>
      <x:c r="C2503" s="31" t="str">
        <x:v>E180</x:v>
      </x:c>
      <x:c r="D2503" s="31" t="str">
        <x:v>photos/photo_41@27-06-2026_18-36-09.jpg</x:v>
      </x:c>
      <x:c r="E2503" s="31"/>
    </x:row>
    <x:row r="2504" ht="15" hidden="0" customHeight="1">
      <x:c r="A2504" s="31" t="str">
        <x:v>Anjoman accounting - refined.xlsx</x:v>
      </x:c>
      <x:c r="B2504" s="31" t="str">
        <x:v>خام_تلگرام</x:v>
      </x:c>
      <x:c r="C2504" s="31" t="str">
        <x:v>A181</x:v>
      </x:c>
      <x:c r="D2504" s="31" t="str">
        <x:v>message156</x:v>
      </x:c>
      <x:c r="E2504" s="31"/>
    </x:row>
    <x:row r="2505" ht="15" hidden="0" customHeight="1">
      <x:c r="A2505" s="31" t="str">
        <x:v>Anjoman accounting - refined.xlsx</x:v>
      </x:c>
      <x:c r="B2505" s="31" t="str">
        <x:v>خام_تلگرام</x:v>
      </x:c>
      <x:c r="C2505" s="31" t="str">
        <x:v>B181</x:v>
      </x:c>
      <x:c r="D2505" s="31" t="str">
        <x:v>27.06.2026 18:36:09 UTC+03:30</x:v>
      </x:c>
      <x:c r="E2505" s="31"/>
    </x:row>
    <x:row r="2506" ht="15" hidden="0" customHeight="1">
      <x:c r="A2506" s="31" t="str">
        <x:v>Anjoman accounting - refined.xlsx</x:v>
      </x:c>
      <x:c r="B2506" s="31" t="str">
        <x:v>خام_تلگرام</x:v>
      </x:c>
      <x:c r="C2506" s="31" t="str">
        <x:v>C181</x:v>
      </x:c>
      <x:c r="D2506" s="31" t="str">
        <x:v>Bardia 25.12.2025 19:23:48</x:v>
      </x:c>
      <x:c r="E2506" s="31"/>
    </x:row>
    <x:row r="2507" ht="15" hidden="0" customHeight="1">
      <x:c r="A2507" s="31" t="str">
        <x:v>Anjoman accounting - refined.xlsx</x:v>
      </x:c>
      <x:c r="B2507" s="31" t="str">
        <x:v>خام_تلگرام</x:v>
      </x:c>
      <x:c r="C2507" s="31" t="str">
        <x:v>D181</x:v>
      </x:c>
      <x:c r="D2507" s="31" t="str">
        <x:v>18:36 B Bardia 25.12.2025 19:23:48</x:v>
      </x:c>
      <x:c r="E2507" s="31"/>
    </x:row>
    <x:row r="2508" ht="15" hidden="0" customHeight="1">
      <x:c r="A2508" s="31" t="str">
        <x:v>Anjoman accounting - refined.xlsx</x:v>
      </x:c>
      <x:c r="B2508" s="31" t="str">
        <x:v>خام_تلگرام</x:v>
      </x:c>
      <x:c r="C2508" s="31" t="str">
        <x:v>E181</x:v>
      </x:c>
      <x:c r="D2508" s="31" t="str">
        <x:v>photos/photo_42@27-06-2026_18-36-09.jpg</x:v>
      </x:c>
      <x:c r="E2508" s="31"/>
    </x:row>
    <x:row r="2509" ht="15" hidden="0" customHeight="1">
      <x:c r="A2509" s="31" t="str">
        <x:v>Anjoman accounting - refined.xlsx</x:v>
      </x:c>
      <x:c r="B2509" s="31" t="str">
        <x:v>خام_تلگرام</x:v>
      </x:c>
      <x:c r="C2509" s="31" t="str">
        <x:v>A182</x:v>
      </x:c>
      <x:c r="D2509" s="31" t="str">
        <x:v>message157</x:v>
      </x:c>
      <x:c r="E2509" s="31"/>
    </x:row>
    <x:row r="2510" ht="15" hidden="0" customHeight="1">
      <x:c r="A2510" s="31" t="str">
        <x:v>Anjoman accounting - refined.xlsx</x:v>
      </x:c>
      <x:c r="B2510" s="31" t="str">
        <x:v>خام_تلگرام</x:v>
      </x:c>
      <x:c r="C2510" s="31" t="str">
        <x:v>B182</x:v>
      </x:c>
      <x:c r="D2510" s="31" t="str">
        <x:v>27.06.2026 18:36:09 UTC+03:30</x:v>
      </x:c>
      <x:c r="E2510" s="31"/>
    </x:row>
    <x:row r="2511" ht="15" hidden="0" customHeight="1">
      <x:c r="A2511" s="31" t="str">
        <x:v>Anjoman accounting - refined.xlsx</x:v>
      </x:c>
      <x:c r="B2511" s="31" t="str">
        <x:v>خام_تلگرام</x:v>
      </x:c>
      <x:c r="C2511" s="31" t="str">
        <x:v>C182</x:v>
      </x:c>
      <x:c r="D2511" s="31" t="str">
        <x:v>Bardia 25.12.2025 19:32:19</x:v>
      </x:c>
      <x:c r="E2511" s="31"/>
    </x:row>
    <x:row r="2512" ht="15" hidden="0" customHeight="1">
      <x:c r="A2512" s="31" t="str">
        <x:v>Anjoman accounting - refined.xlsx</x:v>
      </x:c>
      <x:c r="B2512" s="31" t="str">
        <x:v>خام_تلگرام</x:v>
      </x:c>
      <x:c r="C2512" s="31" t="str">
        <x:v>D182</x:v>
      </x:c>
      <x:c r="D2512" s="31" t="str">
        <x:v>این رسید اون دوتای دیگس ولی فاکتور ۱۱۶۲ رو ندارم دیگه بیشتر نتونستم پیدا کنم 😂</x:v>
      </x:c>
      <x:c r="E2512" s="31"/>
    </x:row>
    <x:row r="2513" ht="15" hidden="0" customHeight="1">
      <x:c r="A2513" s="31" t="str">
        <x:v>Anjoman accounting - refined.xlsx</x:v>
      </x:c>
      <x:c r="B2513" s="31" t="str">
        <x:v>خام_تلگرام</x:v>
      </x:c>
      <x:c r="C2513" s="31" t="str">
        <x:v>E182</x:v>
      </x:c>
      <x:c r="D2513" s="31" t="str">
        <x:v>photos/photo_43@27-06-2026_18-36-09.jpg</x:v>
      </x:c>
      <x:c r="E2513" s="31"/>
    </x:row>
    <x:row r="2514" ht="15" hidden="0" customHeight="1">
      <x:c r="A2514" s="31" t="str">
        <x:v>Anjoman accounting - refined.xlsx</x:v>
      </x:c>
      <x:c r="B2514" s="31" t="str">
        <x:v>خام_تلگرام</x:v>
      </x:c>
      <x:c r="C2514" s="31" t="str">
        <x:v>A183</x:v>
      </x:c>
      <x:c r="D2514" s="31" t="str">
        <x:v>message158</x:v>
      </x:c>
      <x:c r="E2514" s="31"/>
    </x:row>
    <x:row r="2515" ht="15" hidden="0" customHeight="1">
      <x:c r="A2515" s="31" t="str">
        <x:v>Anjoman accounting - refined.xlsx</x:v>
      </x:c>
      <x:c r="B2515" s="31" t="str">
        <x:v>خام_تلگرام</x:v>
      </x:c>
      <x:c r="C2515" s="31" t="str">
        <x:v>B183</x:v>
      </x:c>
      <x:c r="D2515" s="31" t="str">
        <x:v>27.06.2026 18:36:09 UTC+03:30</x:v>
      </x:c>
      <x:c r="E2515" s="31"/>
    </x:row>
    <x:row r="2516" ht="15" hidden="0" customHeight="1">
      <x:c r="A2516" s="31" t="str">
        <x:v>Anjoman accounting - refined.xlsx</x:v>
      </x:c>
      <x:c r="B2516" s="31" t="str">
        <x:v>خام_تلگرام</x:v>
      </x:c>
      <x:c r="C2516" s="31" t="str">
        <x:v>C183</x:v>
      </x:c>
      <x:c r="D2516" s="31" t="str">
        <x:v>Bardia 25.12.2025 19:32:19</x:v>
      </x:c>
      <x:c r="E2516" s="31"/>
    </x:row>
    <x:row r="2517" ht="15" hidden="0" customHeight="1">
      <x:c r="A2517" s="31" t="str">
        <x:v>Anjoman accounting - refined.xlsx</x:v>
      </x:c>
      <x:c r="B2517" s="31" t="str">
        <x:v>خام_تلگرام</x:v>
      </x:c>
      <x:c r="C2517" s="31" t="str">
        <x:v>D183</x:v>
      </x:c>
      <x:c r="D2517" s="31" t="str">
        <x:v>18:36 B Bardia 25.12.2025 19:32:19</x:v>
      </x:c>
      <x:c r="E2517" s="31"/>
    </x:row>
    <x:row r="2518" ht="15" hidden="0" customHeight="1">
      <x:c r="A2518" s="31" t="str">
        <x:v>Anjoman accounting - refined.xlsx</x:v>
      </x:c>
      <x:c r="B2518" s="31" t="str">
        <x:v>خام_تلگرام</x:v>
      </x:c>
      <x:c r="C2518" s="31" t="str">
        <x:v>E183</x:v>
      </x:c>
      <x:c r="D2518" s="31" t="str">
        <x:v>photos/photo_44@27-06-2026_18-36-09.jpg</x:v>
      </x:c>
      <x:c r="E2518" s="31"/>
    </x:row>
    <x:row r="2519" ht="15" hidden="0" customHeight="1">
      <x:c r="A2519" s="31" t="str">
        <x:v>Anjoman accounting - refined.xlsx</x:v>
      </x:c>
      <x:c r="B2519" s="31" t="str">
        <x:v>خام_تلگرام</x:v>
      </x:c>
      <x:c r="C2519" s="31" t="str">
        <x:v>A184</x:v>
      </x:c>
      <x:c r="D2519" s="31" t="str">
        <x:v>message159</x:v>
      </x:c>
      <x:c r="E2519" s="31"/>
    </x:row>
    <x:row r="2520" ht="15" hidden="0" customHeight="1">
      <x:c r="A2520" s="31" t="str">
        <x:v>Anjoman accounting - refined.xlsx</x:v>
      </x:c>
      <x:c r="B2520" s="31" t="str">
        <x:v>خام_تلگرام</x:v>
      </x:c>
      <x:c r="C2520" s="31" t="str">
        <x:v>B184</x:v>
      </x:c>
      <x:c r="D2520" s="31" t="str">
        <x:v>27.06.2026 18:36:09 UTC+03:30</x:v>
      </x:c>
      <x:c r="E2520" s="31"/>
    </x:row>
    <x:row r="2521" ht="15" hidden="0" customHeight="1">
      <x:c r="A2521" s="31" t="str">
        <x:v>Anjoman accounting - refined.xlsx</x:v>
      </x:c>
      <x:c r="B2521" s="31" t="str">
        <x:v>خام_تلگرام</x:v>
      </x:c>
      <x:c r="C2521" s="31" t="str">
        <x:v>C184</x:v>
      </x:c>
      <x:c r="D2521" s="31" t="str">
        <x:v>Deleted Account</x:v>
      </x:c>
      <x:c r="E2521" s="31"/>
    </x:row>
    <x:row r="2522" ht="15" hidden="0" customHeight="1">
      <x:c r="A2522" s="31" t="str">
        <x:v>Anjoman accounting - refined.xlsx</x:v>
      </x:c>
      <x:c r="B2522" s="31" t="str">
        <x:v>خام_تلگرام</x:v>
      </x:c>
      <x:c r="C2522" s="31" t="str">
        <x:v>D184</x:v>
      </x:c>
      <x:c r="D2522" s="31" t="str">
        <x:v>خدمتت نازنین، ممنون از انرژی که گذاشتی</x:v>
      </x:c>
      <x:c r="E2522" s="31"/>
    </x:row>
    <x:row r="2523" ht="15" hidden="0" customHeight="1">
      <x:c r="A2523" s="31" t="str">
        <x:v>Anjoman accounting - refined.xlsx</x:v>
      </x:c>
      <x:c r="B2523" s="31" t="str">
        <x:v>خام_تلگرام</x:v>
      </x:c>
      <x:c r="C2523" s="31" t="str">
        <x:v>E184</x:v>
      </x:c>
      <x:c r="D2523" s="31" t="str">
        <x:v>photos/photo_45@27-06-2026_18-36-09.jpg</x:v>
      </x:c>
      <x:c r="E2523" s="31"/>
    </x:row>
    <x:row r="2524" ht="15" hidden="0" customHeight="1">
      <x:c r="A2524" s="31" t="str">
        <x:v>Anjoman accounting - refined.xlsx</x:v>
      </x:c>
      <x:c r="B2524" s="31" t="str">
        <x:v>خام_تلگرام</x:v>
      </x:c>
      <x:c r="C2524" s="31" t="str">
        <x:v>A185</x:v>
      </x:c>
      <x:c r="D2524" s="31" t="str">
        <x:v>message161</x:v>
      </x:c>
      <x:c r="E2524" s="31"/>
    </x:row>
    <x:row r="2525" ht="15" hidden="0" customHeight="1">
      <x:c r="A2525" s="31" t="str">
        <x:v>Anjoman accounting - refined.xlsx</x:v>
      </x:c>
      <x:c r="B2525" s="31" t="str">
        <x:v>خام_تلگرام</x:v>
      </x:c>
      <x:c r="C2525" s="31" t="str">
        <x:v>B185</x:v>
      </x:c>
      <x:c r="D2525" s="31" t="str">
        <x:v>27.06.2026 18:38:52 UTC+03:30</x:v>
      </x:c>
      <x:c r="E2525" s="31"/>
    </x:row>
    <x:row r="2526" ht="15" hidden="0" customHeight="1">
      <x:c r="A2526" s="31" t="str">
        <x:v>Anjoman accounting - refined.xlsx</x:v>
      </x:c>
      <x:c r="B2526" s="31" t="str">
        <x:v>خام_تلگرام</x:v>
      </x:c>
      <x:c r="C2526" s="31" t="str">
        <x:v>C185</x:v>
      </x:c>
      <x:c r="D2526" s="31" t="str">
        <x:v>Deleted Account</x:v>
      </x:c>
      <x:c r="E2526" s="31"/>
    </x:row>
    <x:row r="2527" ht="15" hidden="0" customHeight="1">
      <x:c r="A2527" s="31" t="str">
        <x:v>Anjoman accounting - refined.xlsx</x:v>
      </x:c>
      <x:c r="B2527" s="31" t="str">
        <x:v>خام_تلگرام</x:v>
      </x:c>
      <x:c r="C2527" s="31" t="str">
        <x:v>D185</x:v>
      </x:c>
      <x:c r="D2527" s="31" t="str">
        <x:v>این برای یکیشون که ژله و شربت آلبالو</x:v>
      </x:c>
      <x:c r="E2527" s="31"/>
    </x:row>
    <x:row r="2528" ht="15" hidden="0" customHeight="1">
      <x:c r="A2528" s="31" t="str">
        <x:v>Anjoman accounting - refined.xlsx</x:v>
      </x:c>
      <x:c r="B2528" s="31" t="str">
        <x:v>خام_تلگرام</x:v>
      </x:c>
      <x:c r="C2528" s="31" t="str">
        <x:v>E185</x:v>
      </x:c>
      <x:c r="D2528" s="31" t="str">
        <x:v>photos/photo_46@27-06-2026_18-38-52.jpg</x:v>
      </x:c>
      <x:c r="E2528" s="31"/>
    </x:row>
    <x:row r="2529" ht="15" hidden="0" customHeight="1">
      <x:c r="A2529" s="31" t="str">
        <x:v>Anjoman accounting - refined.xlsx</x:v>
      </x:c>
      <x:c r="B2529" s="31" t="str">
        <x:v>خام_تلگرام</x:v>
      </x:c>
      <x:c r="C2529" s="31" t="str">
        <x:v>A186</x:v>
      </x:c>
      <x:c r="D2529" s="31" t="str">
        <x:v>message162</x:v>
      </x:c>
      <x:c r="E2529" s="31"/>
    </x:row>
    <x:row r="2530" ht="15" hidden="0" customHeight="1">
      <x:c r="A2530" s="31" t="str">
        <x:v>Anjoman accounting - refined.xlsx</x:v>
      </x:c>
      <x:c r="B2530" s="31" t="str">
        <x:v>خام_تلگرام</x:v>
      </x:c>
      <x:c r="C2530" s="31" t="str">
        <x:v>B186</x:v>
      </x:c>
      <x:c r="D2530" s="31" t="str">
        <x:v>27.06.2026 18:38:52 UTC+03:30</x:v>
      </x:c>
      <x:c r="E2530" s="31"/>
    </x:row>
    <x:row r="2531" ht="15" hidden="0" customHeight="1">
      <x:c r="A2531" s="31" t="str">
        <x:v>Anjoman accounting - refined.xlsx</x:v>
      </x:c>
      <x:c r="B2531" s="31" t="str">
        <x:v>خام_تلگرام</x:v>
      </x:c>
      <x:c r="C2531" s="31" t="str">
        <x:v>C186</x:v>
      </x:c>
      <x:c r="D2531" s="31" t="str">
        <x:v>hossein 26.12.2025 21:52:41</x:v>
      </x:c>
      <x:c r="E2531" s="31"/>
    </x:row>
    <x:row r="2532" ht="15" hidden="0" customHeight="1">
      <x:c r="A2532" s="31" t="str">
        <x:v>Anjoman accounting - refined.xlsx</x:v>
      </x:c>
      <x:c r="B2532" s="31" t="str">
        <x:v>خام_تلگرام</x:v>
      </x:c>
      <x:c r="C2532" s="31" t="str">
        <x:v>D186</x:v>
      </x:c>
      <x:c r="D2532" s="31" t="str">
        <x:v>اون 165 برای خرید کاغذ و ماژیک</x:v>
      </x:c>
      <x:c r="E2532" s="31"/>
    </x:row>
    <x:row r="2533" ht="15" hidden="0" customHeight="1">
      <x:c r="A2533" s="31" t="str">
        <x:v>Anjoman accounting - refined.xlsx</x:v>
      </x:c>
      <x:c r="B2533" s="31" t="str">
        <x:v>خام_تلگرام</x:v>
      </x:c>
      <x:c r="C2533" s="31" t="str">
        <x:v>A187</x:v>
      </x:c>
      <x:c r="D2533" s="31" t="str">
        <x:v>message163</x:v>
      </x:c>
      <x:c r="E2533" s="31"/>
    </x:row>
    <x:row r="2534" ht="15" hidden="0" customHeight="1">
      <x:c r="A2534" s="31" t="str">
        <x:v>Anjoman accounting - refined.xlsx</x:v>
      </x:c>
      <x:c r="B2534" s="31" t="str">
        <x:v>خام_تلگرام</x:v>
      </x:c>
      <x:c r="C2534" s="31" t="str">
        <x:v>B187</x:v>
      </x:c>
      <x:c r="D2534" s="31" t="str">
        <x:v>27.06.2026 18:38:52 UTC+03:30</x:v>
      </x:c>
      <x:c r="E2534" s="31"/>
    </x:row>
    <x:row r="2535" ht="15" hidden="0" customHeight="1">
      <x:c r="A2535" s="31" t="str">
        <x:v>Anjoman accounting - refined.xlsx</x:v>
      </x:c>
      <x:c r="B2535" s="31" t="str">
        <x:v>خام_تلگرام</x:v>
      </x:c>
      <x:c r="C2535" s="31" t="str">
        <x:v>C187</x:v>
      </x:c>
      <x:c r="D2535" s="31" t="str">
        <x:v>hossein 26.12.2025 21:53:41</x:v>
      </x:c>
      <x:c r="E2535" s="31"/>
    </x:row>
    <x:row r="2536" ht="15" hidden="0" customHeight="1">
      <x:c r="A2536" s="31" t="str">
        <x:v>Anjoman accounting - refined.xlsx</x:v>
      </x:c>
      <x:c r="B2536" s="31" t="str">
        <x:v>خام_تلگرام</x:v>
      </x:c>
      <x:c r="C2536" s="31" t="str">
        <x:v>D187</x:v>
      </x:c>
      <x:c r="D2536" s="31" t="str">
        <x:v>اون شصت تومن و پنجاه تومن شیرینی تو راه گرفتیم😊😊</x:v>
      </x:c>
      <x:c r="E2536" s="31"/>
    </x:row>
    <x:row r="2537" ht="15" hidden="0" customHeight="1">
      <x:c r="A2537" s="31" t="str">
        <x:v>Anjoman accounting - refined.xlsx</x:v>
      </x:c>
      <x:c r="B2537" s="31" t="str">
        <x:v>خام_تلگرام</x:v>
      </x:c>
      <x:c r="C2537" s="31" t="str">
        <x:v>A188</x:v>
      </x:c>
      <x:c r="D2537" s="31" t="str">
        <x:v>message164</x:v>
      </x:c>
      <x:c r="E2537" s="31"/>
    </x:row>
    <x:row r="2538" ht="15" hidden="0" customHeight="1">
      <x:c r="A2538" s="31" t="str">
        <x:v>Anjoman accounting - refined.xlsx</x:v>
      </x:c>
      <x:c r="B2538" s="31" t="str">
        <x:v>خام_تلگرام</x:v>
      </x:c>
      <x:c r="C2538" s="31" t="str">
        <x:v>B188</x:v>
      </x:c>
      <x:c r="D2538" s="31" t="str">
        <x:v>27.06.2026 18:43:30 UTC+03:30</x:v>
      </x:c>
      <x:c r="E2538" s="31"/>
    </x:row>
    <x:row r="2539" ht="15" hidden="0" customHeight="1">
      <x:c r="A2539" s="31" t="str">
        <x:v>Anjoman accounting - refined.xlsx</x:v>
      </x:c>
      <x:c r="B2539" s="31" t="str">
        <x:v>خام_تلگرام</x:v>
      </x:c>
      <x:c r="C2539" s="31" t="str">
        <x:v>C188</x:v>
      </x:c>
      <x:c r="D2539" s="31" t="str">
        <x:v>Deleted Account</x:v>
      </x:c>
      <x:c r="E2539" s="31"/>
    </x:row>
    <x:row r="2540" ht="24" hidden="0" customHeight="1">
      <x:c r="A2540" s="31" t="str">
        <x:v>Anjoman accounting - refined.xlsx</x:v>
      </x:c>
      <x:c r="B2540" s="31" t="str">
        <x:v>خام_تلگرام</x:v>
      </x:c>
      <x:c r="C2540" s="31" t="str">
        <x:v>D188</x:v>
      </x:c>
      <x:c r="D2540" s="31" t="str">
        <x:v>* جا سوییچی، گوشواره انار و ...: ۴۰۰ * جا سوییچی‌های عروسکی: ۲۵۰ * هندونه و انارهای ریز: ۶۰۰ * ساندویچ (از فاکتور ۱۱۶۲): ۲۷۵ * ژله فرمند (۲۲ عدد - از فاکتور ۱۱۶۲): ۸۸۷ * کاغذ و ماژیک: ۱۶۵ * شیرینی (تو راه): ۶۰ * شیرینی (تو راه): ۵۰ * پودر ژله طالبی (۳۲ عدد - طبق رسید): ۱۲۸۰ * شربت آلبالو سن ایچ (۲ عدد - طبق رسید): ۸۷۰</x:v>
      </x:c>
      <x:c r="E2540" s="31"/>
    </x:row>
    <x:row r="2541" ht="15" hidden="0" customHeight="1">
      <x:c r="A2541" s="31" t="str">
        <x:v>Anjoman accounting - refined.xlsx</x:v>
      </x:c>
      <x:c r="B2541" s="31" t="str">
        <x:v>خام_تلگرام</x:v>
      </x:c>
      <x:c r="C2541" s="31" t="str">
        <x:v>E188</x:v>
      </x:c>
      <x:c r="D2541" s="31" t="str">
        <x:v>photos/photo_47@27-06-2026_18-43-30.jpg</x:v>
      </x:c>
      <x:c r="E2541" s="31"/>
    </x:row>
    <x:row r="2542" ht="15" hidden="0" customHeight="1">
      <x:c r="A2542" s="31" t="str">
        <x:v>Anjoman accounting - refined.xlsx</x:v>
      </x:c>
      <x:c r="B2542" s="31" t="str">
        <x:v>خام_تلگرام</x:v>
      </x:c>
      <x:c r="C2542" s="31" t="str">
        <x:v>A189</x:v>
      </x:c>
      <x:c r="D2542" s="31" t="str">
        <x:v>message165</x:v>
      </x:c>
      <x:c r="E2542" s="31"/>
    </x:row>
    <x:row r="2543" ht="15" hidden="0" customHeight="1">
      <x:c r="A2543" s="31" t="str">
        <x:v>Anjoman accounting - refined.xlsx</x:v>
      </x:c>
      <x:c r="B2543" s="31" t="str">
        <x:v>خام_تلگرام</x:v>
      </x:c>
      <x:c r="C2543" s="31" t="str">
        <x:v>B189</x:v>
      </x:c>
      <x:c r="D2543" s="31" t="str">
        <x:v>27.06.2026 18:43:30 UTC+03:30</x:v>
      </x:c>
      <x:c r="E2543" s="31"/>
    </x:row>
    <x:row r="2544" ht="15" hidden="0" customHeight="1">
      <x:c r="A2544" s="31" t="str">
        <x:v>Anjoman accounting - refined.xlsx</x:v>
      </x:c>
      <x:c r="B2544" s="31" t="str">
        <x:v>خام_تلگرام</x:v>
      </x:c>
      <x:c r="C2544" s="31" t="str">
        <x:v>D189</x:v>
      </x:c>
      <x:c r="D2544" s="31" t="str">
        <x:v>18:43</x:v>
      </x:c>
      <x:c r="E2544" s="31"/>
    </x:row>
    <x:row r="2545" ht="15" hidden="0" customHeight="1">
      <x:c r="A2545" s="31" t="str">
        <x:v>Anjoman accounting - refined.xlsx</x:v>
      </x:c>
      <x:c r="B2545" s="31" t="str">
        <x:v>خام_تلگرام</x:v>
      </x:c>
      <x:c r="C2545" s="31" t="str">
        <x:v>E189</x:v>
      </x:c>
      <x:c r="D2545" s="31" t="str">
        <x:v>photos/photo_48@27-06-2026_18-43-30.jpg</x:v>
      </x:c>
      <x:c r="E2545" s="31"/>
    </x:row>
    <x:row r="2546" ht="15" hidden="0" customHeight="1">
      <x:c r="A2546" s="31" t="str">
        <x:v>Anjoman accounting - refined.xlsx</x:v>
      </x:c>
      <x:c r="B2546" s="31" t="str">
        <x:v>خام_تلگرام</x:v>
      </x:c>
      <x:c r="C2546" s="31" t="str">
        <x:v>A190</x:v>
      </x:c>
      <x:c r="D2546" s="31" t="str">
        <x:v>message-28</x:v>
      </x:c>
      <x:c r="E2546" s="31"/>
    </x:row>
    <x:row r="2547" ht="15" hidden="0" customHeight="1">
      <x:c r="A2547" s="31" t="str">
        <x:v>Anjoman accounting - refined.xlsx</x:v>
      </x:c>
      <x:c r="B2547" s="31" t="str">
        <x:v>خام_تلگرام</x:v>
      </x:c>
      <x:c r="C2547" s="31" t="str">
        <x:v>D190</x:v>
      </x:c>
      <x:c r="D2547" s="31" t="str">
        <x:v>14 July 2026</x:v>
      </x:c>
      <x:c r="E2547" s="31"/>
    </x:row>
    <x:row r="2548" ht="15" hidden="0" customHeight="1">
      <x:c r="A2548" s="31" t="str">
        <x:v>Anjoman accounting - refined.xlsx</x:v>
      </x:c>
      <x:c r="B2548" s="31" t="str">
        <x:v>خام_تلگرام</x:v>
      </x:c>
      <x:c r="C2548" s="31" t="str">
        <x:v>A191</x:v>
      </x:c>
      <x:c r="D2548" s="31" t="str">
        <x:v>message166</x:v>
      </x:c>
      <x:c r="E2548" s="31"/>
    </x:row>
    <x:row r="2549" ht="15" hidden="0" customHeight="1">
      <x:c r="A2549" s="31" t="str">
        <x:v>Anjoman accounting - refined.xlsx</x:v>
      </x:c>
      <x:c r="B2549" s="31" t="str">
        <x:v>خام_تلگرام</x:v>
      </x:c>
      <x:c r="C2549" s="31" t="str">
        <x:v>D191</x:v>
      </x:c>
      <x:c r="D2549" s="31" t="str">
        <x:v>Deleted invited Physics</x:v>
      </x:c>
      <x:c r="E2549" s="31"/>
    </x:row>
    <x:row r="2550" ht="15" hidden="0" customHeight="1">
      <x:c r="A2550" s="31" t="str">
        <x:v>Anjoman accounting - refined.xlsx</x:v>
      </x:c>
      <x:c r="B2550" s="31" t="str">
        <x:v>خام_دفتر_قبلی</x:v>
      </x:c>
      <x:c r="C2550" s="31" t="str">
        <x:v>A1</x:v>
      </x:c>
      <x:c r="D2550" s="31" t="str">
        <x:v>تصویر خام دفتر قبلی</x:v>
      </x:c>
      <x:c r="E2550" s="31"/>
    </x:row>
    <x:row r="2551" ht="15" hidden="0" customHeight="1">
      <x:c r="A2551" s="31" t="str">
        <x:v>Anjoman accounting - refined.xlsx</x:v>
      </x:c>
      <x:c r="B2551" s="31" t="str">
        <x:v>خام_دفتر_قبلی</x:v>
      </x:c>
      <x:c r="C2551" s="31" t="str">
        <x:v>A2</x:v>
      </x:c>
      <x:c r="D2551" s="31" t="str">
        <x:v>نسخه refined | واحد گزارش: تومان | مبالغ نامطمئن در صف بررسی از جمع تاییدشده حذف می‌شوند.</x:v>
      </x:c>
      <x:c r="E2551" s="31"/>
    </x:row>
    <x:row r="2552" ht="15" hidden="0" customHeight="1">
      <x:c r="A2552" s="31" t="str">
        <x:v>Anjoman accounting - refined.xlsx</x:v>
      </x:c>
      <x:c r="B2552" s="31" t="str">
        <x:v>خام_دفتر_قبلی</x:v>
      </x:c>
      <x:c r="C2552" s="31" t="str">
        <x:v>A3</x:v>
      </x:c>
      <x:c r="D2552" s="31" t="str">
        <x:v>ردیف</x:v>
      </x:c>
      <x:c r="E2552" s="31"/>
    </x:row>
    <x:row r="2553" ht="15" hidden="0" customHeight="1">
      <x:c r="A2553" s="31" t="str">
        <x:v>Anjoman accounting - refined.xlsx</x:v>
      </x:c>
      <x:c r="B2553" s="31" t="str">
        <x:v>خام_دفتر_قبلی</x:v>
      </x:c>
      <x:c r="C2553" s="31" t="str">
        <x:v>B3</x:v>
      </x:c>
      <x:c r="D2553" s="31" t="str">
        <x:v>ستون A</x:v>
      </x:c>
      <x:c r="E2553" s="31"/>
    </x:row>
    <x:row r="2554" ht="15" hidden="0" customHeight="1">
      <x:c r="A2554" s="31" t="str">
        <x:v>Anjoman accounting - refined.xlsx</x:v>
      </x:c>
      <x:c r="B2554" s="31" t="str">
        <x:v>خام_دفتر_قبلی</x:v>
      </x:c>
      <x:c r="C2554" s="31" t="str">
        <x:v>C3</x:v>
      </x:c>
      <x:c r="D2554" s="31" t="str">
        <x:v>ستون B</x:v>
      </x:c>
      <x:c r="E2554" s="31"/>
    </x:row>
    <x:row r="2555" ht="15" hidden="0" customHeight="1">
      <x:c r="A2555" s="31" t="str">
        <x:v>Anjoman accounting - refined.xlsx</x:v>
      </x:c>
      <x:c r="B2555" s="31" t="str">
        <x:v>خام_دفتر_قبلی</x:v>
      </x:c>
      <x:c r="C2555" s="31" t="str">
        <x:v>D3</x:v>
      </x:c>
      <x:c r="D2555" s="31" t="str">
        <x:v>ستون C</x:v>
      </x:c>
      <x:c r="E2555" s="31"/>
    </x:row>
    <x:row r="2556" ht="15" hidden="0" customHeight="1">
      <x:c r="A2556" s="31" t="str">
        <x:v>Anjoman accounting - refined.xlsx</x:v>
      </x:c>
      <x:c r="B2556" s="31" t="str">
        <x:v>خام_دفتر_قبلی</x:v>
      </x:c>
      <x:c r="C2556" s="31" t="str">
        <x:v>E3</x:v>
      </x:c>
      <x:c r="D2556" s="31" t="str">
        <x:v>ستون D</x:v>
      </x:c>
      <x:c r="E2556" s="31"/>
    </x:row>
    <x:row r="2557" ht="15" hidden="0" customHeight="1">
      <x:c r="A2557" s="31" t="str">
        <x:v>Anjoman accounting - refined.xlsx</x:v>
      </x:c>
      <x:c r="B2557" s="31" t="str">
        <x:v>خام_دفتر_قبلی</x:v>
      </x:c>
      <x:c r="C2557" s="31" t="str">
        <x:v>F3</x:v>
      </x:c>
      <x:c r="D2557" s="31" t="str">
        <x:v>ستون E</x:v>
      </x:c>
      <x:c r="E2557" s="31"/>
    </x:row>
    <x:row r="2558" ht="15" hidden="0" customHeight="1">
      <x:c r="A2558" s="31" t="str">
        <x:v>Anjoman accounting - refined.xlsx</x:v>
      </x:c>
      <x:c r="B2558" s="31" t="str">
        <x:v>خام_دفتر_قبلی</x:v>
      </x:c>
      <x:c r="C2558" s="31" t="str">
        <x:v>G3</x:v>
      </x:c>
      <x:c r="D2558" s="31" t="str">
        <x:v>ستون F</x:v>
      </x:c>
      <x:c r="E2558" s="31"/>
    </x:row>
    <x:row r="2559" ht="15" hidden="0" customHeight="1">
      <x:c r="A2559" s="31" t="str">
        <x:v>Anjoman accounting - refined.xlsx</x:v>
      </x:c>
      <x:c r="B2559" s="31" t="str">
        <x:v>خام_دفتر_قبلی</x:v>
      </x:c>
      <x:c r="C2559" s="31" t="str">
        <x:v>H3</x:v>
      </x:c>
      <x:c r="D2559" s="31" t="str">
        <x:v>مقدار محاسبه‌شده A</x:v>
      </x:c>
      <x:c r="E2559" s="31"/>
    </x:row>
    <x:row r="2560" ht="15" hidden="0" customHeight="1">
      <x:c r="A2560" s="31" t="str">
        <x:v>Anjoman accounting - refined.xlsx</x:v>
      </x:c>
      <x:c r="B2560" s="31" t="str">
        <x:v>خام_دفتر_قبلی</x:v>
      </x:c>
      <x:c r="C2560" s="31" t="str">
        <x:v>I3</x:v>
      </x:c>
      <x:c r="D2560" s="31" t="str">
        <x:v>مقدار محاسبه‌شده B</x:v>
      </x:c>
      <x:c r="E2560" s="31"/>
    </x:row>
    <x:row r="2561" ht="15" hidden="0" customHeight="1">
      <x:c r="A2561" s="31" t="str">
        <x:v>Anjoman accounting - refined.xlsx</x:v>
      </x:c>
      <x:c r="B2561" s="31" t="str">
        <x:v>خام_دفتر_قبلی</x:v>
      </x:c>
      <x:c r="C2561" s="31" t="str">
        <x:v>J3</x:v>
      </x:c>
      <x:c r="D2561" s="31" t="str">
        <x:v>مقدار محاسبه‌شده C</x:v>
      </x:c>
      <x:c r="E2561" s="31"/>
    </x:row>
    <x:row r="2562" ht="15" hidden="0" customHeight="1">
      <x:c r="A2562" s="31" t="str">
        <x:v>Anjoman accounting - refined.xlsx</x:v>
      </x:c>
      <x:c r="B2562" s="31" t="str">
        <x:v>خام_دفتر_قبلی</x:v>
      </x:c>
      <x:c r="C2562" s="31" t="str">
        <x:v>K3</x:v>
      </x:c>
      <x:c r="D2562" s="31" t="str">
        <x:v>مقدار محاسبه‌شده D</x:v>
      </x:c>
      <x:c r="E2562" s="31"/>
    </x:row>
    <x:row r="2563" ht="15" hidden="0" customHeight="1">
      <x:c r="A2563" s="31" t="str">
        <x:v>Anjoman accounting - refined.xlsx</x:v>
      </x:c>
      <x:c r="B2563" s="31" t="str">
        <x:v>خام_دفتر_قبلی</x:v>
      </x:c>
      <x:c r="C2563" s="31" t="str">
        <x:v>L3</x:v>
      </x:c>
      <x:c r="D2563" s="31" t="str">
        <x:v>مقدار محاسبه‌شده E</x:v>
      </x:c>
      <x:c r="E2563" s="31"/>
    </x:row>
    <x:row r="2564" ht="15" hidden="0" customHeight="1">
      <x:c r="A2564" s="31" t="str">
        <x:v>Anjoman accounting - refined.xlsx</x:v>
      </x:c>
      <x:c r="B2564" s="31" t="str">
        <x:v>خام_دفتر_قبلی</x:v>
      </x:c>
      <x:c r="C2564" s="31" t="str">
        <x:v>M3</x:v>
      </x:c>
      <x:c r="D2564" s="31" t="str">
        <x:v>مقدار محاسبه‌شده F</x:v>
      </x:c>
      <x:c r="E2564" s="31"/>
    </x:row>
    <x:row r="2565" ht="15" hidden="0" customHeight="1">
      <x:c r="A2565" s="31" t="str">
        <x:v>Anjoman accounting - refined.xlsx</x:v>
      </x:c>
      <x:c r="B2565" s="31" t="str">
        <x:v>خام_دفتر_قبلی</x:v>
      </x:c>
      <x:c r="C2565" s="31" t="str">
        <x:v>A4</x:v>
      </x:c>
      <x:c r="D2565" s="31" t="str">
        <x:v>2</x:v>
      </x:c>
      <x:c r="E2565" s="31"/>
    </x:row>
    <x:row r="2566" ht="15" hidden="0" customHeight="1">
      <x:c r="A2566" s="31" t="str">
        <x:v>Anjoman accounting - refined.xlsx</x:v>
      </x:c>
      <x:c r="B2566" s="31" t="str">
        <x:v>خام_دفتر_قبلی</x:v>
      </x:c>
      <x:c r="C2566" s="31" t="str">
        <x:v>D4</x:v>
      </x:c>
      <x:c r="D2566" s="31" t="str">
        <x:v>مرداد</x:v>
      </x:c>
      <x:c r="E2566" s="31"/>
    </x:row>
    <x:row r="2567" ht="15" hidden="0" customHeight="1">
      <x:c r="A2567" s="31" t="str">
        <x:v>Anjoman accounting - refined.xlsx</x:v>
      </x:c>
      <x:c r="B2567" s="31" t="str">
        <x:v>خام_دفتر_قبلی</x:v>
      </x:c>
      <x:c r="C2567" s="31" t="str">
        <x:v>E4</x:v>
      </x:c>
      <x:c r="D2567" s="31" t="str">
        <x:v>3500000</x:v>
      </x:c>
      <x:c r="E2567" s="31"/>
    </x:row>
    <x:row r="2568" ht="15" hidden="0" customHeight="1">
      <x:c r="A2568" s="31" t="str">
        <x:v>Anjoman accounting - refined.xlsx</x:v>
      </x:c>
      <x:c r="B2568" s="31" t="str">
        <x:v>خام_دفتر_قبلی</x:v>
      </x:c>
      <x:c r="C2568" s="31" t="str">
        <x:v>F4</x:v>
      </x:c>
      <x:c r="D2568" s="31" t="str">
        <x:v>امیرمحمد جوشقانی</x:v>
      </x:c>
      <x:c r="E2568" s="31"/>
    </x:row>
    <x:row r="2569" ht="15" hidden="0" customHeight="1">
      <x:c r="A2569" s="31" t="str">
        <x:v>Anjoman accounting - refined.xlsx</x:v>
      </x:c>
      <x:c r="B2569" s="31" t="str">
        <x:v>خام_دفتر_قبلی</x:v>
      </x:c>
      <x:c r="C2569" s="31" t="str">
        <x:v>G4</x:v>
      </x:c>
      <x:c r="D2569" s="31" t="str">
        <x:v>حق التدریس دوره پایتون</x:v>
      </x:c>
      <x:c r="E2569" s="31"/>
    </x:row>
    <x:row r="2570" ht="15" hidden="0" customHeight="1">
      <x:c r="A2570" s="31" t="str">
        <x:v>Anjoman accounting - refined.xlsx</x:v>
      </x:c>
      <x:c r="B2570" s="31" t="str">
        <x:v>خام_دفتر_قبلی</x:v>
      </x:c>
      <x:c r="C2570" s="31" t="str">
        <x:v>J4</x:v>
      </x:c>
      <x:c r="D2570" s="31" t="str">
        <x:v>مرداد</x:v>
      </x:c>
      <x:c r="E2570" s="31"/>
    </x:row>
    <x:row r="2571" ht="15" hidden="0" customHeight="1">
      <x:c r="A2571" s="31" t="str">
        <x:v>Anjoman accounting - refined.xlsx</x:v>
      </x:c>
      <x:c r="B2571" s="31" t="str">
        <x:v>خام_دفتر_قبلی</x:v>
      </x:c>
      <x:c r="C2571" s="31" t="str">
        <x:v>K4</x:v>
      </x:c>
      <x:c r="D2571" s="31" t="str">
        <x:v>3500000</x:v>
      </x:c>
      <x:c r="E2571" s="31"/>
    </x:row>
    <x:row r="2572" ht="15" hidden="0" customHeight="1">
      <x:c r="A2572" s="31" t="str">
        <x:v>Anjoman accounting - refined.xlsx</x:v>
      </x:c>
      <x:c r="B2572" s="31" t="str">
        <x:v>خام_دفتر_قبلی</x:v>
      </x:c>
      <x:c r="C2572" s="31" t="str">
        <x:v>L4</x:v>
      </x:c>
      <x:c r="D2572" s="31" t="str">
        <x:v>امیرمحمد جوشقانی</x:v>
      </x:c>
      <x:c r="E2572" s="31"/>
    </x:row>
    <x:row r="2573" ht="15" hidden="0" customHeight="1">
      <x:c r="A2573" s="31" t="str">
        <x:v>Anjoman accounting - refined.xlsx</x:v>
      </x:c>
      <x:c r="B2573" s="31" t="str">
        <x:v>خام_دفتر_قبلی</x:v>
      </x:c>
      <x:c r="C2573" s="31" t="str">
        <x:v>M4</x:v>
      </x:c>
      <x:c r="D2573" s="31" t="str">
        <x:v>حق التدریس دوره پایتون</x:v>
      </x:c>
      <x:c r="E2573" s="31"/>
    </x:row>
    <x:row r="2574" ht="15" hidden="0" customHeight="1">
      <x:c r="A2574" s="31" t="str">
        <x:v>Anjoman accounting - refined.xlsx</x:v>
      </x:c>
      <x:c r="B2574" s="31" t="str">
        <x:v>خام_دفتر_قبلی</x:v>
      </x:c>
      <x:c r="C2574" s="31" t="str">
        <x:v>A5</x:v>
      </x:c>
      <x:c r="D2574" s="31" t="str">
        <x:v>3</x:v>
      </x:c>
      <x:c r="E2574" s="31"/>
    </x:row>
    <x:row r="2575" ht="15" hidden="0" customHeight="1">
      <x:c r="A2575" s="31" t="str">
        <x:v>Anjoman accounting - refined.xlsx</x:v>
      </x:c>
      <x:c r="B2575" s="31" t="str">
        <x:v>خام_دفتر_قبلی</x:v>
      </x:c>
      <x:c r="C2575" s="31" t="str">
        <x:v>B5</x:v>
      </x:c>
      <x:c r="D2575" s="31" t="str">
        <x:v>مدرسه تابستانه</x:v>
      </x:c>
      <x:c r="E2575" s="31"/>
    </x:row>
    <x:row r="2576" ht="15" hidden="0" customHeight="1">
      <x:c r="A2576" s="31" t="str">
        <x:v>Anjoman accounting - refined.xlsx</x:v>
      </x:c>
      <x:c r="B2576" s="31" t="str">
        <x:v>خام_دفتر_قبلی</x:v>
      </x:c>
      <x:c r="C2576" s="31" t="str">
        <x:v>C5</x:v>
      </x:c>
      <x:c r="D2576" s="31" t="str">
        <x:v>33642000</x:v>
      </x:c>
      <x:c r="E2576" s="31"/>
    </x:row>
    <x:row r="2577" ht="15" hidden="0" customHeight="1">
      <x:c r="A2577" s="31" t="str">
        <x:v>Anjoman accounting - refined.xlsx</x:v>
      </x:c>
      <x:c r="B2577" s="31" t="str">
        <x:v>خام_دفتر_قبلی</x:v>
      </x:c>
      <x:c r="C2577" s="31" t="str">
        <x:v>E5</x:v>
      </x:c>
      <x:c r="D2577" s="31" t="str">
        <x:v>3000000</x:v>
      </x:c>
      <x:c r="E2577" s="31"/>
    </x:row>
    <x:row r="2578" ht="15" hidden="0" customHeight="1">
      <x:c r="A2578" s="31" t="str">
        <x:v>Anjoman accounting - refined.xlsx</x:v>
      </x:c>
      <x:c r="B2578" s="31" t="str">
        <x:v>خام_دفتر_قبلی</x:v>
      </x:c>
      <x:c r="C2578" s="31" t="str">
        <x:v>F5</x:v>
      </x:c>
      <x:c r="D2578" s="31" t="str">
        <x:v>سهراب ملکی</x:v>
      </x:c>
      <x:c r="E2578" s="31"/>
    </x:row>
    <x:row r="2579" ht="15" hidden="0" customHeight="1">
      <x:c r="A2579" s="31" t="str">
        <x:v>Anjoman accounting - refined.xlsx</x:v>
      </x:c>
      <x:c r="B2579" s="31" t="str">
        <x:v>خام_دفتر_قبلی</x:v>
      </x:c>
      <x:c r="C2579" s="31" t="str">
        <x:v>G5</x:v>
      </x:c>
      <x:c r="D2579" s="31" t="str">
        <x:v>حق التدریس دوره Mathemathica</x:v>
      </x:c>
      <x:c r="E2579" s="31"/>
    </x:row>
    <x:row r="2580" ht="15" hidden="0" customHeight="1">
      <x:c r="A2580" s="31" t="str">
        <x:v>Anjoman accounting - refined.xlsx</x:v>
      </x:c>
      <x:c r="B2580" s="31" t="str">
        <x:v>خام_دفتر_قبلی</x:v>
      </x:c>
      <x:c r="C2580" s="31" t="str">
        <x:v>H5</x:v>
      </x:c>
      <x:c r="D2580" s="31" t="str">
        <x:v>مدرسه تابستانه</x:v>
      </x:c>
      <x:c r="E2580" s="31"/>
    </x:row>
    <x:row r="2581" ht="15" hidden="0" customHeight="1">
      <x:c r="A2581" s="31" t="str">
        <x:v>Anjoman accounting - refined.xlsx</x:v>
      </x:c>
      <x:c r="B2581" s="31" t="str">
        <x:v>خام_دفتر_قبلی</x:v>
      </x:c>
      <x:c r="C2581" s="31" t="str">
        <x:v>I5</x:v>
      </x:c>
      <x:c r="D2581" s="31" t="str">
        <x:v>33642000</x:v>
      </x:c>
      <x:c r="E2581" s="31"/>
    </x:row>
    <x:row r="2582" ht="15" hidden="0" customHeight="1">
      <x:c r="A2582" s="31" t="str">
        <x:v>Anjoman accounting - refined.xlsx</x:v>
      </x:c>
      <x:c r="B2582" s="31" t="str">
        <x:v>خام_دفتر_قبلی</x:v>
      </x:c>
      <x:c r="C2582" s="31" t="str">
        <x:v>K5</x:v>
      </x:c>
      <x:c r="D2582" s="31" t="str">
        <x:v>3000000</x:v>
      </x:c>
      <x:c r="E2582" s="31"/>
    </x:row>
    <x:row r="2583" ht="15" hidden="0" customHeight="1">
      <x:c r="A2583" s="31" t="str">
        <x:v>Anjoman accounting - refined.xlsx</x:v>
      </x:c>
      <x:c r="B2583" s="31" t="str">
        <x:v>خام_دفتر_قبلی</x:v>
      </x:c>
      <x:c r="C2583" s="31" t="str">
        <x:v>L5</x:v>
      </x:c>
      <x:c r="D2583" s="31" t="str">
        <x:v>سهراب ملکی</x:v>
      </x:c>
      <x:c r="E2583" s="31"/>
    </x:row>
    <x:row r="2584" ht="15" hidden="0" customHeight="1">
      <x:c r="A2584" s="31" t="str">
        <x:v>Anjoman accounting - refined.xlsx</x:v>
      </x:c>
      <x:c r="B2584" s="31" t="str">
        <x:v>خام_دفتر_قبلی</x:v>
      </x:c>
      <x:c r="C2584" s="31" t="str">
        <x:v>M5</x:v>
      </x:c>
      <x:c r="D2584" s="31" t="str">
        <x:v>حق التدریس دوره Mathemathica</x:v>
      </x:c>
      <x:c r="E2584" s="31"/>
    </x:row>
    <x:row r="2585" ht="15" hidden="0" customHeight="1">
      <x:c r="A2585" s="31" t="str">
        <x:v>Anjoman accounting - refined.xlsx</x:v>
      </x:c>
      <x:c r="B2585" s="31" t="str">
        <x:v>خام_دفتر_قبلی</x:v>
      </x:c>
      <x:c r="C2585" s="31" t="str">
        <x:v>A6</x:v>
      </x:c>
      <x:c r="D2585" s="31" t="str">
        <x:v>4</x:v>
      </x:c>
      <x:c r="E2585" s="31"/>
    </x:row>
    <x:row r="2586" ht="15" hidden="0" customHeight="1">
      <x:c r="A2586" s="31" t="str">
        <x:v>Anjoman accounting - refined.xlsx</x:v>
      </x:c>
      <x:c r="B2586" s="31" t="str">
        <x:v>خام_دفتر_قبلی</x:v>
      </x:c>
      <x:c r="C2586" s="31" t="str">
        <x:v>E6</x:v>
      </x:c>
      <x:c r="D2586" s="31" t="str">
        <x:v>3700000</x:v>
      </x:c>
      <x:c r="E2586" s="31"/>
    </x:row>
    <x:row r="2587" ht="15" hidden="0" customHeight="1">
      <x:c r="A2587" s="31" t="str">
        <x:v>Anjoman accounting - refined.xlsx</x:v>
      </x:c>
      <x:c r="B2587" s="31" t="str">
        <x:v>خام_دفتر_قبلی</x:v>
      </x:c>
      <x:c r="C2587" s="31" t="str">
        <x:v>F6</x:v>
      </x:c>
      <x:c r="D2587" s="31" t="str">
        <x:v>متین جوکار</x:v>
      </x:c>
      <x:c r="E2587" s="31"/>
    </x:row>
    <x:row r="2588" ht="15" hidden="0" customHeight="1">
      <x:c r="A2588" s="31" t="str">
        <x:v>Anjoman accounting - refined.xlsx</x:v>
      </x:c>
      <x:c r="B2588" s="31" t="str">
        <x:v>خام_دفتر_قبلی</x:v>
      </x:c>
      <x:c r="C2588" s="31" t="str">
        <x:v>G6</x:v>
      </x:c>
      <x:c r="D2588" s="31" t="str">
        <x:v>حق التدریس دوره Latex</x:v>
      </x:c>
      <x:c r="E2588" s="31"/>
    </x:row>
    <x:row r="2589" ht="15" hidden="0" customHeight="1">
      <x:c r="A2589" s="31" t="str">
        <x:v>Anjoman accounting - refined.xlsx</x:v>
      </x:c>
      <x:c r="B2589" s="31" t="str">
        <x:v>خام_دفتر_قبلی</x:v>
      </x:c>
      <x:c r="C2589" s="31" t="str">
        <x:v>K6</x:v>
      </x:c>
      <x:c r="D2589" s="31" t="str">
        <x:v>3700000</x:v>
      </x:c>
      <x:c r="E2589" s="31"/>
    </x:row>
    <x:row r="2590" ht="15" hidden="0" customHeight="1">
      <x:c r="A2590" s="31" t="str">
        <x:v>Anjoman accounting - refined.xlsx</x:v>
      </x:c>
      <x:c r="B2590" s="31" t="str">
        <x:v>خام_دفتر_قبلی</x:v>
      </x:c>
      <x:c r="C2590" s="31" t="str">
        <x:v>L6</x:v>
      </x:c>
      <x:c r="D2590" s="31" t="str">
        <x:v>متین جوکار</x:v>
      </x:c>
      <x:c r="E2590" s="31"/>
    </x:row>
    <x:row r="2591" ht="15" hidden="0" customHeight="1">
      <x:c r="A2591" s="31" t="str">
        <x:v>Anjoman accounting - refined.xlsx</x:v>
      </x:c>
      <x:c r="B2591" s="31" t="str">
        <x:v>خام_دفتر_قبلی</x:v>
      </x:c>
      <x:c r="C2591" s="31" t="str">
        <x:v>M6</x:v>
      </x:c>
      <x:c r="D2591" s="31" t="str">
        <x:v>حق التدریس دوره Latex</x:v>
      </x:c>
      <x:c r="E2591" s="31"/>
    </x:row>
    <x:row r="2592" ht="15" hidden="0" customHeight="1">
      <x:c r="A2592" s="31" t="str">
        <x:v>Anjoman accounting - refined.xlsx</x:v>
      </x:c>
      <x:c r="B2592" s="31" t="str">
        <x:v>خام_دفتر_قبلی</x:v>
      </x:c>
      <x:c r="C2592" s="31" t="str">
        <x:v>A7</x:v>
      </x:c>
      <x:c r="D2592" s="31" t="str">
        <x:v>5</x:v>
      </x:c>
      <x:c r="E2592" s="31"/>
    </x:row>
    <x:row r="2593" ht="15" hidden="0" customHeight="1">
      <x:c r="A2593" s="31" t="str">
        <x:v>Anjoman accounting - refined.xlsx</x:v>
      </x:c>
      <x:c r="B2593" s="31" t="str">
        <x:v>خام_دفتر_قبلی</x:v>
      </x:c>
      <x:c r="C2593" s="31" t="str">
        <x:v>E7</x:v>
      </x:c>
      <x:c r="D2593" s="31" t="str">
        <x:v>500000</x:v>
      </x:c>
      <x:c r="E2593" s="31"/>
    </x:row>
    <x:row r="2594" ht="15" hidden="0" customHeight="1">
      <x:c r="A2594" s="31" t="str">
        <x:v>Anjoman accounting - refined.xlsx</x:v>
      </x:c>
      <x:c r="B2594" s="31" t="str">
        <x:v>خام_دفتر_قبلی</x:v>
      </x:c>
      <x:c r="C2594" s="31" t="str">
        <x:v>F7</x:v>
      </x:c>
      <x:c r="D2594" s="31" t="str">
        <x:v>ابراهیم خسروانی</x:v>
      </x:c>
      <x:c r="E2594" s="31"/>
    </x:row>
    <x:row r="2595" ht="15" hidden="0" customHeight="1">
      <x:c r="A2595" s="31" t="str">
        <x:v>Anjoman accounting - refined.xlsx</x:v>
      </x:c>
      <x:c r="B2595" s="31" t="str">
        <x:v>خام_دفتر_قبلی</x:v>
      </x:c>
      <x:c r="C2595" s="31" t="str">
        <x:v>G7</x:v>
      </x:c>
      <x:c r="D2595" s="31" t="str">
        <x:v>TA، فرم و شیت مدرسه تابستانه</x:v>
      </x:c>
      <x:c r="E2595" s="31"/>
    </x:row>
    <x:row r="2596" ht="15" hidden="0" customHeight="1">
      <x:c r="A2596" s="31" t="str">
        <x:v>Anjoman accounting - refined.xlsx</x:v>
      </x:c>
      <x:c r="B2596" s="31" t="str">
        <x:v>خام_دفتر_قبلی</x:v>
      </x:c>
      <x:c r="C2596" s="31" t="str">
        <x:v>K7</x:v>
      </x:c>
      <x:c r="D2596" s="31" t="str">
        <x:v>500000</x:v>
      </x:c>
      <x:c r="E2596" s="31"/>
    </x:row>
    <x:row r="2597" ht="15" hidden="0" customHeight="1">
      <x:c r="A2597" s="31" t="str">
        <x:v>Anjoman accounting - refined.xlsx</x:v>
      </x:c>
      <x:c r="B2597" s="31" t="str">
        <x:v>خام_دفتر_قبلی</x:v>
      </x:c>
      <x:c r="C2597" s="31" t="str">
        <x:v>L7</x:v>
      </x:c>
      <x:c r="D2597" s="31" t="str">
        <x:v>ابراهیم خسروانی</x:v>
      </x:c>
      <x:c r="E2597" s="31"/>
    </x:row>
    <x:row r="2598" ht="15" hidden="0" customHeight="1">
      <x:c r="A2598" s="31" t="str">
        <x:v>Anjoman accounting - refined.xlsx</x:v>
      </x:c>
      <x:c r="B2598" s="31" t="str">
        <x:v>خام_دفتر_قبلی</x:v>
      </x:c>
      <x:c r="C2598" s="31" t="str">
        <x:v>M7</x:v>
      </x:c>
      <x:c r="D2598" s="31" t="str">
        <x:v>TA، فرم و شیت مدرسه تابستانه</x:v>
      </x:c>
      <x:c r="E2598" s="31"/>
    </x:row>
    <x:row r="2599" ht="15" hidden="0" customHeight="1">
      <x:c r="A2599" s="31" t="str">
        <x:v>Anjoman accounting - refined.xlsx</x:v>
      </x:c>
      <x:c r="B2599" s="31" t="str">
        <x:v>خام_دفتر_قبلی</x:v>
      </x:c>
      <x:c r="C2599" s="31" t="str">
        <x:v>A8</x:v>
      </x:c>
      <x:c r="D2599" s="31" t="str">
        <x:v>6</x:v>
      </x:c>
      <x:c r="E2599" s="31"/>
    </x:row>
    <x:row r="2600" ht="15" hidden="0" customHeight="1">
      <x:c r="A2600" s="31" t="str">
        <x:v>Anjoman accounting - refined.xlsx</x:v>
      </x:c>
      <x:c r="B2600" s="31" t="str">
        <x:v>خام_دفتر_قبلی</x:v>
      </x:c>
      <x:c r="C2600" s="31" t="str">
        <x:v>E8</x:v>
      </x:c>
      <x:c r="D2600" s="31" t="str">
        <x:v>600000</x:v>
      </x:c>
      <x:c r="E2600" s="31"/>
    </x:row>
    <x:row r="2601" ht="15" hidden="0" customHeight="1">
      <x:c r="A2601" s="31" t="str">
        <x:v>Anjoman accounting - refined.xlsx</x:v>
      </x:c>
      <x:c r="B2601" s="31" t="str">
        <x:v>خام_دفتر_قبلی</x:v>
      </x:c>
      <x:c r="C2601" s="31" t="str">
        <x:v>F8</x:v>
      </x:c>
      <x:c r="D2601" s="31" t="str">
        <x:v>سپهر طلایی</x:v>
      </x:c>
      <x:c r="E2601" s="31"/>
    </x:row>
    <x:row r="2602" ht="15" hidden="0" customHeight="1">
      <x:c r="A2602" s="31" t="str">
        <x:v>Anjoman accounting - refined.xlsx</x:v>
      </x:c>
      <x:c r="B2602" s="31" t="str">
        <x:v>خام_دفتر_قبلی</x:v>
      </x:c>
      <x:c r="C2602" s="31" t="str">
        <x:v>G8</x:v>
      </x:c>
      <x:c r="D2602" s="31" t="str">
        <x:v>TA پایتون، پشتیبانی ثبت نام</x:v>
      </x:c>
      <x:c r="E2602" s="31"/>
    </x:row>
    <x:row r="2603" ht="15" hidden="0" customHeight="1">
      <x:c r="A2603" s="31" t="str">
        <x:v>Anjoman accounting - refined.xlsx</x:v>
      </x:c>
      <x:c r="B2603" s="31" t="str">
        <x:v>خام_دفتر_قبلی</x:v>
      </x:c>
      <x:c r="C2603" s="31" t="str">
        <x:v>K8</x:v>
      </x:c>
      <x:c r="D2603" s="31" t="str">
        <x:v>600000</x:v>
      </x:c>
      <x:c r="E2603" s="31"/>
    </x:row>
    <x:row r="2604" ht="15" hidden="0" customHeight="1">
      <x:c r="A2604" s="31" t="str">
        <x:v>Anjoman accounting - refined.xlsx</x:v>
      </x:c>
      <x:c r="B2604" s="31" t="str">
        <x:v>خام_دفتر_قبلی</x:v>
      </x:c>
      <x:c r="C2604" s="31" t="str">
        <x:v>L8</x:v>
      </x:c>
      <x:c r="D2604" s="31" t="str">
        <x:v>سپهر طلایی</x:v>
      </x:c>
      <x:c r="E2604" s="31"/>
    </x:row>
    <x:row r="2605" ht="15" hidden="0" customHeight="1">
      <x:c r="A2605" s="31" t="str">
        <x:v>Anjoman accounting - refined.xlsx</x:v>
      </x:c>
      <x:c r="B2605" s="31" t="str">
        <x:v>خام_دفتر_قبلی</x:v>
      </x:c>
      <x:c r="C2605" s="31" t="str">
        <x:v>M8</x:v>
      </x:c>
      <x:c r="D2605" s="31" t="str">
        <x:v>TA پایتون، پشتیبانی ثبت نام</x:v>
      </x:c>
      <x:c r="E2605" s="31"/>
    </x:row>
    <x:row r="2606" ht="15" hidden="0" customHeight="1">
      <x:c r="A2606" s="31" t="str">
        <x:v>Anjoman accounting - refined.xlsx</x:v>
      </x:c>
      <x:c r="B2606" s="31" t="str">
        <x:v>خام_دفتر_قبلی</x:v>
      </x:c>
      <x:c r="C2606" s="31" t="str">
        <x:v>A9</x:v>
      </x:c>
      <x:c r="D2606" s="31" t="str">
        <x:v>7</x:v>
      </x:c>
      <x:c r="E2606" s="31"/>
    </x:row>
    <x:row r="2607" ht="15" hidden="0" customHeight="1">
      <x:c r="A2607" s="31" t="str">
        <x:v>Anjoman accounting - refined.xlsx</x:v>
      </x:c>
      <x:c r="B2607" s="31" t="str">
        <x:v>خام_دفتر_قبلی</x:v>
      </x:c>
      <x:c r="C2607" s="31" t="str">
        <x:v>E9</x:v>
      </x:c>
      <x:c r="D2607" s="31" t="str">
        <x:v>600000</x:v>
      </x:c>
      <x:c r="E2607" s="31"/>
    </x:row>
    <x:row r="2608" ht="15" hidden="0" customHeight="1">
      <x:c r="A2608" s="31" t="str">
        <x:v>Anjoman accounting - refined.xlsx</x:v>
      </x:c>
      <x:c r="B2608" s="31" t="str">
        <x:v>خام_دفتر_قبلی</x:v>
      </x:c>
      <x:c r="C2608" s="31" t="str">
        <x:v>F9</x:v>
      </x:c>
      <x:c r="D2608" s="31" t="str">
        <x:v>محمدامین عزیزی</x:v>
      </x:c>
      <x:c r="E2608" s="31"/>
    </x:row>
    <x:row r="2609" ht="15" hidden="0" customHeight="1">
      <x:c r="A2609" s="31" t="str">
        <x:v>Anjoman accounting - refined.xlsx</x:v>
      </x:c>
      <x:c r="B2609" s="31" t="str">
        <x:v>خام_دفتر_قبلی</x:v>
      </x:c>
      <x:c r="C2609" s="31" t="str">
        <x:v>G9</x:v>
      </x:c>
      <x:c r="D2609" s="31" t="str">
        <x:v>TA پایتون، پشتیبانی ثبت نام، حسابداری مدرسه</x:v>
      </x:c>
      <x:c r="E2609" s="31"/>
    </x:row>
    <x:row r="2610" ht="15" hidden="0" customHeight="1">
      <x:c r="A2610" s="31" t="str">
        <x:v>Anjoman accounting - refined.xlsx</x:v>
      </x:c>
      <x:c r="B2610" s="31" t="str">
        <x:v>خام_دفتر_قبلی</x:v>
      </x:c>
      <x:c r="C2610" s="31" t="str">
        <x:v>K9</x:v>
      </x:c>
      <x:c r="D2610" s="31" t="str">
        <x:v>600000</x:v>
      </x:c>
      <x:c r="E2610" s="31"/>
    </x:row>
    <x:row r="2611" ht="15" hidden="0" customHeight="1">
      <x:c r="A2611" s="31" t="str">
        <x:v>Anjoman accounting - refined.xlsx</x:v>
      </x:c>
      <x:c r="B2611" s="31" t="str">
        <x:v>خام_دفتر_قبلی</x:v>
      </x:c>
      <x:c r="C2611" s="31" t="str">
        <x:v>L9</x:v>
      </x:c>
      <x:c r="D2611" s="31" t="str">
        <x:v>محمدامین عزیزی</x:v>
      </x:c>
      <x:c r="E2611" s="31"/>
    </x:row>
    <x:row r="2612" ht="15" hidden="0" customHeight="1">
      <x:c r="A2612" s="31" t="str">
        <x:v>Anjoman accounting - refined.xlsx</x:v>
      </x:c>
      <x:c r="B2612" s="31" t="str">
        <x:v>خام_دفتر_قبلی</x:v>
      </x:c>
      <x:c r="C2612" s="31" t="str">
        <x:v>M9</x:v>
      </x:c>
      <x:c r="D2612" s="31" t="str">
        <x:v>TA پایتون، پشتیبانی ثبت نام، حسابداری مدرسه</x:v>
      </x:c>
      <x:c r="E2612" s="31"/>
    </x:row>
    <x:row r="2613" ht="15" hidden="0" customHeight="1">
      <x:c r="A2613" s="31" t="str">
        <x:v>Anjoman accounting - refined.xlsx</x:v>
      </x:c>
      <x:c r="B2613" s="31" t="str">
        <x:v>خام_دفتر_قبلی</x:v>
      </x:c>
      <x:c r="C2613" s="31" t="str">
        <x:v>A10</x:v>
      </x:c>
      <x:c r="D2613" s="31" t="str">
        <x:v>8</x:v>
      </x:c>
      <x:c r="E2613" s="31"/>
    </x:row>
    <x:row r="2614" ht="15" hidden="0" customHeight="1">
      <x:c r="A2614" s="31" t="str">
        <x:v>Anjoman accounting - refined.xlsx</x:v>
      </x:c>
      <x:c r="B2614" s="31" t="str">
        <x:v>خام_دفتر_قبلی</x:v>
      </x:c>
      <x:c r="C2614" s="31" t="str">
        <x:v>E10</x:v>
      </x:c>
      <x:c r="D2614" s="31" t="str">
        <x:v>300000</x:v>
      </x:c>
      <x:c r="E2614" s="31"/>
    </x:row>
    <x:row r="2615" ht="15" hidden="0" customHeight="1">
      <x:c r="A2615" s="31" t="str">
        <x:v>Anjoman accounting - refined.xlsx</x:v>
      </x:c>
      <x:c r="B2615" s="31" t="str">
        <x:v>خام_دفتر_قبلی</x:v>
      </x:c>
      <x:c r="C2615" s="31" t="str">
        <x:v>F10</x:v>
      </x:c>
      <x:c r="D2615" s="31" t="str">
        <x:v>متین جوکار</x:v>
      </x:c>
      <x:c r="E2615" s="31"/>
    </x:row>
    <x:row r="2616" ht="15" hidden="0" customHeight="1">
      <x:c r="A2616" s="31" t="str">
        <x:v>Anjoman accounting - refined.xlsx</x:v>
      </x:c>
      <x:c r="B2616" s="31" t="str">
        <x:v>خام_دفتر_قبلی</x:v>
      </x:c>
      <x:c r="C2616" s="31" t="str">
        <x:v>G10</x:v>
      </x:c>
      <x:c r="D2616" s="31" t="str">
        <x:v>ضبط جبرانی جلسه3 لتک</x:v>
      </x:c>
      <x:c r="E2616" s="31"/>
    </x:row>
    <x:row r="2617" ht="15" hidden="0" customHeight="1">
      <x:c r="A2617" s="31" t="str">
        <x:v>Anjoman accounting - refined.xlsx</x:v>
      </x:c>
      <x:c r="B2617" s="31" t="str">
        <x:v>خام_دفتر_قبلی</x:v>
      </x:c>
      <x:c r="C2617" s="31" t="str">
        <x:v>K10</x:v>
      </x:c>
      <x:c r="D2617" s="31" t="str">
        <x:v>300000</x:v>
      </x:c>
      <x:c r="E2617" s="31"/>
    </x:row>
    <x:row r="2618" ht="15" hidden="0" customHeight="1">
      <x:c r="A2618" s="31" t="str">
        <x:v>Anjoman accounting - refined.xlsx</x:v>
      </x:c>
      <x:c r="B2618" s="31" t="str">
        <x:v>خام_دفتر_قبلی</x:v>
      </x:c>
      <x:c r="C2618" s="31" t="str">
        <x:v>L10</x:v>
      </x:c>
      <x:c r="D2618" s="31" t="str">
        <x:v>متین جوکار</x:v>
      </x:c>
      <x:c r="E2618" s="31"/>
    </x:row>
    <x:row r="2619" ht="15" hidden="0" customHeight="1">
      <x:c r="A2619" s="31" t="str">
        <x:v>Anjoman accounting - refined.xlsx</x:v>
      </x:c>
      <x:c r="B2619" s="31" t="str">
        <x:v>خام_دفتر_قبلی</x:v>
      </x:c>
      <x:c r="C2619" s="31" t="str">
        <x:v>M10</x:v>
      </x:c>
      <x:c r="D2619" s="31" t="str">
        <x:v>ضبط جبرانی جلسه3 لتک</x:v>
      </x:c>
      <x:c r="E2619" s="31"/>
    </x:row>
    <x:row r="2620" ht="15" hidden="0" customHeight="1">
      <x:c r="A2620" s="31" t="str">
        <x:v>Anjoman accounting - refined.xlsx</x:v>
      </x:c>
      <x:c r="B2620" s="31" t="str">
        <x:v>خام_دفتر_قبلی</x:v>
      </x:c>
      <x:c r="C2620" s="31" t="str">
        <x:v>A11</x:v>
      </x:c>
      <x:c r="D2620" s="31" t="str">
        <x:v>9</x:v>
      </x:c>
      <x:c r="E2620" s="31"/>
    </x:row>
    <x:row r="2621" ht="15" hidden="0" customHeight="1">
      <x:c r="A2621" s="31" t="str">
        <x:v>Anjoman accounting - refined.xlsx</x:v>
      </x:c>
      <x:c r="B2621" s="31" t="str">
        <x:v>خام_دفتر_قبلی</x:v>
      </x:c>
      <x:c r="C2621" s="31" t="str">
        <x:v>E11</x:v>
      </x:c>
      <x:c r="D2621" s="31" t="str">
        <x:v>400000</x:v>
      </x:c>
      <x:c r="E2621" s="31"/>
    </x:row>
    <x:row r="2622" ht="15" hidden="0" customHeight="1">
      <x:c r="A2622" s="31" t="str">
        <x:v>Anjoman accounting - refined.xlsx</x:v>
      </x:c>
      <x:c r="B2622" s="31" t="str">
        <x:v>خام_دفتر_قبلی</x:v>
      </x:c>
      <x:c r="C2622" s="31" t="str">
        <x:v>F11</x:v>
      </x:c>
      <x:c r="D2622" s="31" t="str">
        <x:v>محمدحسین مشک افشان</x:v>
      </x:c>
      <x:c r="E2622" s="31"/>
    </x:row>
    <x:row r="2623" ht="15" hidden="0" customHeight="1">
      <x:c r="A2623" s="31" t="str">
        <x:v>Anjoman accounting - refined.xlsx</x:v>
      </x:c>
      <x:c r="B2623" s="31" t="str">
        <x:v>خام_دفتر_قبلی</x:v>
      </x:c>
      <x:c r="C2623" s="31" t="str">
        <x:v>G11</x:v>
      </x:c>
      <x:c r="D2623" s="31" t="str">
        <x:v>تبلیغ مدرسه تابستانه در مهمات شریف</x:v>
      </x:c>
      <x:c r="E2623" s="31"/>
    </x:row>
    <x:row r="2624" ht="15" hidden="0" customHeight="1">
      <x:c r="A2624" s="31" t="str">
        <x:v>Anjoman accounting - refined.xlsx</x:v>
      </x:c>
      <x:c r="B2624" s="31" t="str">
        <x:v>خام_دفتر_قبلی</x:v>
      </x:c>
      <x:c r="C2624" s="31" t="str">
        <x:v>K11</x:v>
      </x:c>
      <x:c r="D2624" s="31" t="str">
        <x:v>400000</x:v>
      </x:c>
      <x:c r="E2624" s="31"/>
    </x:row>
    <x:row r="2625" ht="15" hidden="0" customHeight="1">
      <x:c r="A2625" s="31" t="str">
        <x:v>Anjoman accounting - refined.xlsx</x:v>
      </x:c>
      <x:c r="B2625" s="31" t="str">
        <x:v>خام_دفتر_قبلی</x:v>
      </x:c>
      <x:c r="C2625" s="31" t="str">
        <x:v>L11</x:v>
      </x:c>
      <x:c r="D2625" s="31" t="str">
        <x:v>محمدحسین مشک افشان</x:v>
      </x:c>
      <x:c r="E2625" s="31"/>
    </x:row>
    <x:row r="2626" ht="15" hidden="0" customHeight="1">
      <x:c r="A2626" s="31" t="str">
        <x:v>Anjoman accounting - refined.xlsx</x:v>
      </x:c>
      <x:c r="B2626" s="31" t="str">
        <x:v>خام_دفتر_قبلی</x:v>
      </x:c>
      <x:c r="C2626" s="31" t="str">
        <x:v>M11</x:v>
      </x:c>
      <x:c r="D2626" s="31" t="str">
        <x:v>تبلیغ مدرسه تابستانه در مهمات شریف</x:v>
      </x:c>
      <x:c r="E2626" s="31"/>
    </x:row>
    <x:row r="2627" ht="15" hidden="0" customHeight="1">
      <x:c r="A2627" s="31" t="str">
        <x:v>Anjoman accounting - refined.xlsx</x:v>
      </x:c>
      <x:c r="B2627" s="31" t="str">
        <x:v>خام_دفتر_قبلی</x:v>
      </x:c>
      <x:c r="C2627" s="31" t="str">
        <x:v>A12</x:v>
      </x:c>
      <x:c r="D2627" s="31" t="str">
        <x:v>10</x:v>
      </x:c>
      <x:c r="E2627" s="31"/>
    </x:row>
    <x:row r="2628" ht="15" hidden="0" customHeight="1">
      <x:c r="A2628" s="31" t="str">
        <x:v>Anjoman accounting - refined.xlsx</x:v>
      </x:c>
      <x:c r="B2628" s="31" t="str">
        <x:v>خام_دفتر_قبلی</x:v>
      </x:c>
      <x:c r="C2628" s="31" t="str">
        <x:v>E12</x:v>
      </x:c>
      <x:c r="D2628" s="31" t="str">
        <x:v>300000</x:v>
      </x:c>
      <x:c r="E2628" s="31"/>
    </x:row>
    <x:row r="2629" ht="15" hidden="0" customHeight="1">
      <x:c r="A2629" s="31" t="str">
        <x:v>Anjoman accounting - refined.xlsx</x:v>
      </x:c>
      <x:c r="B2629" s="31" t="str">
        <x:v>خام_دفتر_قبلی</x:v>
      </x:c>
      <x:c r="C2629" s="31" t="str">
        <x:v>F12</x:v>
      </x:c>
      <x:c r="D2629" s="31" t="str">
        <x:v>امیرمحمد جوشقانی</x:v>
      </x:c>
      <x:c r="E2629" s="31"/>
    </x:row>
    <x:row r="2630" ht="15" hidden="0" customHeight="1">
      <x:c r="A2630" s="31" t="str">
        <x:v>Anjoman accounting - refined.xlsx</x:v>
      </x:c>
      <x:c r="B2630" s="31" t="str">
        <x:v>خام_دفتر_قبلی</x:v>
      </x:c>
      <x:c r="C2630" s="31" t="str">
        <x:v>G12</x:v>
      </x:c>
      <x:c r="D2630" s="31" t="str">
        <x:v>ضبط جبرانی جلسه4 پایتون</x:v>
      </x:c>
      <x:c r="E2630" s="31"/>
    </x:row>
    <x:row r="2631" ht="15" hidden="0" customHeight="1">
      <x:c r="A2631" s="31" t="str">
        <x:v>Anjoman accounting - refined.xlsx</x:v>
      </x:c>
      <x:c r="B2631" s="31" t="str">
        <x:v>خام_دفتر_قبلی</x:v>
      </x:c>
      <x:c r="C2631" s="31" t="str">
        <x:v>K12</x:v>
      </x:c>
      <x:c r="D2631" s="31" t="str">
        <x:v>300000</x:v>
      </x:c>
      <x:c r="E2631" s="31"/>
    </x:row>
    <x:row r="2632" ht="15" hidden="0" customHeight="1">
      <x:c r="A2632" s="31" t="str">
        <x:v>Anjoman accounting - refined.xlsx</x:v>
      </x:c>
      <x:c r="B2632" s="31" t="str">
        <x:v>خام_دفتر_قبلی</x:v>
      </x:c>
      <x:c r="C2632" s="31" t="str">
        <x:v>L12</x:v>
      </x:c>
      <x:c r="D2632" s="31" t="str">
        <x:v>امیرمحمد جوشقانی</x:v>
      </x:c>
      <x:c r="E2632" s="31"/>
    </x:row>
    <x:row r="2633" ht="15" hidden="0" customHeight="1">
      <x:c r="A2633" s="31" t="str">
        <x:v>Anjoman accounting - refined.xlsx</x:v>
      </x:c>
      <x:c r="B2633" s="31" t="str">
        <x:v>خام_دفتر_قبلی</x:v>
      </x:c>
      <x:c r="C2633" s="31" t="str">
        <x:v>M12</x:v>
      </x:c>
      <x:c r="D2633" s="31" t="str">
        <x:v>ضبط جبرانی جلسه4 پایتون</x:v>
      </x:c>
      <x:c r="E2633" s="31"/>
    </x:row>
    <x:row r="2634" ht="15" hidden="0" customHeight="1">
      <x:c r="A2634" s="31" t="str">
        <x:v>Anjoman accounting - refined.xlsx</x:v>
      </x:c>
      <x:c r="B2634" s="31" t="str">
        <x:v>خام_دفتر_قبلی</x:v>
      </x:c>
      <x:c r="C2634" s="31" t="str">
        <x:v>A13</x:v>
      </x:c>
      <x:c r="D2634" s="31" t="str">
        <x:v>11</x:v>
      </x:c>
      <x:c r="E2634" s="31"/>
    </x:row>
    <x:row r="2635" ht="15" hidden="0" customHeight="1">
      <x:c r="A2635" s="31" t="str">
        <x:v>Anjoman accounting - refined.xlsx</x:v>
      </x:c>
      <x:c r="B2635" s="31" t="str">
        <x:v>خام_دفتر_قبلی</x:v>
      </x:c>
      <x:c r="C2635" s="31" t="str">
        <x:v>E13</x:v>
      </x:c>
      <x:c r="D2635" s="31" t="str">
        <x:v>750000</x:v>
      </x:c>
      <x:c r="E2635" s="31"/>
    </x:row>
    <x:row r="2636" ht="15" hidden="0" customHeight="1">
      <x:c r="A2636" s="31" t="str">
        <x:v>Anjoman accounting - refined.xlsx</x:v>
      </x:c>
      <x:c r="B2636" s="31" t="str">
        <x:v>خام_دفتر_قبلی</x:v>
      </x:c>
      <x:c r="C2636" s="31" t="str">
        <x:v>F13</x:v>
      </x:c>
      <x:c r="D2636" s="31" t="str">
        <x:v>حسن شیری</x:v>
      </x:c>
      <x:c r="E2636" s="31"/>
    </x:row>
    <x:row r="2637" ht="15" hidden="0" customHeight="1">
      <x:c r="A2637" s="31" t="str">
        <x:v>Anjoman accounting - refined.xlsx</x:v>
      </x:c>
      <x:c r="B2637" s="31" t="str">
        <x:v>خام_دفتر_قبلی</x:v>
      </x:c>
      <x:c r="C2637" s="31" t="str">
        <x:v>G13</x:v>
      </x:c>
      <x:c r="D2637" s="31" t="str">
        <x:v>گرفتن کلید انجمن برای اعضا</x:v>
      </x:c>
      <x:c r="E2637" s="31"/>
    </x:row>
    <x:row r="2638" ht="15" hidden="0" customHeight="1">
      <x:c r="A2638" s="31" t="str">
        <x:v>Anjoman accounting - refined.xlsx</x:v>
      </x:c>
      <x:c r="B2638" s="31" t="str">
        <x:v>خام_دفتر_قبلی</x:v>
      </x:c>
      <x:c r="C2638" s="31" t="str">
        <x:v>K13</x:v>
      </x:c>
      <x:c r="D2638" s="31" t="str">
        <x:v>750000</x:v>
      </x:c>
      <x:c r="E2638" s="31"/>
    </x:row>
    <x:row r="2639" ht="15" hidden="0" customHeight="1">
      <x:c r="A2639" s="31" t="str">
        <x:v>Anjoman accounting - refined.xlsx</x:v>
      </x:c>
      <x:c r="B2639" s="31" t="str">
        <x:v>خام_دفتر_قبلی</x:v>
      </x:c>
      <x:c r="C2639" s="31" t="str">
        <x:v>L13</x:v>
      </x:c>
      <x:c r="D2639" s="31" t="str">
        <x:v>حسن شیری</x:v>
      </x:c>
      <x:c r="E2639" s="31"/>
    </x:row>
    <x:row r="2640" ht="15" hidden="0" customHeight="1">
      <x:c r="A2640" s="31" t="str">
        <x:v>Anjoman accounting - refined.xlsx</x:v>
      </x:c>
      <x:c r="B2640" s="31" t="str">
        <x:v>خام_دفتر_قبلی</x:v>
      </x:c>
      <x:c r="C2640" s="31" t="str">
        <x:v>M13</x:v>
      </x:c>
      <x:c r="D2640" s="31" t="str">
        <x:v>گرفتن کلید انجمن برای اعضا</x:v>
      </x:c>
      <x:c r="E2640" s="31"/>
    </x:row>
    <x:row r="2641" ht="15" hidden="0" customHeight="1">
      <x:c r="A2641" s="31" t="str">
        <x:v>Anjoman accounting - refined.xlsx</x:v>
      </x:c>
      <x:c r="B2641" s="31" t="str">
        <x:v>خام_دفتر_قبلی</x:v>
      </x:c>
      <x:c r="C2641" s="31" t="str">
        <x:v>A14</x:v>
      </x:c>
      <x:c r="D2641" s="31" t="str">
        <x:v>12</x:v>
      </x:c>
      <x:c r="E2641" s="31"/>
    </x:row>
    <x:row r="2642" ht="15" hidden="0" customHeight="1">
      <x:c r="A2642" s="31" t="str">
        <x:v>Anjoman accounting - refined.xlsx</x:v>
      </x:c>
      <x:c r="B2642" s="31" t="str">
        <x:v>خام_دفتر_قبلی</x:v>
      </x:c>
      <x:c r="C2642" s="31" t="str">
        <x:v>E14</x:v>
      </x:c>
      <x:c r="D2642" s="31" t="str">
        <x:v>400000</x:v>
      </x:c>
      <x:c r="E2642" s="31"/>
    </x:row>
    <x:row r="2643" ht="15" hidden="0" customHeight="1">
      <x:c r="A2643" s="31" t="str">
        <x:v>Anjoman accounting - refined.xlsx</x:v>
      </x:c>
      <x:c r="B2643" s="31" t="str">
        <x:v>خام_دفتر_قبلی</x:v>
      </x:c>
      <x:c r="C2643" s="31" t="str">
        <x:v>F14</x:v>
      </x:c>
      <x:c r="D2643" s="31" t="str">
        <x:v>حسن شیری</x:v>
      </x:c>
      <x:c r="E2643" s="31"/>
    </x:row>
    <x:row r="2644" ht="15" hidden="0" customHeight="1">
      <x:c r="A2644" s="31" t="str">
        <x:v>Anjoman accounting - refined.xlsx</x:v>
      </x:c>
      <x:c r="B2644" s="31" t="str">
        <x:v>خام_دفتر_قبلی</x:v>
      </x:c>
      <x:c r="C2644" s="31" t="str">
        <x:v>G14</x:v>
      </x:c>
      <x:c r="D2644" s="31" t="str">
        <x:v>نبلیغات مدرسه تابستانه در مهمات شریف</x:v>
      </x:c>
      <x:c r="E2644" s="31"/>
    </x:row>
    <x:row r="2645" ht="15" hidden="0" customHeight="1">
      <x:c r="A2645" s="31" t="str">
        <x:v>Anjoman accounting - refined.xlsx</x:v>
      </x:c>
      <x:c r="B2645" s="31" t="str">
        <x:v>خام_دفتر_قبلی</x:v>
      </x:c>
      <x:c r="C2645" s="31" t="str">
        <x:v>K14</x:v>
      </x:c>
      <x:c r="D2645" s="31" t="str">
        <x:v>400000</x:v>
      </x:c>
      <x:c r="E2645" s="31"/>
    </x:row>
    <x:row r="2646" ht="15" hidden="0" customHeight="1">
      <x:c r="A2646" s="31" t="str">
        <x:v>Anjoman accounting - refined.xlsx</x:v>
      </x:c>
      <x:c r="B2646" s="31" t="str">
        <x:v>خام_دفتر_قبلی</x:v>
      </x:c>
      <x:c r="C2646" s="31" t="str">
        <x:v>L14</x:v>
      </x:c>
      <x:c r="D2646" s="31" t="str">
        <x:v>حسن شیری</x:v>
      </x:c>
      <x:c r="E2646" s="31"/>
    </x:row>
    <x:row r="2647" ht="15" hidden="0" customHeight="1">
      <x:c r="A2647" s="31" t="str">
        <x:v>Anjoman accounting - refined.xlsx</x:v>
      </x:c>
      <x:c r="B2647" s="31" t="str">
        <x:v>خام_دفتر_قبلی</x:v>
      </x:c>
      <x:c r="C2647" s="31" t="str">
        <x:v>M14</x:v>
      </x:c>
      <x:c r="D2647" s="31" t="str">
        <x:v>نبلیغات مدرسه تابستانه در مهمات شریف</x:v>
      </x:c>
      <x:c r="E2647" s="31"/>
    </x:row>
    <x:row r="2648" ht="15" hidden="0" customHeight="1">
      <x:c r="A2648" s="31" t="str">
        <x:v>Anjoman accounting - refined.xlsx</x:v>
      </x:c>
      <x:c r="B2648" s="31" t="str">
        <x:v>خام_دفتر_قبلی</x:v>
      </x:c>
      <x:c r="C2648" s="31" t="str">
        <x:v>A15</x:v>
      </x:c>
      <x:c r="D2648" s="31" t="str">
        <x:v>14</x:v>
      </x:c>
      <x:c r="E2648" s="31"/>
    </x:row>
    <x:row r="2649" ht="15" hidden="0" customHeight="1">
      <x:c r="A2649" s="31" t="str">
        <x:v>Anjoman accounting - refined.xlsx</x:v>
      </x:c>
      <x:c r="B2649" s="31" t="str">
        <x:v>خام_دفتر_قبلی</x:v>
      </x:c>
      <x:c r="C2649" s="31" t="str">
        <x:v>D15</x:v>
      </x:c>
      <x:c r="D2649" s="31" t="str">
        <x:v>شهریور</x:v>
      </x:c>
      <x:c r="E2649" s="31"/>
    </x:row>
    <x:row r="2650" ht="15" hidden="0" customHeight="1">
      <x:c r="A2650" s="31" t="str">
        <x:v>Anjoman accounting - refined.xlsx</x:v>
      </x:c>
      <x:c r="B2650" s="31" t="str">
        <x:v>خام_دفتر_قبلی</x:v>
      </x:c>
      <x:c r="C2650" s="31" t="str">
        <x:v>J15</x:v>
      </x:c>
      <x:c r="D2650" s="31" t="str">
        <x:v>شهریور</x:v>
      </x:c>
      <x:c r="E2650" s="31"/>
    </x:row>
    <x:row r="2651" ht="15" hidden="0" customHeight="1">
      <x:c r="A2651" s="31" t="str">
        <x:v>Anjoman accounting - refined.xlsx</x:v>
      </x:c>
      <x:c r="B2651" s="31" t="str">
        <x:v>خام_دفتر_قبلی</x:v>
      </x:c>
      <x:c r="C2651" s="31" t="str">
        <x:v>A16</x:v>
      </x:c>
      <x:c r="D2651" s="31" t="str">
        <x:v>15</x:v>
      </x:c>
      <x:c r="E2651" s="31"/>
    </x:row>
    <x:row r="2652" ht="15" hidden="0" customHeight="1">
      <x:c r="A2652" s="31" t="str">
        <x:v>Anjoman accounting - refined.xlsx</x:v>
      </x:c>
      <x:c r="B2652" s="31" t="str">
        <x:v>خام_دفتر_قبلی</x:v>
      </x:c>
      <x:c r="C2652" s="31" t="str">
        <x:v>B16</x:v>
      </x:c>
      <x:c r="D2652" s="31" t="str">
        <x:v>ورودی معرفی رشته</x:v>
      </x:c>
      <x:c r="E2652" s="31"/>
    </x:row>
    <x:row r="2653" ht="15" hidden="0" customHeight="1">
      <x:c r="A2653" s="31" t="str">
        <x:v>Anjoman accounting - refined.xlsx</x:v>
      </x:c>
      <x:c r="B2653" s="31" t="str">
        <x:v>خام_دفتر_قبلی</x:v>
      </x:c>
      <x:c r="C2653" s="31" t="str">
        <x:v>C16</x:v>
      </x:c>
      <x:c r="D2653" s="31" t="str">
        <x:v>4920000</x:v>
      </x:c>
      <x:c r="E2653" s="31"/>
    </x:row>
    <x:row r="2654" ht="15" hidden="0" customHeight="1">
      <x:c r="A2654" s="31" t="str">
        <x:v>Anjoman accounting - refined.xlsx</x:v>
      </x:c>
      <x:c r="B2654" s="31" t="str">
        <x:v>خام_دفتر_قبلی</x:v>
      </x:c>
      <x:c r="C2654" s="31" t="str">
        <x:v>E16</x:v>
      </x:c>
      <x:c r="D2654" s="31" t="str">
        <x:v>100000</x:v>
      </x:c>
      <x:c r="E2654" s="31"/>
    </x:row>
    <x:row r="2655" ht="15" hidden="0" customHeight="1">
      <x:c r="A2655" s="31" t="str">
        <x:v>Anjoman accounting - refined.xlsx</x:v>
      </x:c>
      <x:c r="B2655" s="31" t="str">
        <x:v>خام_دفتر_قبلی</x:v>
      </x:c>
      <x:c r="C2655" s="31" t="str">
        <x:v>F16</x:v>
      </x:c>
      <x:c r="D2655" s="31" t="str">
        <x:v>محمدامین عزیزی</x:v>
      </x:c>
      <x:c r="E2655" s="31"/>
    </x:row>
    <x:row r="2656" ht="15" hidden="0" customHeight="1">
      <x:c r="A2656" s="31" t="str">
        <x:v>Anjoman accounting - refined.xlsx</x:v>
      </x:c>
      <x:c r="B2656" s="31" t="str">
        <x:v>خام_دفتر_قبلی</x:v>
      </x:c>
      <x:c r="C2656" s="31" t="str">
        <x:v>G16</x:v>
      </x:c>
      <x:c r="D2656" s="31" t="str">
        <x:v>چاپ پوستر و بارکد برای رویداد معرفی رشته</x:v>
      </x:c>
      <x:c r="E2656" s="31"/>
    </x:row>
    <x:row r="2657" ht="15" hidden="0" customHeight="1">
      <x:c r="A2657" s="31" t="str">
        <x:v>Anjoman accounting - refined.xlsx</x:v>
      </x:c>
      <x:c r="B2657" s="31" t="str">
        <x:v>خام_دفتر_قبلی</x:v>
      </x:c>
      <x:c r="C2657" s="31" t="str">
        <x:v>H16</x:v>
      </x:c>
      <x:c r="D2657" s="31" t="str">
        <x:v>ورودی معرفی رشته</x:v>
      </x:c>
      <x:c r="E2657" s="31"/>
    </x:row>
    <x:row r="2658" ht="15" hidden="0" customHeight="1">
      <x:c r="A2658" s="31" t="str">
        <x:v>Anjoman accounting - refined.xlsx</x:v>
      </x:c>
      <x:c r="B2658" s="31" t="str">
        <x:v>خام_دفتر_قبلی</x:v>
      </x:c>
      <x:c r="C2658" s="31" t="str">
        <x:v>I16</x:v>
      </x:c>
      <x:c r="D2658" s="31" t="str">
        <x:v>4920000</x:v>
      </x:c>
      <x:c r="E2658" s="31"/>
    </x:row>
    <x:row r="2659" ht="15" hidden="0" customHeight="1">
      <x:c r="A2659" s="31" t="str">
        <x:v>Anjoman accounting - refined.xlsx</x:v>
      </x:c>
      <x:c r="B2659" s="31" t="str">
        <x:v>خام_دفتر_قبلی</x:v>
      </x:c>
      <x:c r="C2659" s="31" t="str">
        <x:v>K16</x:v>
      </x:c>
      <x:c r="D2659" s="31" t="str">
        <x:v>100000</x:v>
      </x:c>
      <x:c r="E2659" s="31"/>
    </x:row>
    <x:row r="2660" ht="15" hidden="0" customHeight="1">
      <x:c r="A2660" s="31" t="str">
        <x:v>Anjoman accounting - refined.xlsx</x:v>
      </x:c>
      <x:c r="B2660" s="31" t="str">
        <x:v>خام_دفتر_قبلی</x:v>
      </x:c>
      <x:c r="C2660" s="31" t="str">
        <x:v>L16</x:v>
      </x:c>
      <x:c r="D2660" s="31" t="str">
        <x:v>محمدامین عزیزی</x:v>
      </x:c>
      <x:c r="E2660" s="31"/>
    </x:row>
    <x:row r="2661" ht="15" hidden="0" customHeight="1">
      <x:c r="A2661" s="31" t="str">
        <x:v>Anjoman accounting - refined.xlsx</x:v>
      </x:c>
      <x:c r="B2661" s="31" t="str">
        <x:v>خام_دفتر_قبلی</x:v>
      </x:c>
      <x:c r="C2661" s="31" t="str">
        <x:v>M16</x:v>
      </x:c>
      <x:c r="D2661" s="31" t="str">
        <x:v>چاپ پوستر و بارکد برای رویداد معرفی رشته</x:v>
      </x:c>
      <x:c r="E2661" s="31"/>
    </x:row>
    <x:row r="2662" ht="15" hidden="0" customHeight="1">
      <x:c r="A2662" s="31" t="str">
        <x:v>Anjoman accounting - refined.xlsx</x:v>
      </x:c>
      <x:c r="B2662" s="31" t="str">
        <x:v>خام_دفتر_قبلی</x:v>
      </x:c>
      <x:c r="C2662" s="31" t="str">
        <x:v>A17</x:v>
      </x:c>
      <x:c r="D2662" s="31" t="str">
        <x:v>16</x:v>
      </x:c>
      <x:c r="E2662" s="31"/>
    </x:row>
    <x:row r="2663" ht="15" hidden="0" customHeight="1">
      <x:c r="A2663" s="31" t="str">
        <x:v>Anjoman accounting - refined.xlsx</x:v>
      </x:c>
      <x:c r="B2663" s="31" t="str">
        <x:v>خام_دفتر_قبلی</x:v>
      </x:c>
      <x:c r="C2663" s="31" t="str">
        <x:v>E17</x:v>
      </x:c>
      <x:c r="D2663" s="31" t="str">
        <x:v>2866000</x:v>
      </x:c>
      <x:c r="E2663" s="31"/>
    </x:row>
    <x:row r="2664" ht="15" hidden="0" customHeight="1">
      <x:c r="A2664" s="31" t="str">
        <x:v>Anjoman accounting - refined.xlsx</x:v>
      </x:c>
      <x:c r="B2664" s="31" t="str">
        <x:v>خام_دفتر_قبلی</x:v>
      </x:c>
      <x:c r="C2664" s="31" t="str">
        <x:v>F17</x:v>
      </x:c>
      <x:c r="D2664" s="31" t="str">
        <x:v>محمدامین عزیزی</x:v>
      </x:c>
      <x:c r="E2664" s="31"/>
    </x:row>
    <x:row r="2665" ht="15" hidden="0" customHeight="1">
      <x:c r="A2665" s="31" t="str">
        <x:v>Anjoman accounting - refined.xlsx</x:v>
      </x:c>
      <x:c r="B2665" s="31" t="str">
        <x:v>خام_دفتر_قبلی</x:v>
      </x:c>
      <x:c r="C2665" s="31" t="str">
        <x:v>G17</x:v>
      </x:c>
      <x:c r="D2665" s="31" t="str">
        <x:v>تدارکات رویداد معرفی رشته</x:v>
      </x:c>
      <x:c r="E2665" s="31"/>
    </x:row>
    <x:row r="2666" ht="15" hidden="0" customHeight="1">
      <x:c r="A2666" s="31" t="str">
        <x:v>Anjoman accounting - refined.xlsx</x:v>
      </x:c>
      <x:c r="B2666" s="31" t="str">
        <x:v>خام_دفتر_قبلی</x:v>
      </x:c>
      <x:c r="C2666" s="31" t="str">
        <x:v>K17</x:v>
      </x:c>
      <x:c r="D2666" s="31" t="str">
        <x:v>2866000</x:v>
      </x:c>
      <x:c r="E2666" s="31"/>
    </x:row>
    <x:row r="2667" ht="15" hidden="0" customHeight="1">
      <x:c r="A2667" s="31" t="str">
        <x:v>Anjoman accounting - refined.xlsx</x:v>
      </x:c>
      <x:c r="B2667" s="31" t="str">
        <x:v>خام_دفتر_قبلی</x:v>
      </x:c>
      <x:c r="C2667" s="31" t="str">
        <x:v>L17</x:v>
      </x:c>
      <x:c r="D2667" s="31" t="str">
        <x:v>محمدامین عزیزی</x:v>
      </x:c>
      <x:c r="E2667" s="31"/>
    </x:row>
    <x:row r="2668" ht="15" hidden="0" customHeight="1">
      <x:c r="A2668" s="31" t="str">
        <x:v>Anjoman accounting - refined.xlsx</x:v>
      </x:c>
      <x:c r="B2668" s="31" t="str">
        <x:v>خام_دفتر_قبلی</x:v>
      </x:c>
      <x:c r="C2668" s="31" t="str">
        <x:v>M17</x:v>
      </x:c>
      <x:c r="D2668" s="31" t="str">
        <x:v>تدارکات رویداد معرفی رشته</x:v>
      </x:c>
      <x:c r="E2668" s="31"/>
    </x:row>
    <x:row r="2669" ht="15" hidden="0" customHeight="1">
      <x:c r="A2669" s="31" t="str">
        <x:v>Anjoman accounting - refined.xlsx</x:v>
      </x:c>
      <x:c r="B2669" s="31" t="str">
        <x:v>خام_دفتر_قبلی</x:v>
      </x:c>
      <x:c r="C2669" s="31" t="str">
        <x:v>A18</x:v>
      </x:c>
      <x:c r="D2669" s="31" t="str">
        <x:v>17</x:v>
      </x:c>
      <x:c r="E2669" s="31"/>
    </x:row>
    <x:row r="2670" ht="15" hidden="0" customHeight="1">
      <x:c r="A2670" s="31" t="str">
        <x:v>Anjoman accounting - refined.xlsx</x:v>
      </x:c>
      <x:c r="B2670" s="31" t="str">
        <x:v>خام_دفتر_قبلی</x:v>
      </x:c>
      <x:c r="C2670" s="31" t="str">
        <x:v>E18</x:v>
      </x:c>
      <x:c r="D2670" s="31"/>
      <x:c r="E2670" s="31" t="str">
        <x:v>=3055000-D16</x:v>
      </x:c>
    </x:row>
    <x:row r="2671" ht="15" hidden="0" customHeight="1">
      <x:c r="A2671" s="31" t="str">
        <x:v>Anjoman accounting - refined.xlsx</x:v>
      </x:c>
      <x:c r="B2671" s="31" t="str">
        <x:v>خام_دفتر_قبلی</x:v>
      </x:c>
      <x:c r="C2671" s="31" t="str">
        <x:v>F18</x:v>
      </x:c>
      <x:c r="D2671" s="31" t="str">
        <x:v>ابراهیم خسروانی</x:v>
      </x:c>
      <x:c r="E2671" s="31"/>
    </x:row>
    <x:row r="2672" ht="15" hidden="0" customHeight="1">
      <x:c r="A2672" s="31" t="str">
        <x:v>Anjoman accounting - refined.xlsx</x:v>
      </x:c>
      <x:c r="B2672" s="31" t="str">
        <x:v>خام_دفتر_قبلی</x:v>
      </x:c>
      <x:c r="C2672" s="31" t="str">
        <x:v>G18</x:v>
      </x:c>
      <x:c r="D2672" s="31" t="str">
        <x:v>حق الزحمه خرید تدارکات رویداد معرفی رشته</x:v>
      </x:c>
      <x:c r="E2672" s="31"/>
    </x:row>
    <x:row r="2673" ht="15" hidden="0" customHeight="1">
      <x:c r="A2673" s="31" t="str">
        <x:v>Anjoman accounting - refined.xlsx</x:v>
      </x:c>
      <x:c r="B2673" s="31" t="str">
        <x:v>خام_دفتر_قبلی</x:v>
      </x:c>
      <x:c r="C2673" s="31" t="str">
        <x:v>K18</x:v>
      </x:c>
      <x:c r="D2673" s="31" t="str">
        <x:v>189000</x:v>
      </x:c>
      <x:c r="E2673" s="31"/>
    </x:row>
    <x:row r="2674" ht="15" hidden="0" customHeight="1">
      <x:c r="A2674" s="31" t="str">
        <x:v>Anjoman accounting - refined.xlsx</x:v>
      </x:c>
      <x:c r="B2674" s="31" t="str">
        <x:v>خام_دفتر_قبلی</x:v>
      </x:c>
      <x:c r="C2674" s="31" t="str">
        <x:v>L18</x:v>
      </x:c>
      <x:c r="D2674" s="31" t="str">
        <x:v>ابراهیم خسروانی</x:v>
      </x:c>
      <x:c r="E2674" s="31"/>
    </x:row>
    <x:row r="2675" ht="15" hidden="0" customHeight="1">
      <x:c r="A2675" s="31" t="str">
        <x:v>Anjoman accounting - refined.xlsx</x:v>
      </x:c>
      <x:c r="B2675" s="31" t="str">
        <x:v>خام_دفتر_قبلی</x:v>
      </x:c>
      <x:c r="C2675" s="31" t="str">
        <x:v>M18</x:v>
      </x:c>
      <x:c r="D2675" s="31" t="str">
        <x:v>حق الزحمه خرید تدارکات رویداد معرفی رشته</x:v>
      </x:c>
      <x:c r="E2675" s="31"/>
    </x:row>
    <x:row r="2676" ht="15" hidden="0" customHeight="1">
      <x:c r="A2676" s="31" t="str">
        <x:v>Anjoman accounting - refined.xlsx</x:v>
      </x:c>
      <x:c r="B2676" s="31" t="str">
        <x:v>خام_دفتر_قبلی</x:v>
      </x:c>
      <x:c r="C2676" s="31" t="str">
        <x:v>A19</x:v>
      </x:c>
      <x:c r="D2676" s="31" t="str">
        <x:v>18</x:v>
      </x:c>
      <x:c r="E2676" s="31"/>
    </x:row>
    <x:row r="2677" ht="15" hidden="0" customHeight="1">
      <x:c r="A2677" s="31" t="str">
        <x:v>Anjoman accounting - refined.xlsx</x:v>
      </x:c>
      <x:c r="B2677" s="31" t="str">
        <x:v>خام_دفتر_قبلی</x:v>
      </x:c>
      <x:c r="C2677" s="31" t="str">
        <x:v>D19</x:v>
      </x:c>
      <x:c r="D2677" s="31" t="str">
        <x:v>مهر</x:v>
      </x:c>
      <x:c r="E2677" s="31"/>
    </x:row>
    <x:row r="2678" ht="15" hidden="0" customHeight="1">
      <x:c r="A2678" s="31" t="str">
        <x:v>Anjoman accounting - refined.xlsx</x:v>
      </x:c>
      <x:c r="B2678" s="31" t="str">
        <x:v>خام_دفتر_قبلی</x:v>
      </x:c>
      <x:c r="C2678" s="31" t="str">
        <x:v>J19</x:v>
      </x:c>
      <x:c r="D2678" s="31" t="str">
        <x:v>مهر</x:v>
      </x:c>
      <x:c r="E2678" s="31"/>
    </x:row>
    <x:row r="2679" ht="15" hidden="0" customHeight="1">
      <x:c r="A2679" s="31" t="str">
        <x:v>Anjoman accounting - refined.xlsx</x:v>
      </x:c>
      <x:c r="B2679" s="31" t="str">
        <x:v>خام_دفتر_قبلی</x:v>
      </x:c>
      <x:c r="C2679" s="31" t="str">
        <x:v>A20</x:v>
      </x:c>
      <x:c r="D2679" s="31" t="str">
        <x:v>19</x:v>
      </x:c>
      <x:c r="E2679" s="31"/>
    </x:row>
    <x:row r="2680" ht="15" hidden="0" customHeight="1">
      <x:c r="A2680" s="31" t="str">
        <x:v>Anjoman accounting - refined.xlsx</x:v>
      </x:c>
      <x:c r="B2680" s="31" t="str">
        <x:v>خام_دفتر_قبلی</x:v>
      </x:c>
      <x:c r="C2680" s="31" t="str">
        <x:v>B20</x:v>
      </x:c>
      <x:c r="D2680" s="31" t="str">
        <x:v>واریزی دکتر مقیمی برای شیرینی نشست عمومی اساتید</x:v>
      </x:c>
      <x:c r="E2680" s="31"/>
    </x:row>
    <x:row r="2681" ht="15" hidden="0" customHeight="1">
      <x:c r="A2681" s="31" t="str">
        <x:v>Anjoman accounting - refined.xlsx</x:v>
      </x:c>
      <x:c r="B2681" s="31" t="str">
        <x:v>خام_دفتر_قبلی</x:v>
      </x:c>
      <x:c r="C2681" s="31" t="str">
        <x:v>C20</x:v>
      </x:c>
      <x:c r="D2681" s="31" t="str">
        <x:v>500000</x:v>
      </x:c>
      <x:c r="E2681" s="31"/>
    </x:row>
    <x:row r="2682" ht="15" hidden="0" customHeight="1">
      <x:c r="A2682" s="31" t="str">
        <x:v>Anjoman accounting - refined.xlsx</x:v>
      </x:c>
      <x:c r="B2682" s="31" t="str">
        <x:v>خام_دفتر_قبلی</x:v>
      </x:c>
      <x:c r="C2682" s="31" t="str">
        <x:v>E20</x:v>
      </x:c>
      <x:c r="D2682" s="31" t="str">
        <x:v>90000</x:v>
      </x:c>
      <x:c r="E2682" s="31"/>
    </x:row>
    <x:row r="2683" ht="15" hidden="0" customHeight="1">
      <x:c r="A2683" s="31" t="str">
        <x:v>Anjoman accounting - refined.xlsx</x:v>
      </x:c>
      <x:c r="B2683" s="31" t="str">
        <x:v>خام_دفتر_قبلی</x:v>
      </x:c>
      <x:c r="C2683" s="31" t="str">
        <x:v>G20</x:v>
      </x:c>
      <x:c r="D2683" s="31" t="str">
        <x:v>پوستر نشست عمومی با اساتید و حلقه های کوانتا(هفته 19مهر)</x:v>
      </x:c>
      <x:c r="E2683" s="31"/>
    </x:row>
    <x:row r="2684" ht="15" hidden="0" customHeight="1">
      <x:c r="A2684" s="31" t="str">
        <x:v>Anjoman accounting - refined.xlsx</x:v>
      </x:c>
      <x:c r="B2684" s="31" t="str">
        <x:v>خام_دفتر_قبلی</x:v>
      </x:c>
      <x:c r="C2684" s="31" t="str">
        <x:v>H20</x:v>
      </x:c>
      <x:c r="D2684" s="31" t="str">
        <x:v>واریزی دکتر مقیمی برای شیرینی نشست عمومی اساتید</x:v>
      </x:c>
      <x:c r="E2684" s="31"/>
    </x:row>
    <x:row r="2685" ht="15" hidden="0" customHeight="1">
      <x:c r="A2685" s="31" t="str">
        <x:v>Anjoman accounting - refined.xlsx</x:v>
      </x:c>
      <x:c r="B2685" s="31" t="str">
        <x:v>خام_دفتر_قبلی</x:v>
      </x:c>
      <x:c r="C2685" s="31" t="str">
        <x:v>I20</x:v>
      </x:c>
      <x:c r="D2685" s="31" t="str">
        <x:v>500000</x:v>
      </x:c>
      <x:c r="E2685" s="31"/>
    </x:row>
    <x:row r="2686" ht="15" hidden="0" customHeight="1">
      <x:c r="A2686" s="31" t="str">
        <x:v>Anjoman accounting - refined.xlsx</x:v>
      </x:c>
      <x:c r="B2686" s="31" t="str">
        <x:v>خام_دفتر_قبلی</x:v>
      </x:c>
      <x:c r="C2686" s="31" t="str">
        <x:v>K20</x:v>
      </x:c>
      <x:c r="D2686" s="31" t="str">
        <x:v>90000</x:v>
      </x:c>
      <x:c r="E2686" s="31"/>
    </x:row>
    <x:row r="2687" ht="15" hidden="0" customHeight="1">
      <x:c r="A2687" s="31" t="str">
        <x:v>Anjoman accounting - refined.xlsx</x:v>
      </x:c>
      <x:c r="B2687" s="31" t="str">
        <x:v>خام_دفتر_قبلی</x:v>
      </x:c>
      <x:c r="C2687" s="31" t="str">
        <x:v>M20</x:v>
      </x:c>
      <x:c r="D2687" s="31" t="str">
        <x:v>پوستر نشست عمومی با اساتید و حلقه های کوانتا(هفته 19مهر)</x:v>
      </x:c>
      <x:c r="E2687" s="31"/>
    </x:row>
    <x:row r="2688" ht="15" hidden="0" customHeight="1">
      <x:c r="A2688" s="31" t="str">
        <x:v>Anjoman accounting - refined.xlsx</x:v>
      </x:c>
      <x:c r="B2688" s="31" t="str">
        <x:v>خام_دفتر_قبلی</x:v>
      </x:c>
      <x:c r="C2688" s="31" t="str">
        <x:v>A21</x:v>
      </x:c>
      <x:c r="D2688" s="31" t="str">
        <x:v>20</x:v>
      </x:c>
      <x:c r="E2688" s="31"/>
    </x:row>
    <x:row r="2689" ht="15" hidden="0" customHeight="1">
      <x:c r="A2689" s="31" t="str">
        <x:v>Anjoman accounting - refined.xlsx</x:v>
      </x:c>
      <x:c r="B2689" s="31" t="str">
        <x:v>خام_دفتر_قبلی</x:v>
      </x:c>
      <x:c r="C2689" s="31" t="str">
        <x:v>E21</x:v>
      </x:c>
      <x:c r="D2689" s="31" t="str">
        <x:v>1052375</x:v>
      </x:c>
      <x:c r="E2689" s="31"/>
    </x:row>
    <x:row r="2690" ht="15" hidden="0" customHeight="1">
      <x:c r="A2690" s="31" t="str">
        <x:v>Anjoman accounting - refined.xlsx</x:v>
      </x:c>
      <x:c r="B2690" s="31" t="str">
        <x:v>خام_دفتر_قبلی</x:v>
      </x:c>
      <x:c r="C2690" s="31" t="str">
        <x:v>G21</x:v>
      </x:c>
      <x:c r="D2690" s="31" t="str">
        <x:v>شیرینی نشست عمومی با اساتید</x:v>
      </x:c>
      <x:c r="E2690" s="31"/>
    </x:row>
    <x:row r="2691" ht="15" hidden="0" customHeight="1">
      <x:c r="A2691" s="31" t="str">
        <x:v>Anjoman accounting - refined.xlsx</x:v>
      </x:c>
      <x:c r="B2691" s="31" t="str">
        <x:v>خام_دفتر_قبلی</x:v>
      </x:c>
      <x:c r="C2691" s="31" t="str">
        <x:v>K21</x:v>
      </x:c>
      <x:c r="D2691" s="31" t="str">
        <x:v>1052375</x:v>
      </x:c>
      <x:c r="E2691" s="31"/>
    </x:row>
    <x:row r="2692" ht="15" hidden="0" customHeight="1">
      <x:c r="A2692" s="31" t="str">
        <x:v>Anjoman accounting - refined.xlsx</x:v>
      </x:c>
      <x:c r="B2692" s="31" t="str">
        <x:v>خام_دفتر_قبلی</x:v>
      </x:c>
      <x:c r="C2692" s="31" t="str">
        <x:v>M21</x:v>
      </x:c>
      <x:c r="D2692" s="31" t="str">
        <x:v>شیرینی نشست عمومی با اساتید</x:v>
      </x:c>
      <x:c r="E2692" s="31"/>
    </x:row>
    <x:row r="2693" ht="15" hidden="0" customHeight="1">
      <x:c r="A2693" s="31" t="str">
        <x:v>Anjoman accounting - refined.xlsx</x:v>
      </x:c>
      <x:c r="B2693" s="31" t="str">
        <x:v>خام_دفتر_قبلی</x:v>
      </x:c>
      <x:c r="C2693" s="31" t="str">
        <x:v>A22</x:v>
      </x:c>
      <x:c r="D2693" s="31" t="str">
        <x:v>21</x:v>
      </x:c>
      <x:c r="E2693" s="31"/>
    </x:row>
    <x:row r="2694" ht="15" hidden="0" customHeight="1">
      <x:c r="A2694" s="31" t="str">
        <x:v>Anjoman accounting - refined.xlsx</x:v>
      </x:c>
      <x:c r="B2694" s="31" t="str">
        <x:v>خام_دفتر_قبلی</x:v>
      </x:c>
      <x:c r="C2694" s="31" t="str">
        <x:v>E22</x:v>
      </x:c>
      <x:c r="D2694" s="31" t="str">
        <x:v>790000</x:v>
      </x:c>
      <x:c r="E2694" s="31"/>
    </x:row>
    <x:row r="2695" ht="15" hidden="0" customHeight="1">
      <x:c r="A2695" s="31" t="str">
        <x:v>Anjoman accounting - refined.xlsx</x:v>
      </x:c>
      <x:c r="B2695" s="31" t="str">
        <x:v>خام_دفتر_قبلی</x:v>
      </x:c>
      <x:c r="C2695" s="31" t="str">
        <x:v>G22</x:v>
      </x:c>
      <x:c r="D2695" s="31" t="str">
        <x:v>2*50 لیوان + 3*40 بیسکوییت+100چای برای انجمن چای</x:v>
      </x:c>
      <x:c r="E2695" s="31"/>
    </x:row>
    <x:row r="2696" ht="15" hidden="0" customHeight="1">
      <x:c r="A2696" s="31" t="str">
        <x:v>Anjoman accounting - refined.xlsx</x:v>
      </x:c>
      <x:c r="B2696" s="31" t="str">
        <x:v>خام_دفتر_قبلی</x:v>
      </x:c>
      <x:c r="C2696" s="31" t="str">
        <x:v>K22</x:v>
      </x:c>
      <x:c r="D2696" s="31" t="str">
        <x:v>790000</x:v>
      </x:c>
      <x:c r="E2696" s="31"/>
    </x:row>
    <x:row r="2697" ht="15" hidden="0" customHeight="1">
      <x:c r="A2697" s="31" t="str">
        <x:v>Anjoman accounting - refined.xlsx</x:v>
      </x:c>
      <x:c r="B2697" s="31" t="str">
        <x:v>خام_دفتر_قبلی</x:v>
      </x:c>
      <x:c r="C2697" s="31" t="str">
        <x:v>M22</x:v>
      </x:c>
      <x:c r="D2697" s="31" t="str">
        <x:v>2*50 لیوان + 3*40 بیسکوییت+100چای برای انجمن چای</x:v>
      </x:c>
      <x:c r="E2697" s="31"/>
    </x:row>
    <x:row r="2698" ht="15" hidden="0" customHeight="1">
      <x:c r="A2698" s="31" t="str">
        <x:v>Anjoman accounting - refined.xlsx</x:v>
      </x:c>
      <x:c r="B2698" s="31" t="str">
        <x:v>خام_دفتر_قبلی</x:v>
      </x:c>
      <x:c r="C2698" s="31" t="str">
        <x:v>A23</x:v>
      </x:c>
      <x:c r="D2698" s="31" t="str">
        <x:v>22</x:v>
      </x:c>
      <x:c r="E2698" s="31"/>
    </x:row>
    <x:row r="2699" ht="15" hidden="0" customHeight="1">
      <x:c r="A2699" s="31" t="str">
        <x:v>Anjoman accounting - refined.xlsx</x:v>
      </x:c>
      <x:c r="B2699" s="31" t="str">
        <x:v>خام_دفتر_قبلی</x:v>
      </x:c>
      <x:c r="C2699" s="31" t="str">
        <x:v>E23</x:v>
      </x:c>
      <x:c r="D2699" s="31" t="str">
        <x:v>912850</x:v>
      </x:c>
      <x:c r="E2699" s="31"/>
    </x:row>
    <x:row r="2700" ht="15" hidden="0" customHeight="1">
      <x:c r="A2700" s="31" t="str">
        <x:v>Anjoman accounting - refined.xlsx</x:v>
      </x:c>
      <x:c r="B2700" s="31" t="str">
        <x:v>خام_دفتر_قبلی</x:v>
      </x:c>
      <x:c r="C2700" s="31" t="str">
        <x:v>G23</x:v>
      </x:c>
      <x:c r="D2700" s="31" t="str">
        <x:v>شیریننی نشست انجمن چای</x:v>
      </x:c>
      <x:c r="E2700" s="31"/>
    </x:row>
    <x:row r="2701" ht="15" hidden="0" customHeight="1">
      <x:c r="A2701" s="31" t="str">
        <x:v>Anjoman accounting - refined.xlsx</x:v>
      </x:c>
      <x:c r="B2701" s="31" t="str">
        <x:v>خام_دفتر_قبلی</x:v>
      </x:c>
      <x:c r="C2701" s="31" t="str">
        <x:v>K23</x:v>
      </x:c>
      <x:c r="D2701" s="31" t="str">
        <x:v>912850</x:v>
      </x:c>
      <x:c r="E2701" s="31"/>
    </x:row>
    <x:row r="2702" ht="15" hidden="0" customHeight="1">
      <x:c r="A2702" s="31" t="str">
        <x:v>Anjoman accounting - refined.xlsx</x:v>
      </x:c>
      <x:c r="B2702" s="31" t="str">
        <x:v>خام_دفتر_قبلی</x:v>
      </x:c>
      <x:c r="C2702" s="31" t="str">
        <x:v>M23</x:v>
      </x:c>
      <x:c r="D2702" s="31" t="str">
        <x:v>شیریننی نشست انجمن چای</x:v>
      </x:c>
      <x:c r="E2702" s="31"/>
    </x:row>
    <x:row r="2703" ht="15" hidden="0" customHeight="1">
      <x:c r="A2703" s="31" t="str">
        <x:v>Anjoman accounting - refined.xlsx</x:v>
      </x:c>
      <x:c r="B2703" s="31" t="str">
        <x:v>خام_دفتر_قبلی</x:v>
      </x:c>
      <x:c r="C2703" s="31" t="str">
        <x:v>A24</x:v>
      </x:c>
      <x:c r="D2703" s="31" t="str">
        <x:v>23</x:v>
      </x:c>
      <x:c r="E2703" s="31"/>
    </x:row>
    <x:row r="2704" ht="15" hidden="0" customHeight="1">
      <x:c r="A2704" s="31" t="str">
        <x:v>Anjoman accounting - refined.xlsx</x:v>
      </x:c>
      <x:c r="B2704" s="31" t="str">
        <x:v>خام_دفتر_قبلی</x:v>
      </x:c>
      <x:c r="C2704" s="31" t="str">
        <x:v>E24</x:v>
      </x:c>
      <x:c r="D2704" s="31" t="str">
        <x:v>1052375</x:v>
      </x:c>
      <x:c r="E2704" s="31"/>
    </x:row>
    <x:row r="2705" ht="15" hidden="0" customHeight="1">
      <x:c r="A2705" s="31" t="str">
        <x:v>Anjoman accounting - refined.xlsx</x:v>
      </x:c>
      <x:c r="B2705" s="31" t="str">
        <x:v>خام_دفتر_قبلی</x:v>
      </x:c>
      <x:c r="C2705" s="31" t="str">
        <x:v>G24</x:v>
      </x:c>
      <x:c r="D2705" s="31" t="str">
        <x:v>شیرینی دیدار با اساتید</x:v>
      </x:c>
      <x:c r="E2705" s="31"/>
    </x:row>
    <x:row r="2706" ht="15" hidden="0" customHeight="1">
      <x:c r="A2706" s="31" t="str">
        <x:v>Anjoman accounting - refined.xlsx</x:v>
      </x:c>
      <x:c r="B2706" s="31" t="str">
        <x:v>خام_دفتر_قبلی</x:v>
      </x:c>
      <x:c r="C2706" s="31" t="str">
        <x:v>K24</x:v>
      </x:c>
      <x:c r="D2706" s="31" t="str">
        <x:v>1052375</x:v>
      </x:c>
      <x:c r="E2706" s="31"/>
    </x:row>
    <x:row r="2707" ht="15" hidden="0" customHeight="1">
      <x:c r="A2707" s="31" t="str">
        <x:v>Anjoman accounting - refined.xlsx</x:v>
      </x:c>
      <x:c r="B2707" s="31" t="str">
        <x:v>خام_دفتر_قبلی</x:v>
      </x:c>
      <x:c r="C2707" s="31" t="str">
        <x:v>M24</x:v>
      </x:c>
      <x:c r="D2707" s="31" t="str">
        <x:v>شیرینی دیدار با اساتید</x:v>
      </x:c>
      <x:c r="E2707" s="31"/>
    </x:row>
    <x:row r="2708" ht="15" hidden="0" customHeight="1">
      <x:c r="A2708" s="31" t="str">
        <x:v>Anjoman accounting - refined.xlsx</x:v>
      </x:c>
      <x:c r="B2708" s="31" t="str">
        <x:v>خام_دفتر_قبلی</x:v>
      </x:c>
      <x:c r="C2708" s="31" t="str">
        <x:v>A25</x:v>
      </x:c>
      <x:c r="D2708" s="31" t="str">
        <x:v>24</x:v>
      </x:c>
      <x:c r="E2708" s="31"/>
    </x:row>
    <x:row r="2709" ht="15" hidden="0" customHeight="1">
      <x:c r="A2709" s="31" t="str">
        <x:v>Anjoman accounting - refined.xlsx</x:v>
      </x:c>
      <x:c r="B2709" s="31" t="str">
        <x:v>خام_دفتر_قبلی</x:v>
      </x:c>
      <x:c r="C2709" s="31" t="str">
        <x:v>D25</x:v>
      </x:c>
      <x:c r="D2709" s="31" t="str">
        <x:v>آبان</x:v>
      </x:c>
      <x:c r="E2709" s="31"/>
    </x:row>
    <x:row r="2710" ht="15" hidden="0" customHeight="1">
      <x:c r="A2710" s="31" t="str">
        <x:v>Anjoman accounting - refined.xlsx</x:v>
      </x:c>
      <x:c r="B2710" s="31" t="str">
        <x:v>خام_دفتر_قبلی</x:v>
      </x:c>
      <x:c r="C2710" s="31" t="str">
        <x:v>J25</x:v>
      </x:c>
      <x:c r="D2710" s="31" t="str">
        <x:v>آبان</x:v>
      </x:c>
      <x:c r="E2710" s="31"/>
    </x:row>
    <x:row r="2711" ht="15" hidden="0" customHeight="1">
      <x:c r="A2711" s="31" t="str">
        <x:v>Anjoman accounting - refined.xlsx</x:v>
      </x:c>
      <x:c r="B2711" s="31" t="str">
        <x:v>خام_دفتر_قبلی</x:v>
      </x:c>
      <x:c r="C2711" s="31" t="str">
        <x:v>A26</x:v>
      </x:c>
      <x:c r="D2711" s="31" t="str">
        <x:v>25</x:v>
      </x:c>
      <x:c r="E2711" s="31"/>
    </x:row>
    <x:row r="2712" ht="15" hidden="0" customHeight="1">
      <x:c r="A2712" s="31" t="str">
        <x:v>Anjoman accounting - refined.xlsx</x:v>
      </x:c>
      <x:c r="B2712" s="31" t="str">
        <x:v>خام_دفتر_قبلی</x:v>
      </x:c>
      <x:c r="C2712" s="31" t="str">
        <x:v>B26</x:v>
      </x:c>
      <x:c r="D2712" s="31" t="str">
        <x:v>دریافتی از انجمن سابق</x:v>
      </x:c>
      <x:c r="E2712" s="31"/>
    </x:row>
    <x:row r="2713" ht="15" hidden="0" customHeight="1">
      <x:c r="A2713" s="31" t="str">
        <x:v>Anjoman accounting - refined.xlsx</x:v>
      </x:c>
      <x:c r="B2713" s="31" t="str">
        <x:v>خام_دفتر_قبلی</x:v>
      </x:c>
      <x:c r="C2713" s="31" t="str">
        <x:v>C26</x:v>
      </x:c>
      <x:c r="D2713" s="31" t="str">
        <x:v>11000000</x:v>
      </x:c>
      <x:c r="E2713" s="31"/>
    </x:row>
    <x:row r="2714" ht="15" hidden="0" customHeight="1">
      <x:c r="A2714" s="31" t="str">
        <x:v>Anjoman accounting - refined.xlsx</x:v>
      </x:c>
      <x:c r="B2714" s="31" t="str">
        <x:v>خام_دفتر_قبلی</x:v>
      </x:c>
      <x:c r="C2714" s="31" t="str">
        <x:v>E26</x:v>
      </x:c>
      <x:c r="D2714" s="31" t="str">
        <x:v>725000</x:v>
      </x:c>
      <x:c r="E2714" s="31"/>
    </x:row>
    <x:row r="2715" ht="15" hidden="0" customHeight="1">
      <x:c r="A2715" s="31" t="str">
        <x:v>Anjoman accounting - refined.xlsx</x:v>
      </x:c>
      <x:c r="B2715" s="31" t="str">
        <x:v>خام_دفتر_قبلی</x:v>
      </x:c>
      <x:c r="C2715" s="31" t="str">
        <x:v>F26</x:v>
      </x:c>
      <x:c r="D2715" s="31" t="str">
        <x:v>نیما کوهی</x:v>
      </x:c>
      <x:c r="E2715" s="31"/>
    </x:row>
    <x:row r="2716" ht="15" hidden="0" customHeight="1">
      <x:c r="A2716" s="31" t="str">
        <x:v>Anjoman accounting - refined.xlsx</x:v>
      </x:c>
      <x:c r="B2716" s="31" t="str">
        <x:v>خام_دفتر_قبلی</x:v>
      </x:c>
      <x:c r="C2716" s="31" t="str">
        <x:v>G26</x:v>
      </x:c>
      <x:c r="D2716" s="31" t="str">
        <x:v>باتری دوربین فیلمبرداری</x:v>
      </x:c>
      <x:c r="E2716" s="31"/>
    </x:row>
    <x:row r="2717" ht="15" hidden="0" customHeight="1">
      <x:c r="A2717" s="31" t="str">
        <x:v>Anjoman accounting - refined.xlsx</x:v>
      </x:c>
      <x:c r="B2717" s="31" t="str">
        <x:v>خام_دفتر_قبلی</x:v>
      </x:c>
      <x:c r="C2717" s="31" t="str">
        <x:v>H26</x:v>
      </x:c>
      <x:c r="D2717" s="31" t="str">
        <x:v>دریافتی از انجمن سابق</x:v>
      </x:c>
      <x:c r="E2717" s="31"/>
    </x:row>
    <x:row r="2718" ht="15" hidden="0" customHeight="1">
      <x:c r="A2718" s="31" t="str">
        <x:v>Anjoman accounting - refined.xlsx</x:v>
      </x:c>
      <x:c r="B2718" s="31" t="str">
        <x:v>خام_دفتر_قبلی</x:v>
      </x:c>
      <x:c r="C2718" s="31" t="str">
        <x:v>I26</x:v>
      </x:c>
      <x:c r="D2718" s="31" t="str">
        <x:v>11000000</x:v>
      </x:c>
      <x:c r="E2718" s="31"/>
    </x:row>
    <x:row r="2719" ht="15" hidden="0" customHeight="1">
      <x:c r="A2719" s="31" t="str">
        <x:v>Anjoman accounting - refined.xlsx</x:v>
      </x:c>
      <x:c r="B2719" s="31" t="str">
        <x:v>خام_دفتر_قبلی</x:v>
      </x:c>
      <x:c r="C2719" s="31" t="str">
        <x:v>K26</x:v>
      </x:c>
      <x:c r="D2719" s="31" t="str">
        <x:v>725000</x:v>
      </x:c>
      <x:c r="E2719" s="31"/>
    </x:row>
    <x:row r="2720" ht="15" hidden="0" customHeight="1">
      <x:c r="A2720" s="31" t="str">
        <x:v>Anjoman accounting - refined.xlsx</x:v>
      </x:c>
      <x:c r="B2720" s="31" t="str">
        <x:v>خام_دفتر_قبلی</x:v>
      </x:c>
      <x:c r="C2720" s="31" t="str">
        <x:v>L26</x:v>
      </x:c>
      <x:c r="D2720" s="31" t="str">
        <x:v>نیما کوهی</x:v>
      </x:c>
      <x:c r="E2720" s="31"/>
    </x:row>
    <x:row r="2721" ht="15" hidden="0" customHeight="1">
      <x:c r="A2721" s="31" t="str">
        <x:v>Anjoman accounting - refined.xlsx</x:v>
      </x:c>
      <x:c r="B2721" s="31" t="str">
        <x:v>خام_دفتر_قبلی</x:v>
      </x:c>
      <x:c r="C2721" s="31" t="str">
        <x:v>M26</x:v>
      </x:c>
      <x:c r="D2721" s="31" t="str">
        <x:v>باتری دوربین فیلمبرداری</x:v>
      </x:c>
      <x:c r="E2721" s="31"/>
    </x:row>
    <x:row r="2722" ht="15" hidden="0" customHeight="1">
      <x:c r="A2722" s="31" t="str">
        <x:v>Anjoman accounting - refined.xlsx</x:v>
      </x:c>
      <x:c r="B2722" s="31" t="str">
        <x:v>خام_دفتر_قبلی</x:v>
      </x:c>
      <x:c r="C2722" s="31" t="str">
        <x:v>A27</x:v>
      </x:c>
      <x:c r="D2722" s="31" t="str">
        <x:v>26</x:v>
      </x:c>
      <x:c r="E2722" s="31"/>
    </x:row>
    <x:row r="2723" ht="15" hidden="0" customHeight="1">
      <x:c r="A2723" s="31" t="str">
        <x:v>Anjoman accounting - refined.xlsx</x:v>
      </x:c>
      <x:c r="B2723" s="31" t="str">
        <x:v>خام_دفتر_قبلی</x:v>
      </x:c>
      <x:c r="C2723" s="31" t="str">
        <x:v>E27</x:v>
      </x:c>
      <x:c r="D2723" s="31" t="str">
        <x:v>120000</x:v>
      </x:c>
      <x:c r="E2723" s="31"/>
    </x:row>
    <x:row r="2724" ht="15" hidden="0" customHeight="1">
      <x:c r="A2724" s="31" t="str">
        <x:v>Anjoman accounting - refined.xlsx</x:v>
      </x:c>
      <x:c r="B2724" s="31" t="str">
        <x:v>خام_دفتر_قبلی</x:v>
      </x:c>
      <x:c r="C2724" s="31" t="str">
        <x:v>F27</x:v>
      </x:c>
      <x:c r="D2724" s="31" t="str">
        <x:v>اردوان شهبازی</x:v>
      </x:c>
      <x:c r="E2724" s="31"/>
    </x:row>
    <x:row r="2725" ht="15" hidden="0" customHeight="1">
      <x:c r="A2725" s="31" t="str">
        <x:v>Anjoman accounting - refined.xlsx</x:v>
      </x:c>
      <x:c r="B2725" s="31" t="str">
        <x:v>خام_دفتر_قبلی</x:v>
      </x:c>
      <x:c r="C2725" s="31" t="str">
        <x:v>G27</x:v>
      </x:c>
      <x:c r="D2725" s="31" t="str">
        <x:v>خرید چسب بادکنک برای جشن ورودی</x:v>
      </x:c>
      <x:c r="E2725" s="31"/>
    </x:row>
    <x:row r="2726" ht="15" hidden="0" customHeight="1">
      <x:c r="A2726" s="31" t="str">
        <x:v>Anjoman accounting - refined.xlsx</x:v>
      </x:c>
      <x:c r="B2726" s="31" t="str">
        <x:v>خام_دفتر_قبلی</x:v>
      </x:c>
      <x:c r="C2726" s="31" t="str">
        <x:v>K27</x:v>
      </x:c>
      <x:c r="D2726" s="31" t="str">
        <x:v>120000</x:v>
      </x:c>
      <x:c r="E2726" s="31"/>
    </x:row>
    <x:row r="2727" ht="15" hidden="0" customHeight="1">
      <x:c r="A2727" s="31" t="str">
        <x:v>Anjoman accounting - refined.xlsx</x:v>
      </x:c>
      <x:c r="B2727" s="31" t="str">
        <x:v>خام_دفتر_قبلی</x:v>
      </x:c>
      <x:c r="C2727" s="31" t="str">
        <x:v>L27</x:v>
      </x:c>
      <x:c r="D2727" s="31" t="str">
        <x:v>اردوان شهبازی</x:v>
      </x:c>
      <x:c r="E2727" s="31"/>
    </x:row>
    <x:row r="2728" ht="15" hidden="0" customHeight="1">
      <x:c r="A2728" s="31" t="str">
        <x:v>Anjoman accounting - refined.xlsx</x:v>
      </x:c>
      <x:c r="B2728" s="31" t="str">
        <x:v>خام_دفتر_قبلی</x:v>
      </x:c>
      <x:c r="C2728" s="31" t="str">
        <x:v>M27</x:v>
      </x:c>
      <x:c r="D2728" s="31" t="str">
        <x:v>خرید چسب بادکنک برای جشن ورودی</x:v>
      </x:c>
      <x:c r="E2728" s="31"/>
    </x:row>
    <x:row r="2729" ht="15" hidden="0" customHeight="1">
      <x:c r="A2729" s="31" t="str">
        <x:v>Anjoman accounting - refined.xlsx</x:v>
      </x:c>
      <x:c r="B2729" s="31" t="str">
        <x:v>خام_دفتر_قبلی</x:v>
      </x:c>
      <x:c r="C2729" s="31" t="str">
        <x:v>A28</x:v>
      </x:c>
      <x:c r="D2729" s="31" t="str">
        <x:v>27</x:v>
      </x:c>
      <x:c r="E2729" s="31"/>
    </x:row>
    <x:row r="2730" ht="15" hidden="0" customHeight="1">
      <x:c r="A2730" s="31" t="str">
        <x:v>Anjoman accounting - refined.xlsx</x:v>
      </x:c>
      <x:c r="B2730" s="31" t="str">
        <x:v>خام_دفتر_قبلی</x:v>
      </x:c>
      <x:c r="C2730" s="31" t="str">
        <x:v>E28</x:v>
      </x:c>
      <x:c r="D2730" s="31" t="str">
        <x:v>1310000</x:v>
      </x:c>
      <x:c r="E2730" s="31"/>
    </x:row>
    <x:row r="2731" ht="15" hidden="0" customHeight="1">
      <x:c r="A2731" s="31" t="str">
        <x:v>Anjoman accounting - refined.xlsx</x:v>
      </x:c>
      <x:c r="B2731" s="31" t="str">
        <x:v>خام_دفتر_قبلی</x:v>
      </x:c>
      <x:c r="C2731" s="31" t="str">
        <x:v>F28</x:v>
      </x:c>
      <x:c r="D2731" s="31" t="str">
        <x:v>راحله مختاری</x:v>
      </x:c>
      <x:c r="E2731" s="31"/>
    </x:row>
    <x:row r="2732" ht="15" hidden="0" customHeight="1">
      <x:c r="A2732" s="31" t="str">
        <x:v>Anjoman accounting - refined.xlsx</x:v>
      </x:c>
      <x:c r="B2732" s="31" t="str">
        <x:v>خام_دفتر_قبلی</x:v>
      </x:c>
      <x:c r="C2732" s="31" t="str">
        <x:v>G28</x:v>
      </x:c>
      <x:c r="D2732" s="31" t="str">
        <x:v>تزئینات جشن ورودی</x:v>
      </x:c>
      <x:c r="E2732" s="31"/>
    </x:row>
    <x:row r="2733" ht="15" hidden="0" customHeight="1">
      <x:c r="A2733" s="31" t="str">
        <x:v>Anjoman accounting - refined.xlsx</x:v>
      </x:c>
      <x:c r="B2733" s="31" t="str">
        <x:v>خام_دفتر_قبلی</x:v>
      </x:c>
      <x:c r="C2733" s="31" t="str">
        <x:v>K28</x:v>
      </x:c>
      <x:c r="D2733" s="31" t="str">
        <x:v>1310000</x:v>
      </x:c>
      <x:c r="E2733" s="31"/>
    </x:row>
    <x:row r="2734" ht="15" hidden="0" customHeight="1">
      <x:c r="A2734" s="31" t="str">
        <x:v>Anjoman accounting - refined.xlsx</x:v>
      </x:c>
      <x:c r="B2734" s="31" t="str">
        <x:v>خام_دفتر_قبلی</x:v>
      </x:c>
      <x:c r="C2734" s="31" t="str">
        <x:v>L28</x:v>
      </x:c>
      <x:c r="D2734" s="31" t="str">
        <x:v>راحله مختاری</x:v>
      </x:c>
      <x:c r="E2734" s="31"/>
    </x:row>
    <x:row r="2735" ht="15" hidden="0" customHeight="1">
      <x:c r="A2735" s="31" t="str">
        <x:v>Anjoman accounting - refined.xlsx</x:v>
      </x:c>
      <x:c r="B2735" s="31" t="str">
        <x:v>خام_دفتر_قبلی</x:v>
      </x:c>
      <x:c r="C2735" s="31" t="str">
        <x:v>M28</x:v>
      </x:c>
      <x:c r="D2735" s="31" t="str">
        <x:v>تزئینات جشن ورودی</x:v>
      </x:c>
      <x:c r="E2735" s="31"/>
    </x:row>
    <x:row r="2736" ht="15" hidden="0" customHeight="1">
      <x:c r="A2736" s="31" t="str">
        <x:v>Anjoman accounting - refined.xlsx</x:v>
      </x:c>
      <x:c r="B2736" s="31" t="str">
        <x:v>خام_دفتر_قبلی</x:v>
      </x:c>
      <x:c r="C2736" s="31" t="str">
        <x:v>A29</x:v>
      </x:c>
      <x:c r="D2736" s="31" t="str">
        <x:v>28</x:v>
      </x:c>
      <x:c r="E2736" s="31"/>
    </x:row>
    <x:row r="2737" ht="15" hidden="0" customHeight="1">
      <x:c r="A2737" s="31" t="str">
        <x:v>Anjoman accounting - refined.xlsx</x:v>
      </x:c>
      <x:c r="B2737" s="31" t="str">
        <x:v>خام_دفتر_قبلی</x:v>
      </x:c>
      <x:c r="C2737" s="31" t="str">
        <x:v>E29</x:v>
      </x:c>
      <x:c r="D2737" s="31"/>
      <x:c r="E2737" s="31" t="str">
        <x:v>=1444000+1500000+1400000</x:v>
      </x:c>
    </x:row>
    <x:row r="2738" ht="15" hidden="0" customHeight="1">
      <x:c r="A2738" s="31" t="str">
        <x:v>Anjoman accounting - refined.xlsx</x:v>
      </x:c>
      <x:c r="B2738" s="31" t="str">
        <x:v>خام_دفتر_قبلی</x:v>
      </x:c>
      <x:c r="C2738" s="31" t="str">
        <x:v>G29</x:v>
      </x:c>
      <x:c r="D2738" s="31" t="str">
        <x:v>جایزه های جشن ورودی</x:v>
      </x:c>
      <x:c r="E2738" s="31"/>
    </x:row>
    <x:row r="2739" ht="15" hidden="0" customHeight="1">
      <x:c r="A2739" s="31" t="str">
        <x:v>Anjoman accounting - refined.xlsx</x:v>
      </x:c>
      <x:c r="B2739" s="31" t="str">
        <x:v>خام_دفتر_قبلی</x:v>
      </x:c>
      <x:c r="C2739" s="31" t="str">
        <x:v>K29</x:v>
      </x:c>
      <x:c r="D2739" s="31" t="str">
        <x:v>4344000</x:v>
      </x:c>
      <x:c r="E2739" s="31"/>
    </x:row>
    <x:row r="2740" ht="15" hidden="0" customHeight="1">
      <x:c r="A2740" s="31" t="str">
        <x:v>Anjoman accounting - refined.xlsx</x:v>
      </x:c>
      <x:c r="B2740" s="31" t="str">
        <x:v>خام_دفتر_قبلی</x:v>
      </x:c>
      <x:c r="C2740" s="31" t="str">
        <x:v>M29</x:v>
      </x:c>
      <x:c r="D2740" s="31" t="str">
        <x:v>جایزه های جشن ورودی</x:v>
      </x:c>
      <x:c r="E2740" s="31"/>
    </x:row>
    <x:row r="2741" ht="15" hidden="0" customHeight="1">
      <x:c r="A2741" s="31" t="str">
        <x:v>Anjoman accounting - refined.xlsx</x:v>
      </x:c>
      <x:c r="B2741" s="31" t="str">
        <x:v>خام_دفتر_قبلی</x:v>
      </x:c>
      <x:c r="C2741" s="31" t="str">
        <x:v>A30</x:v>
      </x:c>
      <x:c r="D2741" s="31" t="str">
        <x:v>29</x:v>
      </x:c>
      <x:c r="E2741" s="31"/>
    </x:row>
    <x:row r="2742" ht="15" hidden="0" customHeight="1">
      <x:c r="A2742" s="31" t="str">
        <x:v>Anjoman accounting - refined.xlsx</x:v>
      </x:c>
      <x:c r="B2742" s="31" t="str">
        <x:v>خام_دفتر_قبلی</x:v>
      </x:c>
      <x:c r="C2742" s="31" t="str">
        <x:v>E30</x:v>
      </x:c>
      <x:c r="D2742" s="31" t="str">
        <x:v>300000</x:v>
      </x:c>
      <x:c r="E2742" s="31"/>
    </x:row>
    <x:row r="2743" ht="15" hidden="0" customHeight="1">
      <x:c r="A2743" s="31" t="str">
        <x:v>Anjoman accounting - refined.xlsx</x:v>
      </x:c>
      <x:c r="B2743" s="31" t="str">
        <x:v>خام_دفتر_قبلی</x:v>
      </x:c>
      <x:c r="C2743" s="31" t="str">
        <x:v>G30</x:v>
      </x:c>
      <x:c r="D2743" s="31" t="str">
        <x:v>شاباش نقدی برای جشن ورودی</x:v>
      </x:c>
      <x:c r="E2743" s="31"/>
    </x:row>
    <x:row r="2744" ht="15" hidden="0" customHeight="1">
      <x:c r="A2744" s="31" t="str">
        <x:v>Anjoman accounting - refined.xlsx</x:v>
      </x:c>
      <x:c r="B2744" s="31" t="str">
        <x:v>خام_دفتر_قبلی</x:v>
      </x:c>
      <x:c r="C2744" s="31" t="str">
        <x:v>K30</x:v>
      </x:c>
      <x:c r="D2744" s="31" t="str">
        <x:v>300000</x:v>
      </x:c>
      <x:c r="E2744" s="31"/>
    </x:row>
    <x:row r="2745" ht="15" hidden="0" customHeight="1">
      <x:c r="A2745" s="31" t="str">
        <x:v>Anjoman accounting - refined.xlsx</x:v>
      </x:c>
      <x:c r="B2745" s="31" t="str">
        <x:v>خام_دفتر_قبلی</x:v>
      </x:c>
      <x:c r="C2745" s="31" t="str">
        <x:v>M30</x:v>
      </x:c>
      <x:c r="D2745" s="31" t="str">
        <x:v>شاباش نقدی برای جشن ورودی</x:v>
      </x:c>
      <x:c r="E2745" s="31"/>
    </x:row>
    <x:row r="2746" ht="15" hidden="0" customHeight="1">
      <x:c r="A2746" s="31" t="str">
        <x:v>Anjoman accounting - refined.xlsx</x:v>
      </x:c>
      <x:c r="B2746" s="31" t="str">
        <x:v>خام_دفتر_قبلی</x:v>
      </x:c>
      <x:c r="C2746" s="31" t="str">
        <x:v>A31</x:v>
      </x:c>
      <x:c r="D2746" s="31" t="str">
        <x:v>30</x:v>
      </x:c>
      <x:c r="E2746" s="31"/>
    </x:row>
    <x:row r="2747" ht="15" hidden="0" customHeight="1">
      <x:c r="A2747" s="31" t="str">
        <x:v>Anjoman accounting - refined.xlsx</x:v>
      </x:c>
      <x:c r="B2747" s="31" t="str">
        <x:v>خام_دفتر_قبلی</x:v>
      </x:c>
      <x:c r="C2747" s="31" t="str">
        <x:v>E31</x:v>
      </x:c>
      <x:c r="D2747" s="31" t="str">
        <x:v>70000</x:v>
      </x:c>
      <x:c r="E2747" s="31"/>
    </x:row>
    <x:row r="2748" ht="15" hidden="0" customHeight="1">
      <x:c r="A2748" s="31" t="str">
        <x:v>Anjoman accounting - refined.xlsx</x:v>
      </x:c>
      <x:c r="B2748" s="31" t="str">
        <x:v>خام_دفتر_قبلی</x:v>
      </x:c>
      <x:c r="C2748" s="31" t="str">
        <x:v>G31</x:v>
      </x:c>
      <x:c r="D2748" s="31" t="str">
        <x:v>دستمال برای اتاق انجمن</x:v>
      </x:c>
      <x:c r="E2748" s="31"/>
    </x:row>
    <x:row r="2749" ht="15" hidden="0" customHeight="1">
      <x:c r="A2749" s="31" t="str">
        <x:v>Anjoman accounting - refined.xlsx</x:v>
      </x:c>
      <x:c r="B2749" s="31" t="str">
        <x:v>خام_دفتر_قبلی</x:v>
      </x:c>
      <x:c r="C2749" s="31" t="str">
        <x:v>K31</x:v>
      </x:c>
      <x:c r="D2749" s="31" t="str">
        <x:v>70000</x:v>
      </x:c>
      <x:c r="E2749" s="31"/>
    </x:row>
    <x:row r="2750" ht="15" hidden="0" customHeight="1">
      <x:c r="A2750" s="31" t="str">
        <x:v>Anjoman accounting - refined.xlsx</x:v>
      </x:c>
      <x:c r="B2750" s="31" t="str">
        <x:v>خام_دفتر_قبلی</x:v>
      </x:c>
      <x:c r="C2750" s="31" t="str">
        <x:v>M31</x:v>
      </x:c>
      <x:c r="D2750" s="31" t="str">
        <x:v>دستمال برای اتاق انجمن</x:v>
      </x:c>
      <x:c r="E2750" s="31"/>
    </x:row>
    <x:row r="2751" ht="15" hidden="0" customHeight="1">
      <x:c r="A2751" s="31" t="str">
        <x:v>Anjoman accounting - refined.xlsx</x:v>
      </x:c>
      <x:c r="B2751" s="31" t="str">
        <x:v>خام_دفتر_قبلی</x:v>
      </x:c>
      <x:c r="C2751" s="31" t="str">
        <x:v>A32</x:v>
      </x:c>
      <x:c r="D2751" s="31" t="str">
        <x:v>31</x:v>
      </x:c>
      <x:c r="E2751" s="31"/>
    </x:row>
    <x:row r="2752" ht="15" hidden="0" customHeight="1">
      <x:c r="A2752" s="31" t="str">
        <x:v>Anjoman accounting - refined.xlsx</x:v>
      </x:c>
      <x:c r="B2752" s="31" t="str">
        <x:v>خام_دفتر_قبلی</x:v>
      </x:c>
      <x:c r="C2752" s="31" t="str">
        <x:v>E32</x:v>
      </x:c>
      <x:c r="D2752" s="31" t="str">
        <x:v>310000</x:v>
      </x:c>
      <x:c r="E2752" s="31"/>
    </x:row>
    <x:row r="2753" ht="15" hidden="0" customHeight="1">
      <x:c r="A2753" s="31" t="str">
        <x:v>Anjoman accounting - refined.xlsx</x:v>
      </x:c>
      <x:c r="B2753" s="31" t="str">
        <x:v>خام_دفتر_قبلی</x:v>
      </x:c>
      <x:c r="C2753" s="31" t="str">
        <x:v>G32</x:v>
      </x:c>
      <x:c r="D2753" s="31" t="str">
        <x:v>خرید اتصالات پروژکتور انجمن</x:v>
      </x:c>
      <x:c r="E2753" s="31"/>
    </x:row>
    <x:row r="2754" ht="15" hidden="0" customHeight="1">
      <x:c r="A2754" s="31" t="str">
        <x:v>Anjoman accounting - refined.xlsx</x:v>
      </x:c>
      <x:c r="B2754" s="31" t="str">
        <x:v>خام_دفتر_قبلی</x:v>
      </x:c>
      <x:c r="C2754" s="31" t="str">
        <x:v>K32</x:v>
      </x:c>
      <x:c r="D2754" s="31" t="str">
        <x:v>310000</x:v>
      </x:c>
      <x:c r="E2754" s="31"/>
    </x:row>
    <x:row r="2755" ht="15" hidden="0" customHeight="1">
      <x:c r="A2755" s="31" t="str">
        <x:v>Anjoman accounting - refined.xlsx</x:v>
      </x:c>
      <x:c r="B2755" s="31" t="str">
        <x:v>خام_دفتر_قبلی</x:v>
      </x:c>
      <x:c r="C2755" s="31" t="str">
        <x:v>M32</x:v>
      </x:c>
      <x:c r="D2755" s="31" t="str">
        <x:v>خرید اتصالات پروژکتور انجمن</x:v>
      </x:c>
      <x:c r="E2755" s="31"/>
    </x:row>
    <x:row r="2756" ht="15" hidden="0" customHeight="1">
      <x:c r="A2756" s="31" t="str">
        <x:v>Anjoman accounting - refined.xlsx</x:v>
      </x:c>
      <x:c r="B2756" s="31" t="str">
        <x:v>خام_دفتر_قبلی</x:v>
      </x:c>
      <x:c r="C2756" s="31" t="str">
        <x:v>A33</x:v>
      </x:c>
      <x:c r="D2756" s="31" t="str">
        <x:v>32</x:v>
      </x:c>
      <x:c r="E2756" s="31"/>
    </x:row>
    <x:row r="2757" ht="15" hidden="0" customHeight="1">
      <x:c r="A2757" s="31" t="str">
        <x:v>Anjoman accounting - refined.xlsx</x:v>
      </x:c>
      <x:c r="B2757" s="31" t="str">
        <x:v>خام_دفتر_قبلی</x:v>
      </x:c>
      <x:c r="C2757" s="31" t="str">
        <x:v>E33</x:v>
      </x:c>
      <x:c r="D2757" s="31" t="str">
        <x:v>1760000</x:v>
      </x:c>
      <x:c r="E2757" s="31"/>
    </x:row>
    <x:row r="2758" ht="15" hidden="0" customHeight="1">
      <x:c r="A2758" s="31" t="str">
        <x:v>Anjoman accounting - refined.xlsx</x:v>
      </x:c>
      <x:c r="B2758" s="31" t="str">
        <x:v>خام_دفتر_قبلی</x:v>
      </x:c>
      <x:c r="C2758" s="31" t="str">
        <x:v>G33</x:v>
      </x:c>
      <x:c r="D2758" s="31" t="str">
        <x:v>خرید حفاظ برق و ابزار برای اتصال پروژکتور در غرفه ها</x:v>
      </x:c>
      <x:c r="E2758" s="31"/>
    </x:row>
    <x:row r="2759" ht="15" hidden="0" customHeight="1">
      <x:c r="A2759" s="31" t="str">
        <x:v>Anjoman accounting - refined.xlsx</x:v>
      </x:c>
      <x:c r="B2759" s="31" t="str">
        <x:v>خام_دفتر_قبلی</x:v>
      </x:c>
      <x:c r="C2759" s="31" t="str">
        <x:v>K33</x:v>
      </x:c>
      <x:c r="D2759" s="31" t="str">
        <x:v>1760000</x:v>
      </x:c>
      <x:c r="E2759" s="31"/>
    </x:row>
    <x:row r="2760" ht="15" hidden="0" customHeight="1">
      <x:c r="A2760" s="31" t="str">
        <x:v>Anjoman accounting - refined.xlsx</x:v>
      </x:c>
      <x:c r="B2760" s="31" t="str">
        <x:v>خام_دفتر_قبلی</x:v>
      </x:c>
      <x:c r="C2760" s="31" t="str">
        <x:v>M33</x:v>
      </x:c>
      <x:c r="D2760" s="31" t="str">
        <x:v>خرید حفاظ برق و ابزار برای اتصال پروژکتور در غرفه ها</x:v>
      </x:c>
      <x:c r="E2760" s="31"/>
    </x:row>
    <x:row r="2761" ht="15" hidden="0" customHeight="1">
      <x:c r="A2761" s="31" t="str">
        <x:v>Anjoman accounting - refined.xlsx</x:v>
      </x:c>
      <x:c r="B2761" s="31" t="str">
        <x:v>خام_دفتر_قبلی</x:v>
      </x:c>
      <x:c r="C2761" s="31" t="str">
        <x:v>A34</x:v>
      </x:c>
      <x:c r="D2761" s="31" t="str">
        <x:v>33</x:v>
      </x:c>
      <x:c r="E2761" s="31"/>
    </x:row>
    <x:row r="2762" ht="15" hidden="0" customHeight="1">
      <x:c r="A2762" s="31" t="str">
        <x:v>Anjoman accounting - refined.xlsx</x:v>
      </x:c>
      <x:c r="B2762" s="31" t="str">
        <x:v>خام_دفتر_قبلی</x:v>
      </x:c>
      <x:c r="C2762" s="31" t="str">
        <x:v>E34</x:v>
      </x:c>
      <x:c r="D2762" s="31" t="str">
        <x:v>230000</x:v>
      </x:c>
      <x:c r="E2762" s="31"/>
    </x:row>
    <x:row r="2763" ht="15" hidden="0" customHeight="1">
      <x:c r="A2763" s="31" t="str">
        <x:v>Anjoman accounting - refined.xlsx</x:v>
      </x:c>
      <x:c r="B2763" s="31" t="str">
        <x:v>خام_دفتر_قبلی</x:v>
      </x:c>
      <x:c r="C2763" s="31" t="str">
        <x:v>G34</x:v>
      </x:c>
      <x:c r="D2763" s="31" t="str">
        <x:v>پذیرایی غرفه انجمن</x:v>
      </x:c>
      <x:c r="E2763" s="31"/>
    </x:row>
    <x:row r="2764" ht="15" hidden="0" customHeight="1">
      <x:c r="A2764" s="31" t="str">
        <x:v>Anjoman accounting - refined.xlsx</x:v>
      </x:c>
      <x:c r="B2764" s="31" t="str">
        <x:v>خام_دفتر_قبلی</x:v>
      </x:c>
      <x:c r="C2764" s="31" t="str">
        <x:v>K34</x:v>
      </x:c>
      <x:c r="D2764" s="31" t="str">
        <x:v>230000</x:v>
      </x:c>
      <x:c r="E2764" s="31"/>
    </x:row>
    <x:row r="2765" ht="15" hidden="0" customHeight="1">
      <x:c r="A2765" s="31" t="str">
        <x:v>Anjoman accounting - refined.xlsx</x:v>
      </x:c>
      <x:c r="B2765" s="31" t="str">
        <x:v>خام_دفتر_قبلی</x:v>
      </x:c>
      <x:c r="C2765" s="31" t="str">
        <x:v>M34</x:v>
      </x:c>
      <x:c r="D2765" s="31" t="str">
        <x:v>پذیرایی غرفه انجمن</x:v>
      </x:c>
      <x:c r="E2765" s="31"/>
    </x:row>
    <x:row r="2766" ht="15" hidden="0" customHeight="1">
      <x:c r="A2766" s="31" t="str">
        <x:v>Anjoman accounting - refined.xlsx</x:v>
      </x:c>
      <x:c r="B2766" s="31" t="str">
        <x:v>خام_دفتر_قبلی</x:v>
      </x:c>
      <x:c r="C2766" s="31" t="str">
        <x:v>A35</x:v>
      </x:c>
      <x:c r="D2766" s="31" t="str">
        <x:v>34</x:v>
      </x:c>
      <x:c r="E2766" s="31"/>
    </x:row>
    <x:row r="2767" ht="15" hidden="0" customHeight="1">
      <x:c r="A2767" s="31" t="str">
        <x:v>Anjoman accounting - refined.xlsx</x:v>
      </x:c>
      <x:c r="B2767" s="31" t="str">
        <x:v>خام_دفتر_قبلی</x:v>
      </x:c>
      <x:c r="C2767" s="31" t="str">
        <x:v>E35</x:v>
      </x:c>
      <x:c r="D2767" s="31" t="str">
        <x:v>1226100</x:v>
      </x:c>
      <x:c r="E2767" s="31"/>
    </x:row>
    <x:row r="2768" ht="15" hidden="0" customHeight="1">
      <x:c r="A2768" s="31" t="str">
        <x:v>Anjoman accounting - refined.xlsx</x:v>
      </x:c>
      <x:c r="B2768" s="31" t="str">
        <x:v>خام_دفتر_قبلی</x:v>
      </x:c>
      <x:c r="C2768" s="31" t="str">
        <x:v>G35</x:v>
      </x:c>
      <x:c r="D2768" s="31" t="str">
        <x:v>خرید دارو برای کمک های اولیه در انجمن</x:v>
      </x:c>
      <x:c r="E2768" s="31"/>
    </x:row>
    <x:row r="2769" ht="15" hidden="0" customHeight="1">
      <x:c r="A2769" s="31" t="str">
        <x:v>Anjoman accounting - refined.xlsx</x:v>
      </x:c>
      <x:c r="B2769" s="31" t="str">
        <x:v>خام_دفتر_قبلی</x:v>
      </x:c>
      <x:c r="C2769" s="31" t="str">
        <x:v>K35</x:v>
      </x:c>
      <x:c r="D2769" s="31" t="str">
        <x:v>1226100</x:v>
      </x:c>
      <x:c r="E2769" s="31"/>
    </x:row>
    <x:row r="2770" ht="15" hidden="0" customHeight="1">
      <x:c r="A2770" s="31" t="str">
        <x:v>Anjoman accounting - refined.xlsx</x:v>
      </x:c>
      <x:c r="B2770" s="31" t="str">
        <x:v>خام_دفتر_قبلی</x:v>
      </x:c>
      <x:c r="C2770" s="31" t="str">
        <x:v>M35</x:v>
      </x:c>
      <x:c r="D2770" s="31" t="str">
        <x:v>خرید دارو برای کمک های اولیه در انجمن</x:v>
      </x:c>
      <x:c r="E2770" s="31"/>
    </x:row>
    <x:row r="2771" ht="15" hidden="0" customHeight="1">
      <x:c r="A2771" s="31" t="str">
        <x:v>Anjoman accounting - refined.xlsx</x:v>
      </x:c>
      <x:c r="B2771" s="31" t="str">
        <x:v>خام_دفتر_قبلی</x:v>
      </x:c>
      <x:c r="C2771" s="31" t="str">
        <x:v>A36</x:v>
      </x:c>
      <x:c r="D2771" s="31" t="str">
        <x:v>35</x:v>
      </x:c>
      <x:c r="E2771" s="31"/>
    </x:row>
    <x:row r="2772" ht="15" hidden="0" customHeight="1">
      <x:c r="A2772" s="31" t="str">
        <x:v>Anjoman accounting - refined.xlsx</x:v>
      </x:c>
      <x:c r="B2772" s="31" t="str">
        <x:v>خام_دفتر_قبلی</x:v>
      </x:c>
      <x:c r="C2772" s="31" t="str">
        <x:v>E36</x:v>
      </x:c>
      <x:c r="D2772" s="31" t="str">
        <x:v>2300</x:v>
      </x:c>
      <x:c r="E2772" s="31"/>
    </x:row>
    <x:row r="2773" ht="15" hidden="0" customHeight="1">
      <x:c r="A2773" s="31" t="str">
        <x:v>Anjoman accounting - refined.xlsx</x:v>
      </x:c>
      <x:c r="B2773" s="31" t="str">
        <x:v>خام_دفتر_قبلی</x:v>
      </x:c>
      <x:c r="C2773" s="31" t="str">
        <x:v>G36</x:v>
      </x:c>
      <x:c r="D2773" s="31" t="str">
        <x:v>چاپ قوانین اتاق انجمن</x:v>
      </x:c>
      <x:c r="E2773" s="31"/>
    </x:row>
    <x:row r="2774" ht="15" hidden="0" customHeight="1">
      <x:c r="A2774" s="31" t="str">
        <x:v>Anjoman accounting - refined.xlsx</x:v>
      </x:c>
      <x:c r="B2774" s="31" t="str">
        <x:v>خام_دفتر_قبلی</x:v>
      </x:c>
      <x:c r="C2774" s="31" t="str">
        <x:v>K36</x:v>
      </x:c>
      <x:c r="D2774" s="31" t="str">
        <x:v>2300</x:v>
      </x:c>
      <x:c r="E2774" s="31"/>
    </x:row>
    <x:row r="2775" ht="15" hidden="0" customHeight="1">
      <x:c r="A2775" s="31" t="str">
        <x:v>Anjoman accounting - refined.xlsx</x:v>
      </x:c>
      <x:c r="B2775" s="31" t="str">
        <x:v>خام_دفتر_قبلی</x:v>
      </x:c>
      <x:c r="C2775" s="31" t="str">
        <x:v>M36</x:v>
      </x:c>
      <x:c r="D2775" s="31" t="str">
        <x:v>چاپ قوانین اتاق انجمن</x:v>
      </x:c>
      <x:c r="E2775" s="31"/>
    </x:row>
    <x:row r="2776" ht="15" hidden="0" customHeight="1">
      <x:c r="A2776" s="31" t="str">
        <x:v>Anjoman accounting - refined.xlsx</x:v>
      </x:c>
      <x:c r="B2776" s="31" t="str">
        <x:v>خام_دفتر_قبلی</x:v>
      </x:c>
      <x:c r="C2776" s="31" t="str">
        <x:v>A37</x:v>
      </x:c>
      <x:c r="D2776" s="31" t="str">
        <x:v>36</x:v>
      </x:c>
      <x:c r="E2776" s="31"/>
    </x:row>
    <x:row r="2777" ht="15" hidden="0" customHeight="1">
      <x:c r="A2777" s="31" t="str">
        <x:v>Anjoman accounting - refined.xlsx</x:v>
      </x:c>
      <x:c r="B2777" s="31" t="str">
        <x:v>خام_دفتر_قبلی</x:v>
      </x:c>
      <x:c r="C2777" s="31" t="str">
        <x:v>E37</x:v>
      </x:c>
      <x:c r="D2777" s="31" t="str">
        <x:v>1300</x:v>
      </x:c>
      <x:c r="E2777" s="31"/>
    </x:row>
    <x:row r="2778" ht="15" hidden="0" customHeight="1">
      <x:c r="A2778" s="31" t="str">
        <x:v>Anjoman accounting - refined.xlsx</x:v>
      </x:c>
      <x:c r="B2778" s="31" t="str">
        <x:v>خام_دفتر_قبلی</x:v>
      </x:c>
      <x:c r="C2778" s="31" t="str">
        <x:v>G37</x:v>
      </x:c>
      <x:c r="D2778" s="31" t="str">
        <x:v>چاپ قوانین اتاق انجمن</x:v>
      </x:c>
      <x:c r="E2778" s="31"/>
    </x:row>
    <x:row r="2779" ht="15" hidden="0" customHeight="1">
      <x:c r="A2779" s="31" t="str">
        <x:v>Anjoman accounting - refined.xlsx</x:v>
      </x:c>
      <x:c r="B2779" s="31" t="str">
        <x:v>خام_دفتر_قبلی</x:v>
      </x:c>
      <x:c r="C2779" s="31" t="str">
        <x:v>K37</x:v>
      </x:c>
      <x:c r="D2779" s="31" t="str">
        <x:v>1300</x:v>
      </x:c>
      <x:c r="E2779" s="31"/>
    </x:row>
    <x:row r="2780" ht="15" hidden="0" customHeight="1">
      <x:c r="A2780" s="31" t="str">
        <x:v>Anjoman accounting - refined.xlsx</x:v>
      </x:c>
      <x:c r="B2780" s="31" t="str">
        <x:v>خام_دفتر_قبلی</x:v>
      </x:c>
      <x:c r="C2780" s="31" t="str">
        <x:v>M37</x:v>
      </x:c>
      <x:c r="D2780" s="31" t="str">
        <x:v>چاپ قوانین اتاق انجمن</x:v>
      </x:c>
      <x:c r="E2780" s="31"/>
    </x:row>
    <x:row r="2781" ht="15" hidden="0" customHeight="1">
      <x:c r="A2781" s="31" t="str">
        <x:v>Anjoman accounting - refined.xlsx</x:v>
      </x:c>
      <x:c r="B2781" s="31" t="str">
        <x:v>خام_دفتر_قبلی</x:v>
      </x:c>
      <x:c r="C2781" s="31" t="str">
        <x:v>A38</x:v>
      </x:c>
      <x:c r="D2781" s="31" t="str">
        <x:v>37</x:v>
      </x:c>
      <x:c r="E2781" s="31"/>
    </x:row>
    <x:row r="2782" ht="15" hidden="0" customHeight="1">
      <x:c r="A2782" s="31" t="str">
        <x:v>Anjoman accounting - refined.xlsx</x:v>
      </x:c>
      <x:c r="B2782" s="31" t="str">
        <x:v>خام_دفتر_قبلی</x:v>
      </x:c>
      <x:c r="C2782" s="31" t="str">
        <x:v>D38</x:v>
      </x:c>
      <x:c r="D2782" s="31" t="str">
        <x:v>آذر</x:v>
      </x:c>
      <x:c r="E2782" s="31"/>
    </x:row>
    <x:row r="2783" ht="15" hidden="0" customHeight="1">
      <x:c r="A2783" s="31" t="str">
        <x:v>Anjoman accounting - refined.xlsx</x:v>
      </x:c>
      <x:c r="B2783" s="31" t="str">
        <x:v>خام_دفتر_قبلی</x:v>
      </x:c>
      <x:c r="C2783" s="31" t="str">
        <x:v>J38</x:v>
      </x:c>
      <x:c r="D2783" s="31" t="str">
        <x:v>آذر</x:v>
      </x:c>
      <x:c r="E2783" s="31"/>
    </x:row>
    <x:row r="2784" ht="15" hidden="0" customHeight="1">
      <x:c r="A2784" s="31" t="str">
        <x:v>Anjoman accounting - refined.xlsx</x:v>
      </x:c>
      <x:c r="B2784" s="31" t="str">
        <x:v>خام_دفتر_قبلی</x:v>
      </x:c>
      <x:c r="C2784" s="31" t="str">
        <x:v>A39</x:v>
      </x:c>
      <x:c r="D2784" s="31" t="str">
        <x:v>38</x:v>
      </x:c>
      <x:c r="E2784" s="31"/>
    </x:row>
    <x:row r="2785" ht="15" hidden="0" customHeight="1">
      <x:c r="A2785" s="31" t="str">
        <x:v>Anjoman accounting - refined.xlsx</x:v>
      </x:c>
      <x:c r="B2785" s="31" t="str">
        <x:v>خام_دفتر_قبلی</x:v>
      </x:c>
      <x:c r="C2785" s="31" t="str">
        <x:v>B39</x:v>
      </x:c>
      <x:c r="D2785" s="31" t="str">
        <x:v>واریزی دکتر مقیمی جهت کمک به انجمن</x:v>
      </x:c>
      <x:c r="E2785" s="31"/>
    </x:row>
    <x:row r="2786" ht="15" hidden="0" customHeight="1">
      <x:c r="A2786" s="31" t="str">
        <x:v>Anjoman accounting - refined.xlsx</x:v>
      </x:c>
      <x:c r="B2786" s="31" t="str">
        <x:v>خام_دفتر_قبلی</x:v>
      </x:c>
      <x:c r="C2786" s="31" t="str">
        <x:v>C39</x:v>
      </x:c>
      <x:c r="D2786" s="31" t="str">
        <x:v>10000000</x:v>
      </x:c>
      <x:c r="E2786" s="31"/>
    </x:row>
    <x:row r="2787" ht="15" hidden="0" customHeight="1">
      <x:c r="A2787" s="31" t="str">
        <x:v>Anjoman accounting - refined.xlsx</x:v>
      </x:c>
      <x:c r="B2787" s="31" t="str">
        <x:v>خام_دفتر_قبلی</x:v>
      </x:c>
      <x:c r="C2787" s="31" t="str">
        <x:v>H39</x:v>
      </x:c>
      <x:c r="D2787" s="31" t="str">
        <x:v>واریزی دکتر مقیمی جهت کمک به انجمن</x:v>
      </x:c>
      <x:c r="E2787" s="31"/>
    </x:row>
    <x:row r="2788" ht="15" hidden="0" customHeight="1">
      <x:c r="A2788" s="31" t="str">
        <x:v>Anjoman accounting - refined.xlsx</x:v>
      </x:c>
      <x:c r="B2788" s="31" t="str">
        <x:v>خام_دفتر_قبلی</x:v>
      </x:c>
      <x:c r="C2788" s="31" t="str">
        <x:v>I39</x:v>
      </x:c>
      <x:c r="D2788" s="31" t="str">
        <x:v>10000000</x:v>
      </x:c>
      <x:c r="E2788" s="31"/>
    </x:row>
    <x:row r="2789" ht="15" hidden="0" customHeight="1">
      <x:c r="A2789" s="31" t="str">
        <x:v>Anjoman accounting - refined.xlsx</x:v>
      </x:c>
      <x:c r="B2789" s="31" t="str">
        <x:v>خام_دفتر_قبلی</x:v>
      </x:c>
      <x:c r="C2789" s="31" t="str">
        <x:v>A40</x:v>
      </x:c>
      <x:c r="D2789" s="31" t="str">
        <x:v>39</x:v>
      </x:c>
      <x:c r="E2789" s="31"/>
    </x:row>
    <x:row r="2790" ht="15" hidden="0" customHeight="1">
      <x:c r="A2790" s="31" t="str">
        <x:v>Anjoman accounting - refined.xlsx</x:v>
      </x:c>
      <x:c r="B2790" s="31" t="str">
        <x:v>خام_دفتر_قبلی</x:v>
      </x:c>
      <x:c r="C2790" s="31" t="str">
        <x:v>B40</x:v>
      </x:c>
      <x:c r="D2790" s="31" t="str">
        <x:v>واریزی دکتر مقیمی جهت کمک به انجمن</x:v>
      </x:c>
      <x:c r="E2790" s="31"/>
    </x:row>
    <x:row r="2791" ht="15" hidden="0" customHeight="1">
      <x:c r="A2791" s="31" t="str">
        <x:v>Anjoman accounting - refined.xlsx</x:v>
      </x:c>
      <x:c r="B2791" s="31" t="str">
        <x:v>خام_دفتر_قبلی</x:v>
      </x:c>
      <x:c r="C2791" s="31" t="str">
        <x:v>C40</x:v>
      </x:c>
      <x:c r="D2791" s="31" t="str">
        <x:v>7000000</x:v>
      </x:c>
      <x:c r="E2791" s="31"/>
    </x:row>
    <x:row r="2792" ht="15" hidden="0" customHeight="1">
      <x:c r="A2792" s="31" t="str">
        <x:v>Anjoman accounting - refined.xlsx</x:v>
      </x:c>
      <x:c r="B2792" s="31" t="str">
        <x:v>خام_دفتر_قبلی</x:v>
      </x:c>
      <x:c r="C2792" s="31" t="str">
        <x:v>H40</x:v>
      </x:c>
      <x:c r="D2792" s="31" t="str">
        <x:v>واریزی دکتر مقیمی جهت کمک به انجمن</x:v>
      </x:c>
      <x:c r="E2792" s="31"/>
    </x:row>
    <x:row r="2793" ht="15" hidden="0" customHeight="1">
      <x:c r="A2793" s="31" t="str">
        <x:v>Anjoman accounting - refined.xlsx</x:v>
      </x:c>
      <x:c r="B2793" s="31" t="str">
        <x:v>خام_دفتر_قبلی</x:v>
      </x:c>
      <x:c r="C2793" s="31" t="str">
        <x:v>I40</x:v>
      </x:c>
      <x:c r="D2793" s="31" t="str">
        <x:v>7000000</x:v>
      </x:c>
      <x:c r="E2793" s="31"/>
    </x:row>
    <x:row r="2794" ht="15" hidden="0" customHeight="1">
      <x:c r="A2794" s="31" t="str">
        <x:v>Anjoman accounting - refined.xlsx</x:v>
      </x:c>
      <x:c r="B2794" s="31" t="str">
        <x:v>خام_دفتر_قبلی</x:v>
      </x:c>
      <x:c r="C2794" s="31" t="str">
        <x:v>A41</x:v>
      </x:c>
      <x:c r="D2794" s="31" t="str">
        <x:v>40</x:v>
      </x:c>
      <x:c r="E2794" s="31"/>
    </x:row>
    <x:row r="2795" ht="15" hidden="0" customHeight="1">
      <x:c r="A2795" s="31" t="str">
        <x:v>Anjoman accounting - refined.xlsx</x:v>
      </x:c>
      <x:c r="B2795" s="31" t="str">
        <x:v>خام_دفتر_قبلی</x:v>
      </x:c>
      <x:c r="C2795" s="31" t="str">
        <x:v>B41</x:v>
      </x:c>
      <x:c r="D2795" s="31" t="str">
        <x:v>واریزی دکتر مقیمی جهت کمک به انجمن</x:v>
      </x:c>
      <x:c r="E2795" s="31"/>
    </x:row>
    <x:row r="2796" ht="15" hidden="0" customHeight="1">
      <x:c r="A2796" s="31" t="str">
        <x:v>Anjoman accounting - refined.xlsx</x:v>
      </x:c>
      <x:c r="B2796" s="31" t="str">
        <x:v>خام_دفتر_قبلی</x:v>
      </x:c>
      <x:c r="C2796" s="31" t="str">
        <x:v>C41</x:v>
      </x:c>
      <x:c r="D2796" s="31" t="str">
        <x:v>6000000</x:v>
      </x:c>
      <x:c r="E2796" s="31"/>
    </x:row>
    <x:row r="2797" ht="15" hidden="0" customHeight="1">
      <x:c r="A2797" s="31" t="str">
        <x:v>Anjoman accounting - refined.xlsx</x:v>
      </x:c>
      <x:c r="B2797" s="31" t="str">
        <x:v>خام_دفتر_قبلی</x:v>
      </x:c>
      <x:c r="C2797" s="31" t="str">
        <x:v>H41</x:v>
      </x:c>
      <x:c r="D2797" s="31" t="str">
        <x:v>واریزی دکتر مقیمی جهت کمک به انجمن</x:v>
      </x:c>
      <x:c r="E2797" s="31"/>
    </x:row>
    <x:row r="2798" ht="15" hidden="0" customHeight="1">
      <x:c r="A2798" s="31" t="str">
        <x:v>Anjoman accounting - refined.xlsx</x:v>
      </x:c>
      <x:c r="B2798" s="31" t="str">
        <x:v>خام_دفتر_قبلی</x:v>
      </x:c>
      <x:c r="C2798" s="31" t="str">
        <x:v>I41</x:v>
      </x:c>
      <x:c r="D2798" s="31" t="str">
        <x:v>6000000</x:v>
      </x:c>
      <x:c r="E2798" s="31"/>
    </x:row>
    <x:row r="2799" ht="15" hidden="0" customHeight="1">
      <x:c r="A2799" s="31" t="str">
        <x:v>Anjoman accounting - refined.xlsx</x:v>
      </x:c>
      <x:c r="B2799" s="31" t="str">
        <x:v>خام_دفتر_قبلی</x:v>
      </x:c>
      <x:c r="C2799" s="31" t="str">
        <x:v>A42</x:v>
      </x:c>
      <x:c r="D2799" s="31" t="str">
        <x:v>41</x:v>
      </x:c>
      <x:c r="E2799" s="31"/>
    </x:row>
    <x:row r="2800" ht="15" hidden="0" customHeight="1">
      <x:c r="A2800" s="31" t="str">
        <x:v>Anjoman accounting - refined.xlsx</x:v>
      </x:c>
      <x:c r="B2800" s="31" t="str">
        <x:v>خام_دفتر_قبلی</x:v>
      </x:c>
      <x:c r="C2800" s="31" t="str">
        <x:v>D42</x:v>
      </x:c>
      <x:c r="D2800" s="31" t="str">
        <x:v>دی</x:v>
      </x:c>
      <x:c r="E2800" s="31"/>
    </x:row>
    <x:row r="2801" ht="15" hidden="0" customHeight="1">
      <x:c r="A2801" s="31" t="str">
        <x:v>Anjoman accounting - refined.xlsx</x:v>
      </x:c>
      <x:c r="B2801" s="31" t="str">
        <x:v>خام_دفتر_قبلی</x:v>
      </x:c>
      <x:c r="C2801" s="31" t="str">
        <x:v>J42</x:v>
      </x:c>
      <x:c r="D2801" s="31" t="str">
        <x:v>دی</x:v>
      </x:c>
      <x:c r="E2801" s="31"/>
    </x:row>
    <x:row r="2802" ht="15" hidden="0" customHeight="1">
      <x:c r="A2802" s="31" t="str">
        <x:v>Anjoman accounting - refined.xlsx</x:v>
      </x:c>
      <x:c r="B2802" s="31" t="str">
        <x:v>خام_دفتر_قبلی</x:v>
      </x:c>
      <x:c r="C2802" s="31" t="str">
        <x:v>A43</x:v>
      </x:c>
      <x:c r="D2802" s="31" t="str">
        <x:v>42</x:v>
      </x:c>
      <x:c r="E2802" s="31"/>
    </x:row>
    <x:row r="2803" ht="15" hidden="0" customHeight="1">
      <x:c r="A2803" s="31" t="str">
        <x:v>Anjoman accounting - refined.xlsx</x:v>
      </x:c>
      <x:c r="B2803" s="31" t="str">
        <x:v>خام_دفتر_قبلی</x:v>
      </x:c>
      <x:c r="C2803" s="31" t="str">
        <x:v>B43</x:v>
      </x:c>
      <x:c r="D2803" s="31" t="str">
        <x:v>دونیشن برای جشن یلدا در حساب</x:v>
      </x:c>
      <x:c r="E2803" s="31"/>
    </x:row>
    <x:row r="2804" ht="15" hidden="0" customHeight="1">
      <x:c r="A2804" s="31" t="str">
        <x:v>Anjoman accounting - refined.xlsx</x:v>
      </x:c>
      <x:c r="B2804" s="31" t="str">
        <x:v>خام_دفتر_قبلی</x:v>
      </x:c>
      <x:c r="C2804" s="31" t="str">
        <x:v>C43</x:v>
      </x:c>
      <x:c r="D2804" s="31" t="str">
        <x:v>15790000</x:v>
      </x:c>
      <x:c r="E2804" s="31"/>
    </x:row>
    <x:row r="2805" ht="15" hidden="0" customHeight="1">
      <x:c r="A2805" s="31" t="str">
        <x:v>Anjoman accounting - refined.xlsx</x:v>
      </x:c>
      <x:c r="B2805" s="31" t="str">
        <x:v>خام_دفتر_قبلی</x:v>
      </x:c>
      <x:c r="C2805" s="31" t="str">
        <x:v>E43</x:v>
      </x:c>
      <x:c r="D2805" s="31" t="str">
        <x:v>2137000</x:v>
      </x:c>
      <x:c r="E2805" s="31"/>
    </x:row>
    <x:row r="2806" ht="15" hidden="0" customHeight="1">
      <x:c r="A2806" s="31" t="str">
        <x:v>Anjoman accounting - refined.xlsx</x:v>
      </x:c>
      <x:c r="B2806" s="31" t="str">
        <x:v>خام_دفتر_قبلی</x:v>
      </x:c>
      <x:c r="C2806" s="31" t="str">
        <x:v>G43</x:v>
      </x:c>
      <x:c r="D2806" s="31" t="str">
        <x:v>جایزه و پذیرایی جشن یلدا</x:v>
      </x:c>
      <x:c r="E2806" s="31"/>
    </x:row>
    <x:row r="2807" ht="15" hidden="0" customHeight="1">
      <x:c r="A2807" s="31" t="str">
        <x:v>Anjoman accounting - refined.xlsx</x:v>
      </x:c>
      <x:c r="B2807" s="31" t="str">
        <x:v>خام_دفتر_قبلی</x:v>
      </x:c>
      <x:c r="C2807" s="31" t="str">
        <x:v>H43</x:v>
      </x:c>
      <x:c r="D2807" s="31" t="str">
        <x:v>دونیشن برای جشن یلدا در حساب</x:v>
      </x:c>
      <x:c r="E2807" s="31"/>
    </x:row>
    <x:row r="2808" ht="15" hidden="0" customHeight="1">
      <x:c r="A2808" s="31" t="str">
        <x:v>Anjoman accounting - refined.xlsx</x:v>
      </x:c>
      <x:c r="B2808" s="31" t="str">
        <x:v>خام_دفتر_قبلی</x:v>
      </x:c>
      <x:c r="C2808" s="31" t="str">
        <x:v>I43</x:v>
      </x:c>
      <x:c r="D2808" s="31" t="str">
        <x:v>15790000</x:v>
      </x:c>
      <x:c r="E2808" s="31"/>
    </x:row>
    <x:row r="2809" ht="15" hidden="0" customHeight="1">
      <x:c r="A2809" s="31" t="str">
        <x:v>Anjoman accounting - refined.xlsx</x:v>
      </x:c>
      <x:c r="B2809" s="31" t="str">
        <x:v>خام_دفتر_قبلی</x:v>
      </x:c>
      <x:c r="C2809" s="31" t="str">
        <x:v>K43</x:v>
      </x:c>
      <x:c r="D2809" s="31" t="str">
        <x:v>2137000</x:v>
      </x:c>
      <x:c r="E2809" s="31"/>
    </x:row>
    <x:row r="2810" ht="15" hidden="0" customHeight="1">
      <x:c r="A2810" s="31" t="str">
        <x:v>Anjoman accounting - refined.xlsx</x:v>
      </x:c>
      <x:c r="B2810" s="31" t="str">
        <x:v>خام_دفتر_قبلی</x:v>
      </x:c>
      <x:c r="C2810" s="31" t="str">
        <x:v>M43</x:v>
      </x:c>
      <x:c r="D2810" s="31" t="str">
        <x:v>جایزه و پذیرایی جشن یلدا</x:v>
      </x:c>
      <x:c r="E2810" s="31"/>
    </x:row>
    <x:row r="2811" ht="15" hidden="0" customHeight="1">
      <x:c r="A2811" s="31" t="str">
        <x:v>Anjoman accounting - refined.xlsx</x:v>
      </x:c>
      <x:c r="B2811" s="31" t="str">
        <x:v>خام_دفتر_قبلی</x:v>
      </x:c>
      <x:c r="C2811" s="31" t="str">
        <x:v>A44</x:v>
      </x:c>
      <x:c r="D2811" s="31" t="str">
        <x:v>43</x:v>
      </x:c>
      <x:c r="E2811" s="31"/>
    </x:row>
    <x:row r="2812" ht="15" hidden="0" customHeight="1">
      <x:c r="A2812" s="31" t="str">
        <x:v>Anjoman accounting - refined.xlsx</x:v>
      </x:c>
      <x:c r="B2812" s="31" t="str">
        <x:v>خام_دفتر_قبلی</x:v>
      </x:c>
      <x:c r="C2812" s="31" t="str">
        <x:v>B44</x:v>
      </x:c>
      <x:c r="D2812" s="31" t="str">
        <x:v>دونیشن وجه نقد برای جشن یلدا</x:v>
      </x:c>
      <x:c r="E2812" s="31"/>
    </x:row>
    <x:row r="2813" ht="15" hidden="0" customHeight="1">
      <x:c r="A2813" s="31" t="str">
        <x:v>Anjoman accounting - refined.xlsx</x:v>
      </x:c>
      <x:c r="B2813" s="31" t="str">
        <x:v>خام_دفتر_قبلی</x:v>
      </x:c>
      <x:c r="C2813" s="31" t="str">
        <x:v>C44</x:v>
      </x:c>
      <x:c r="D2813" s="31" t="str">
        <x:v>700000</x:v>
      </x:c>
      <x:c r="E2813" s="31"/>
    </x:row>
    <x:row r="2814" ht="15" hidden="0" customHeight="1">
      <x:c r="A2814" s="31" t="str">
        <x:v>Anjoman accounting - refined.xlsx</x:v>
      </x:c>
      <x:c r="B2814" s="31" t="str">
        <x:v>خام_دفتر_قبلی</x:v>
      </x:c>
      <x:c r="C2814" s="31" t="str">
        <x:v>H44</x:v>
      </x:c>
      <x:c r="D2814" s="31" t="str">
        <x:v>دونیشن وجه نقد برای جشن یلدا</x:v>
      </x:c>
      <x:c r="E2814" s="31"/>
    </x:row>
    <x:row r="2815" ht="15" hidden="0" customHeight="1">
      <x:c r="A2815" s="31" t="str">
        <x:v>Anjoman accounting - refined.xlsx</x:v>
      </x:c>
      <x:c r="B2815" s="31" t="str">
        <x:v>خام_دفتر_قبلی</x:v>
      </x:c>
      <x:c r="C2815" s="31" t="str">
        <x:v>I44</x:v>
      </x:c>
      <x:c r="D2815" s="31" t="str">
        <x:v>700000</x:v>
      </x:c>
      <x:c r="E2815" s="31"/>
    </x:row>
    <x:row r="2816" ht="15" hidden="0" customHeight="1">
      <x:c r="A2816" s="31" t="str">
        <x:v>Anjoman accounting - refined.xlsx</x:v>
      </x:c>
      <x:c r="B2816" s="31" t="str">
        <x:v>خام_دفتر_قبلی</x:v>
      </x:c>
      <x:c r="C2816" s="31" t="str">
        <x:v>A45</x:v>
      </x:c>
      <x:c r="D2816" s="31" t="str">
        <x:v>44</x:v>
      </x:c>
      <x:c r="E2816" s="31"/>
    </x:row>
    <x:row r="2817" ht="15" hidden="0" customHeight="1">
      <x:c r="A2817" s="31" t="str">
        <x:v>Anjoman accounting - refined.xlsx</x:v>
      </x:c>
      <x:c r="B2817" s="31" t="str">
        <x:v>خام_دفتر_قبلی</x:v>
      </x:c>
      <x:c r="C2817" s="31" t="str">
        <x:v>D45</x:v>
      </x:c>
      <x:c r="D2817" s="31" t="str">
        <x:v>مهر 05</x:v>
      </x:c>
      <x:c r="E2817" s="31"/>
    </x:row>
    <x:row r="2818" ht="15" hidden="0" customHeight="1">
      <x:c r="A2818" s="31" t="str">
        <x:v>Anjoman accounting - refined.xlsx</x:v>
      </x:c>
      <x:c r="B2818" s="31" t="str">
        <x:v>خام_دفتر_قبلی</x:v>
      </x:c>
      <x:c r="C2818" s="31" t="str">
        <x:v>J45</x:v>
      </x:c>
      <x:c r="D2818" s="31" t="str">
        <x:v>مهر 05</x:v>
      </x:c>
      <x:c r="E2818" s="31"/>
    </x:row>
    <x:row r="2819" ht="15" hidden="0" customHeight="1">
      <x:c r="A2819" s="31" t="str">
        <x:v>Anjoman accounting - refined.xlsx</x:v>
      </x:c>
      <x:c r="B2819" s="31" t="str">
        <x:v>خام_دفتر_قبلی</x:v>
      </x:c>
      <x:c r="C2819" s="31" t="str">
        <x:v>A46</x:v>
      </x:c>
      <x:c r="D2819" s="31" t="str">
        <x:v>45</x:v>
      </x:c>
      <x:c r="E2819" s="31"/>
    </x:row>
    <x:row r="2820" ht="15" hidden="0" customHeight="1">
      <x:c r="A2820" s="31" t="str">
        <x:v>Anjoman accounting - refined.xlsx</x:v>
      </x:c>
      <x:c r="B2820" s="31" t="str">
        <x:v>خام_دفتر_قبلی</x:v>
      </x:c>
      <x:c r="C2820" s="31" t="str">
        <x:v>B46</x:v>
      </x:c>
      <x:c r="D2820" s="31" t="str">
        <x:v>معرفی رشته</x:v>
      </x:c>
      <x:c r="E2820" s="31"/>
    </x:row>
    <x:row r="2821" ht="15" hidden="0" customHeight="1">
      <x:c r="A2821" s="31" t="str">
        <x:v>Anjoman accounting - refined.xlsx</x:v>
      </x:c>
      <x:c r="B2821" s="31" t="str">
        <x:v>خام_دفتر_قبلی</x:v>
      </x:c>
      <x:c r="C2821" s="31" t="str">
        <x:v>C46</x:v>
      </x:c>
      <x:c r="D2821" s="31" t="str">
        <x:v>23000000</x:v>
      </x:c>
      <x:c r="E2821" s="31"/>
    </x:row>
    <x:row r="2822" ht="15" hidden="0" customHeight="1">
      <x:c r="A2822" s="31" t="str">
        <x:v>Anjoman accounting - refined.xlsx</x:v>
      </x:c>
      <x:c r="B2822" s="31" t="str">
        <x:v>خام_دفتر_قبلی</x:v>
      </x:c>
      <x:c r="C2822" s="31" t="str">
        <x:v>E46</x:v>
      </x:c>
      <x:c r="D2822" s="31" t="str">
        <x:v>5000000</x:v>
      </x:c>
      <x:c r="E2822" s="31"/>
    </x:row>
    <x:row r="2823" ht="15" hidden="0" customHeight="1">
      <x:c r="A2823" s="31" t="str">
        <x:v>Anjoman accounting - refined.xlsx</x:v>
      </x:c>
      <x:c r="B2823" s="31" t="str">
        <x:v>خام_دفتر_قبلی</x:v>
      </x:c>
      <x:c r="C2823" s="31" t="str">
        <x:v>G46</x:v>
      </x:c>
      <x:c r="D2823" s="31" t="str">
        <x:v>دورهمی بعد از رویداد معرفی رشته</x:v>
      </x:c>
      <x:c r="E2823" s="31"/>
    </x:row>
    <x:row r="2824" ht="15" hidden="0" customHeight="1">
      <x:c r="A2824" s="31" t="str">
        <x:v>Anjoman accounting - refined.xlsx</x:v>
      </x:c>
      <x:c r="B2824" s="31" t="str">
        <x:v>خام_دفتر_قبلی</x:v>
      </x:c>
      <x:c r="C2824" s="31" t="str">
        <x:v>H46</x:v>
      </x:c>
      <x:c r="D2824" s="31" t="str">
        <x:v>معرفی رشته</x:v>
      </x:c>
      <x:c r="E2824" s="31"/>
    </x:row>
    <x:row r="2825" ht="15" hidden="0" customHeight="1">
      <x:c r="A2825" s="31" t="str">
        <x:v>Anjoman accounting - refined.xlsx</x:v>
      </x:c>
      <x:c r="B2825" s="31" t="str">
        <x:v>خام_دفتر_قبلی</x:v>
      </x:c>
      <x:c r="C2825" s="31" t="str">
        <x:v>I46</x:v>
      </x:c>
      <x:c r="D2825" s="31" t="str">
        <x:v>23000000</x:v>
      </x:c>
      <x:c r="E2825" s="31"/>
    </x:row>
    <x:row r="2826" ht="15" hidden="0" customHeight="1">
      <x:c r="A2826" s="31" t="str">
        <x:v>Anjoman accounting - refined.xlsx</x:v>
      </x:c>
      <x:c r="B2826" s="31" t="str">
        <x:v>خام_دفتر_قبلی</x:v>
      </x:c>
      <x:c r="C2826" s="31" t="str">
        <x:v>K46</x:v>
      </x:c>
      <x:c r="D2826" s="31" t="str">
        <x:v>5000000</x:v>
      </x:c>
      <x:c r="E2826" s="31"/>
    </x:row>
    <x:row r="2827" ht="15" hidden="0" customHeight="1">
      <x:c r="A2827" s="31" t="str">
        <x:v>Anjoman accounting - refined.xlsx</x:v>
      </x:c>
      <x:c r="B2827" s="31" t="str">
        <x:v>خام_دفتر_قبلی</x:v>
      </x:c>
      <x:c r="C2827" s="31" t="str">
        <x:v>M46</x:v>
      </x:c>
      <x:c r="D2827" s="31" t="str">
        <x:v>دورهمی بعد از رویداد معرفی رشته</x:v>
      </x:c>
      <x:c r="E2827" s="31"/>
    </x:row>
    <x:row r="2828" ht="15" hidden="0" customHeight="1">
      <x:c r="A2828" s="31" t="str">
        <x:v>Anjoman accounting - refined.xlsx</x:v>
      </x:c>
      <x:c r="B2828" s="31" t="str">
        <x:v>خام_اسناد</x:v>
      </x:c>
      <x:c r="C2828" s="31" t="str">
        <x:v>A1</x:v>
      </x:c>
      <x:c r="D2828" s="31" t="str">
        <x:v>متن خام اسناد PDF</x:v>
      </x:c>
      <x:c r="E2828" s="31"/>
    </x:row>
    <x:row r="2829" ht="15" hidden="0" customHeight="1">
      <x:c r="A2829" s="31" t="str">
        <x:v>Anjoman accounting - refined.xlsx</x:v>
      </x:c>
      <x:c r="B2829" s="31" t="str">
        <x:v>خام_اسناد</x:v>
      </x:c>
      <x:c r="C2829" s="31" t="str">
        <x:v>A2</x:v>
      </x:c>
      <x:c r="D2829" s="31" t="str">
        <x:v>نسخه refined | واحد گزارش: تومان | مبالغ نامطمئن در صف بررسی از جمع تاییدشده حذف می‌شوند.</x:v>
      </x:c>
      <x:c r="E2829" s="31"/>
    </x:row>
    <x:row r="2830" ht="15" hidden="0" customHeight="1">
      <x:c r="A2830" s="31" t="str">
        <x:v>Anjoman accounting - refined.xlsx</x:v>
      </x:c>
      <x:c r="B2830" s="31" t="str">
        <x:v>خام_اسناد</x:v>
      </x:c>
      <x:c r="C2830" s="31" t="str">
        <x:v>A3</x:v>
      </x:c>
      <x:c r="D2830" s="31" t="str">
        <x:v>فایل</x:v>
      </x:c>
      <x:c r="E2830" s="31"/>
    </x:row>
    <x:row r="2831" ht="15" hidden="0" customHeight="1">
      <x:c r="A2831" s="31" t="str">
        <x:v>Anjoman accounting - refined.xlsx</x:v>
      </x:c>
      <x:c r="B2831" s="31" t="str">
        <x:v>خام_اسناد</x:v>
      </x:c>
      <x:c r="C2831" s="31" t="str">
        <x:v>B3</x:v>
      </x:c>
      <x:c r="D2831" s="31" t="str">
        <x:v>تعداد صفحات</x:v>
      </x:c>
      <x:c r="E2831" s="31"/>
    </x:row>
    <x:row r="2832" ht="15" hidden="0" customHeight="1">
      <x:c r="A2832" s="31" t="str">
        <x:v>Anjoman accounting - refined.xlsx</x:v>
      </x:c>
      <x:c r="B2832" s="31" t="str">
        <x:v>خام_اسناد</x:v>
      </x:c>
      <x:c r="C2832" s="31" t="str">
        <x:v>C3</x:v>
      </x:c>
      <x:c r="D2832" s="31" t="str">
        <x:v>متن استخراج‌شده</x:v>
      </x:c>
      <x:c r="E2832" s="31"/>
    </x:row>
    <x:row r="2833" ht="15" hidden="0" customHeight="1">
      <x:c r="A2833" s="31" t="str">
        <x:v>Anjoman accounting - refined.xlsx</x:v>
      </x:c>
      <x:c r="B2833" s="31" t="str">
        <x:v>خام_اسناد</x:v>
      </x:c>
      <x:c r="C2833" s="31" t="str">
        <x:v>A4</x:v>
      </x:c>
      <x:c r="D2833" s="31" t="str">
        <x:v>invoice-61150.pdf</x:v>
      </x:c>
      <x:c r="E2833" s="31"/>
    </x:row>
    <x:row r="2834" ht="15" hidden="0" customHeight="1">
      <x:c r="A2834" s="31" t="str">
        <x:v>Anjoman accounting - refined.xlsx</x:v>
      </x:c>
      <x:c r="B2834" s="31" t="str">
        <x:v>خام_اسناد</x:v>
      </x:c>
      <x:c r="C2834" s="31" t="str">
        <x:v>B4</x:v>
      </x:c>
      <x:c r="D2834" s="31" t="str">
        <x:v>1</x:v>
      </x:c>
      <x:c r="E2834" s="31"/>
    </x:row>
    <x:row r="2835" ht="520.7999877929688" hidden="0" customHeight="1">
      <x:c r="A2835" s="31" t="str">
        <x:v>Anjoman accounting - refined.xlsx</x:v>
      </x:c>
      <x:c r="B2835" s="31" t="str">
        <x:v>خام_اسناد</x:v>
      </x:c>
      <x:c r="C2835" s="31" t="str">
        <x:v>C4</x:v>
      </x:c>
      <x:c r="D2835" s="31" t="str">
        <x:v>ﻓﺎﮐﺘﻮر ﻓﺮوش ﮐﺎﻻ و ﺧﺪﻣﺎت
ﻣﺸﺨﺼﺎت ﻓﺮوﺷﻨﺪهﺷﻤﺎره ﻓﺎﮐﺘﻮر:
ﺗﺎرﯾﺦ:61150
1405/06/07
ﺷﺮﮐﺖ ﻣﻬﺒﺎﻧﮓ ﻓﻦ آوري ﻫﺎي ﭘﺎرسﻧﺎم ﺷﺨﺺ ﺣﻘﯿﻘﯽ / ﺣﻘﻮﻗﯽ:  14006289892ﺷﻤﺎره اﻗﺘﺼﺎدي
اﺳﺘﺎن ﺧﺮاﺳﺎن رﺿﻮيﻧﺸﺎﻧﯽ ﮐﺎﻣﻞ:  ﻧﯿﺸﺎﺑﻮرﺷﻬﺮﺳﺘﺎن:  9319970191 رﻗﻤﯽ10ﮐﺪ ﭘﺴﺘﯽ
209 واﺣﺪ2،ﻣﺠﺘﻤﻊ ﭘﺎرك ﻋﻠﻮم و ﻓﻨﺎوري،ﻃﺒﻘﻪ0ﺧﺮاﺳﺎن رﺿﻮي، ﻧﯿﺸﺎﺑﻮر، ﺑﻠﻮار ﭘﮋوﻫﺶ، ﭘﻼكﻧﺸﺎﻧﯽ:  ﺷﻤﺎره ﺛﺒﺖ/ ﺷﻤﺎره ﻣﻠﯽ:
ﺷﻨﺎﺳﻪ ﻣﻠﯽ:
ﺷﻤﺎره ﺗﻠﻔﻦ / ﻧﻤﺎﺑﺮ:5905
14006289892
021-57605000
ﻣﺸﺨﺼﺎت ﺧﺮﯾﺪار
ﻣﺤﻤﺪ ﺣﺴﻦ ﺷﯿﺮيﻧﺎم ﺷﺨﺺ ﺣﻘﯿﻘﯽ / ﺣﻘﻮﻗﯽ:  0ﺷﻤﺎره اﻗﺘﺼﺎدي
اﺳﺘﺎن:ﺷﻬﺮﺳﺘﺎن: 1458889694 رﻗﻤﯽ10ﮐﺪ ﭘﺴﺘﯽ
ﺗﻬﺮان، ﺧﯿﺎﺑﺎن ﺗﯿﻤﻮري، داﻧﺸﮕﺎه ﺻﻨﻌﺘﯽ ﺷﺮﯾﻒ،درب ﺷﻤﺎﻟﯽﻧﺸﺎﻧﯽ:  ﺷﻤﺎره ﺛﺒﺖ/ ﺷﻤﺎره ﻣﻠﯽ:
ﺷﻨﺎﺳﻪ ﻣﻠﯽ:
ﺷﻤﺎره ﺗﻠﻔﻦ / ﻧﻤﺎﺑﺮ:1273447468
09130876341
ﻣﺸﺨﺼﺎت ﮐﺎﻻ ﯾﺎ ﺧﺪﻣﺎت ﻣﻮرد ﻣﻌﺎﻣﻠﻪ
1 2 3 4 5 6 7 8 9 10 11
ردﯾﻒﮐﺪ
ﮐﺎﻻﺷﺮح ﮐﺎﻻ ﯾﺎ ﺧﺪﻣﺎتﺗﻌﺪاد/
ﻣﻘﺪارواﺣﺪ اﻧﺪازه
ﮔﯿﺮيﻣﺒﻠﻎ واﺣﺪ )رﯾﺎل(ﻣﺒﻠﻎ ﮐﻞ )رﯾﺎل( ﻣﺒﻠﻎ ﺗﺨﻔﯿﻒﻣﺒﻠﻎ ﮐﻞ ﭘﺲ از ﺗﺨﻔﯿﻒ
)رﯾﺎل(ﺟﻤﻊ ﻣﺎﻟﯿﺎت و ﻋﻮارض
)رﯾﺎل(ﺟﻤﻊ ﻣﺒﻠﻎ ﮐﻞ ﺑﻌﻼوه
ﺟﻤﻊ ﻣﺎﻟﯿﺎت و ﻋﻮارض
)رﯾﺎل(
ﻧﺤﻮه ﻣﺤﺎﺳﺒﻪ ﺑﺮ اﺳﺎس ﺷﻤﺎره ﺳﺘﻮن4 x6 7-8*ﻣﺠﻤﻮع ﻧﺮخ ﻣﺎﻟﯿﺎت و ﻋﻮارض10) (9+10 )
1 200450اﭘﻠﯿﮑﯿﺸﻦ اﺳﮑﺎي روم )ﺳﺮوﯾﺲ آﻣﻮزﺷﯽ 
ﮐﺎرﺑﺮه(1ﻣﺎه22,500,000 22,500,000 0 22,500,000 2,250,000 24,750,000
2 151ﺑﺴﺘﻪ ﺿﺒﻂ روﯾﺪاد20ﺳﺎﻋﺖ810,000 16,200,000 0 16,200,000 1,620,000 17,820,000
3
4
5
ﺟﻤﻊ ﮐﻞ: ﭼﻬﻞ و دو ﻣﯿﻠﯿﻮن و ﭘﺎﻧﺼﺪ و ﻫﻔﺘﺎد ﻫﺰار رﯾﺎل38,700,000 0 38,700,000 3,870,000 42,570,000
ﺷﻤﺎره ﺣﺴﺎب ﻫﺎي ﻣﻬﺒﺎﻧﮓ ﻓﻨﺎوري ﻫﺎي ﭘﺎرس ﺑﺮاي ﭘﺮداﺧﺖ ﻏﯿﺮ آﻧﻼﯾﻦ ﺑﻪ ﺷﺮح زﯾﺮ اﺳﺖ
 / ﺷﻤﺎره ﺷﺒﺎ ﺳﺎﻣﺎن6219-8610-3590-6295 / ﺷﻤﺎره ﮐﺎرت ﺳﺎﻣﺎن841-40-2628116-1ﺷﻤﺎره ﺣﺴﺎب ﺳﺎﻣﺎن
I R340560084104002628116001
ﻟﻄﻔﺎ ﺑﻌﺪ از وارﯾﺰ، ﻓﯿﺶ وارﯾﺰي را از ﻃﺮﯾﻖ ﺗﯿﮑﺖ ﺑﻪ واﺣﺪ ﻓﺮوش ارﺳﺎل ﻧﻤﺎﯾﯿﺪ
ﻣﻬﺮ و اﻣﻀﺎء ﻓﺮوﺷﻨﺪهﻣﻬﺮ و اﻣﻀﺎء ﺧﺮﯾﺪار ﺷﺮاﯾﻂ و ﻧﺤﻮه ﻓﺮوشﻧﻘﺪي ﻏﯿﺮ ﻧﻘﺪي
</x:v>
      </x:c>
      <x:c r="E2835" s="31"/>
    </x:row>
    <x:row r="2836" ht="15" hidden="0" customHeight="1">
      <x:c r="A2836" s="31" t="str">
        <x:v>Anjoman accounting - refined.xlsx</x:v>
      </x:c>
      <x:c r="B2836" s="31" t="str">
        <x:v>خام_اسناد</x:v>
      </x:c>
      <x:c r="C2836" s="31" t="str">
        <x:v>A5</x:v>
      </x:c>
      <x:c r="D2836" s="31" t="str">
        <x:v>physics_intro full report.pdf</x:v>
      </x:c>
      <x:c r="E2836" s="31"/>
    </x:row>
    <x:row r="2837" ht="15" hidden="0" customHeight="1">
      <x:c r="A2837" s="31" t="str">
        <x:v>Anjoman accounting - refined.xlsx</x:v>
      </x:c>
      <x:c r="B2837" s="31" t="str">
        <x:v>خام_اسناد</x:v>
      </x:c>
      <x:c r="C2837" s="31" t="str">
        <x:v>B5</x:v>
      </x:c>
      <x:c r="D2837" s="31" t="str">
        <x:v>2</x:v>
      </x:c>
      <x:c r="E2837" s="31"/>
    </x:row>
    <x:row r="2838" ht="3804" hidden="0" customHeight="1">
      <x:c r="A2838" s="31" t="str">
        <x:v>Anjoman accounting - refined.xlsx</x:v>
      </x:c>
      <x:c r="B2838" s="31" t="str">
        <x:v>خام_اسناد</x:v>
      </x:c>
      <x:c r="C2838" s="31" t="str">
        <x:v>C5</x:v>
      </x:c>
      <x:c r="D2838" s="31" t="str">
        <x:v>داﺪﯾور
داﺪﯾور
نﺎﯾﺎﭘ
نﺎﯾﺎﭘ
شراﺰﮔ
شراﺰﮔ
1
: 
نﺎﮔﺪﻨﻨﮐ
ﺖﮐﺮﺷ
داﺪﻌﺗ
رد
داﺪﯾور
ﻪﺒﺗر
ﺮﻔﻧ
90
: 
ﺪﯾﺪﺟ
هﺪﻨﻨﮐ
ﺖﮐﺮﺷ
داﺪﻌﺗ
زور
4
(: 
داﺪﯾور
عوﺮﺷ
ﺎﺗ
ﺖﺧﺎﺳ
زا
) 
داﺪﯾور
تﻮﻣوﺮ#
نﺎﻣز
تﺪﻣ
1
: 
ﺖﯿﻠﺑ
شوﺮﻓ
رد
داﺪﯾور
ﻪﺒﺗر
31
و
 (
ﻦﻣﻮﺗ
7,339,500
 )
1405
رﻮ
29
و
 (
ﻦﻣﻮﺗ
9,984,000
 )
1405
رﻮ
30
: 
ﺎﻫ
زور
ﻦ
شوﺮﻓ
ﺮ#
(
ﻦﻣﻮﺗ
6,416,500
 )
1405
رﻮ
نﺎﻣﻮﺗ
302,612
: 
ﺖﯿﻠﺑ
ﮏﯾ
ﺖﻤﯿﻗ
ﻂﺳﻮﺘﻣ
ﺮﻔﻧ
95
: 
داﺪﯾور
نﺎﯾﺎﭘ
ﺎﺗ
ﺖﺧﺎﺳ
ﺦ
زا
ﺪﯾﺪﺟ
نﺎﮔﺪﻨﻨﮐ
لﺎﺒﻧد
ﺮﻔﻧ
11
: 
A
رد
نﺎﮔﺪﻨﻨﮐ
ﺖﮐﺮﺷ
داﺪﻌﺗ
٪
100
: 
ﺎﻤﺷ
داﺪﯾور
نﺎﮔﺪﻨﻨﮐدﺎﻬﻨﺸﯿﭘ
ﺪﺻرد
ﻒﯾﺮﺷ
ﮏﯾﺰ
ﻪﺘﺷر
A
۸۰
:
۰۰
ﺖﻋﺎﺳ
۵۰۴۱
/
۷
/
۲
 :
عوﺮﺷ
۰۱
:
۰۰
ﺖﻋﺎﺳ
۵۰۴۱
/
۷
/
۲
 :
نﺎﯾﺎﭘ
ﻒﯾﺮﺷ
ﮏﯾﺰ
A
ﻦﻤﺠﻧا
ﺮﻔﻧ
ﺮﻔﻧ
90
90
: 
: 
نﺎﮔﺪﻨﻨﮐ
نﺎﮔﺪﻨﻨﮐ
ﺖﮐﺮﺷ
ﺖﮐﺮﺷ
داﺪﯾور
داﺪﯾور
ﺪﯾدزﺎﺑ
ﺪﯾدزﺎﺑ
نﺎﻣﻮﺗ
نﺎﻣﻮﺗ
27,235,000
27,235,000
: 
: 
ﺖﯿﻠﺑ
ﺖﯿﻠﺑ
شوﺮﻓ
شوﺮﻓ
ﺮﻔﻧ
ﺮﻔﻧ
96
96
: 
: 
نﺎﮔﺪﻨﻨﮐ
نﺎﮔﺪﻨﻨﮐ
لﺎﺒﻧد
لﺎﺒﻧد
نﺎﻣﻮﺗ
نﺎﻣﻮﺗ
0
0
: 
: 
تﺎﻐﯿﻠﺒﺗ
تﺎﻐﯿﻠﺒﺗ
%
%
100
100
: 
: 
نﺎﮔﺪﻨﻨﮐ
نﺎﮔﺪﻨﻨﮐ
ﺖﮐﺮﺷ
ﺖﮐﺮﺷ
ﺖﯾﺎﺿر
ﺖﯾﺎﺿر
ﺪﺻرد
ﺪﺻرد
.ﺪﻧا
هﺪﺷ
یروآ
ﻊﻤﺟ
ﺎﻤﺷ
ﻪﺘﺷﺬﮔ
داﺪﯾور
۰۱
سﺎﺳا
ﺮ
تﺎﻋﻼﻃا
A
11:05
ﺖﻋﺎﺳ
1405
ﺮﻬﻣ
03
: 
شراﺰﮔ
ﺖﺧﺎﺳ
ﺦ</x:v>
      </x:c>
      <x:c r="E2838" s="31"/>
    </x:row>
    <x:row r="2839" ht="15" hidden="0" customHeight="1">
      <x:c r="A2839" s="31" t="str">
        <x:v>Anjoman accounting - refined.xlsx</x:v>
      </x:c>
      <x:c r="B2839" s="31" t="str">
        <x:v>خام_اسناد</x:v>
      </x:c>
      <x:c r="C2839" s="31" t="str">
        <x:v>A6</x:v>
      </x:c>
      <x:c r="D2839" s="31" t="str">
        <x:v>telegram export\files\CamScanner 13-05-2026 12.43 (1).pdf</x:v>
      </x:c>
      <x:c r="E2839" s="31"/>
    </x:row>
    <x:row r="2840" ht="15" hidden="0" customHeight="1">
      <x:c r="A2840" s="31" t="str">
        <x:v>Anjoman accounting - refined.xlsx</x:v>
      </x:c>
      <x:c r="B2840" s="31" t="str">
        <x:v>خام_اسناد</x:v>
      </x:c>
      <x:c r="C2840" s="31" t="str">
        <x:v>B6</x:v>
      </x:c>
      <x:c r="D2840" s="31" t="str">
        <x:v>11</x:v>
      </x:c>
      <x:c r="E2840" s="31"/>
    </x:row>
    <x:row r="2841" ht="268.79998779296875" hidden="0" customHeight="1">
      <x:c r="A2841" s="31" t="str">
        <x:v>Anjoman accounting - refined.xlsx</x:v>
      </x:c>
      <x:c r="B2841" s="31" t="str">
        <x:v>خام_اسناد</x:v>
      </x:c>
      <x:c r="C2841" s="31" t="str">
        <x:v>C6</x:v>
      </x:c>
      <x:c r="D2841" s="31" t="str">
        <x:v>CamScanner
CamScanner
CamScanner
CamScanner
CamScanner
CamScanner
CamScanner
CamScanner
CamScanner
CamScanner
CamScanner
</x:v>
      </x:c>
      <x:c r="E2841" s="31"/>
    </x:row>
    <x:row r="2842" ht="15" hidden="0" customHeight="1">
      <x:c r="A2842" s="31" t="str">
        <x:v>Anjoman accounting - refined.xlsx</x:v>
      </x:c>
      <x:c r="B2842" s="31" t="str">
        <x:v>خام_اسناد</x:v>
      </x:c>
      <x:c r="C2842" s="31" t="str">
        <x:v>A7</x:v>
      </x:c>
      <x:c r="D2842" s="31" t="str">
        <x:v>telegram export\files\dk-file-2025-10-16-14-43-08.pdf</x:v>
      </x:c>
      <x:c r="E2842" s="31"/>
    </x:row>
    <x:row r="2843" ht="15" hidden="0" customHeight="1">
      <x:c r="A2843" s="31" t="str">
        <x:v>Anjoman accounting - refined.xlsx</x:v>
      </x:c>
      <x:c r="B2843" s="31" t="str">
        <x:v>خام_اسناد</x:v>
      </x:c>
      <x:c r="C2843" s="31" t="str">
        <x:v>B7</x:v>
      </x:c>
      <x:c r="D2843" s="31" t="str">
        <x:v>1</x:v>
      </x:c>
      <x:c r="E2843" s="31"/>
    </x:row>
    <x:row r="2844" ht="15" hidden="0" customHeight="1">
      <x:c r="A2844" s="31" t="str">
        <x:v>Anjoman accounting - refined.xlsx</x:v>
      </x:c>
      <x:c r="B2844" s="31" t="str">
        <x:v>تطبیق</x:v>
      </x:c>
      <x:c r="C2844" s="31" t="str">
        <x:v>A1</x:v>
      </x:c>
      <x:c r="D2844" s="31" t="str">
        <x:v>تطبیق و کنترل‌های حسابداری</x:v>
      </x:c>
      <x:c r="E2844" s="31"/>
    </x:row>
    <x:row r="2845" ht="15" hidden="0" customHeight="1">
      <x:c r="A2845" s="31" t="str">
        <x:v>Anjoman accounting - refined.xlsx</x:v>
      </x:c>
      <x:c r="B2845" s="31" t="str">
        <x:v>تطبیق</x:v>
      </x:c>
      <x:c r="C2845" s="31" t="str">
        <x:v>A2</x:v>
      </x:c>
      <x:c r="D2845" s="31" t="str">
        <x:v>نسخه refined | واحد گزارش: تومان | مبالغ نامطمئن در صف بررسی از جمع تاییدشده حذف می‌شوند.</x:v>
      </x:c>
      <x:c r="E2845" s="31"/>
    </x:row>
    <x:row r="2846" ht="15" hidden="0" customHeight="1">
      <x:c r="A2846" s="31" t="str">
        <x:v>Anjoman accounting - refined.xlsx</x:v>
      </x:c>
      <x:c r="B2846" s="31" t="str">
        <x:v>تطبیق</x:v>
      </x:c>
      <x:c r="C2846" s="31" t="str">
        <x:v>A3</x:v>
      </x:c>
      <x:c r="D2846" s="31" t="str">
        <x:v>شاخص</x:v>
      </x:c>
      <x:c r="E2846" s="31"/>
    </x:row>
    <x:row r="2847" ht="15" hidden="0" customHeight="1">
      <x:c r="A2847" s="31" t="str">
        <x:v>Anjoman accounting - refined.xlsx</x:v>
      </x:c>
      <x:c r="B2847" s="31" t="str">
        <x:v>تطبیق</x:v>
      </x:c>
      <x:c r="C2847" s="31" t="str">
        <x:v>B3</x:v>
      </x:c>
      <x:c r="D2847" s="31" t="str">
        <x:v>مقدار</x:v>
      </x:c>
      <x:c r="E2847" s="31"/>
    </x:row>
    <x:row r="2848" ht="15" hidden="0" customHeight="1">
      <x:c r="A2848" s="31" t="str">
        <x:v>Anjoman accounting - refined.xlsx</x:v>
      </x:c>
      <x:c r="B2848" s="31" t="str">
        <x:v>تطبیق</x:v>
      </x:c>
      <x:c r="C2848" s="31" t="str">
        <x:v>C3</x:v>
      </x:c>
      <x:c r="D2848" s="31" t="str">
        <x:v>توضیح</x:v>
      </x:c>
      <x:c r="E2848" s="31"/>
    </x:row>
    <x:row r="2849" ht="15" hidden="0" customHeight="1">
      <x:c r="A2849" s="31" t="str">
        <x:v>Anjoman accounting - refined.xlsx</x:v>
      </x:c>
      <x:c r="B2849" s="31" t="str">
        <x:v>تطبیق</x:v>
      </x:c>
      <x:c r="C2849" s="31" t="str">
        <x:v>A4</x:v>
      </x:c>
      <x:c r="D2849" s="31" t="str">
        <x:v>تعداد تراکنش‌های دفتر قبلی</x:v>
      </x:c>
      <x:c r="E2849" s="31"/>
    </x:row>
    <x:row r="2850" ht="15" hidden="0" customHeight="1">
      <x:c r="A2850" s="31" t="str">
        <x:v>Anjoman accounting - refined.xlsx</x:v>
      </x:c>
      <x:c r="B2850" s="31" t="str">
        <x:v>تطبیق</x:v>
      </x:c>
      <x:c r="C2850" s="31" t="str">
        <x:v>B4</x:v>
      </x:c>
      <x:c r="D2850" s="31"/>
      <x:c r="E2850" s="31" t="str">
        <x:v>=COUNTIF(تراکنش‌ها!$K:$K,"دفتر قبلی")</x:v>
      </x:c>
    </x:row>
    <x:row r="2851" ht="15" hidden="0" customHeight="1">
      <x:c r="A2851" s="31" t="str">
        <x:v>Anjoman accounting - refined.xlsx</x:v>
      </x:c>
      <x:c r="B2851" s="31" t="str">
        <x:v>تطبیق</x:v>
      </x:c>
      <x:c r="C2851" s="31" t="str">
        <x:v>C4</x:v>
      </x:c>
      <x:c r="D2851" s="31" t="str">
        <x:v>تعداد ورودی‌های درآمد/هزینه واردشده از شیت مجموع</x:v>
      </x:c>
      <x:c r="E2851" s="31"/>
    </x:row>
    <x:row r="2852" ht="15" hidden="0" customHeight="1">
      <x:c r="A2852" s="31" t="str">
        <x:v>Anjoman accounting - refined.xlsx</x:v>
      </x:c>
      <x:c r="B2852" s="31" t="str">
        <x:v>تطبیق</x:v>
      </x:c>
      <x:c r="C2852" s="31" t="str">
        <x:v>A5</x:v>
      </x:c>
      <x:c r="D2852" s="31" t="str">
        <x:v>درآمد تاییدشده</x:v>
      </x:c>
      <x:c r="E2852" s="31"/>
    </x:row>
    <x:row r="2853" ht="15" hidden="0" customHeight="1">
      <x:c r="A2853" s="31" t="str">
        <x:v>Anjoman accounting - refined.xlsx</x:v>
      </x:c>
      <x:c r="B2853" s="31" t="str">
        <x:v>تطبیق</x:v>
      </x:c>
      <x:c r="C2853" s="31" t="str">
        <x:v>B5</x:v>
      </x:c>
      <x:c r="D2853" s="31"/>
      <x:c r="E2853" s="31" t="str">
        <x:v>=SUMIFS(تراکنش‌ها!$F:$F,تراکنش‌ها!$B:$B,"درآمد",تراکنش‌ها!$J:$J,"تاییدشده")</x:v>
      </x:c>
    </x:row>
    <x:row r="2854" ht="15" hidden="0" customHeight="1">
      <x:c r="A2854" s="31" t="str">
        <x:v>Anjoman accounting - refined.xlsx</x:v>
      </x:c>
      <x:c r="B2854" s="31" t="str">
        <x:v>تطبیق</x:v>
      </x:c>
      <x:c r="C2854" s="31" t="str">
        <x:v>C5</x:v>
      </x:c>
      <x:c r="D2854" s="31" t="str">
        <x:v>فقط وضعیت تاییدشده</x:v>
      </x:c>
      <x:c r="E2854" s="31"/>
    </x:row>
    <x:row r="2855" ht="15" hidden="0" customHeight="1">
      <x:c r="A2855" s="31" t="str">
        <x:v>Anjoman accounting - refined.xlsx</x:v>
      </x:c>
      <x:c r="B2855" s="31" t="str">
        <x:v>تطبیق</x:v>
      </x:c>
      <x:c r="C2855" s="31" t="str">
        <x:v>A6</x:v>
      </x:c>
      <x:c r="D2855" s="31" t="str">
        <x:v>هزینه تاییدشده</x:v>
      </x:c>
      <x:c r="E2855" s="31"/>
    </x:row>
    <x:row r="2856" ht="15" hidden="0" customHeight="1">
      <x:c r="A2856" s="31" t="str">
        <x:v>Anjoman accounting - refined.xlsx</x:v>
      </x:c>
      <x:c r="B2856" s="31" t="str">
        <x:v>تطبیق</x:v>
      </x:c>
      <x:c r="C2856" s="31" t="str">
        <x:v>B6</x:v>
      </x:c>
      <x:c r="D2856" s="31"/>
      <x:c r="E2856" s="31" t="str">
        <x:v>=SUMIFS(تراکنش‌ها!$F:$F,تراکنش‌ها!$B:$B,"هزینه",تراکنش‌ها!$J:$J,"تاییدشده")</x:v>
      </x:c>
    </x:row>
    <x:row r="2857" ht="15" hidden="0" customHeight="1">
      <x:c r="A2857" s="31" t="str">
        <x:v>Anjoman accounting - refined.xlsx</x:v>
      </x:c>
      <x:c r="B2857" s="31" t="str">
        <x:v>تطبیق</x:v>
      </x:c>
      <x:c r="C2857" s="31" t="str">
        <x:v>C6</x:v>
      </x:c>
      <x:c r="D2857" s="31" t="str">
        <x:v>فقط وضعیت تاییدشده</x:v>
      </x:c>
      <x:c r="E2857" s="31"/>
    </x:row>
    <x:row r="2858" ht="15" hidden="0" customHeight="1">
      <x:c r="A2858" s="31" t="str">
        <x:v>Anjoman accounting - refined.xlsx</x:v>
      </x:c>
      <x:c r="B2858" s="31" t="str">
        <x:v>تطبیق</x:v>
      </x:c>
      <x:c r="C2858" s="31" t="str">
        <x:v>A7</x:v>
      </x:c>
      <x:c r="D2858" s="31" t="str">
        <x:v>تراز تاییدشده</x:v>
      </x:c>
      <x:c r="E2858" s="31"/>
    </x:row>
    <x:row r="2859" ht="15" hidden="0" customHeight="1">
      <x:c r="A2859" s="31" t="str">
        <x:v>Anjoman accounting - refined.xlsx</x:v>
      </x:c>
      <x:c r="B2859" s="31" t="str">
        <x:v>تطبیق</x:v>
      </x:c>
      <x:c r="C2859" s="31" t="str">
        <x:v>B7</x:v>
      </x:c>
      <x:c r="D2859" s="31"/>
      <x:c r="E2859" s="31" t="str">
        <x:v>=B6-B7</x:v>
      </x:c>
    </x:row>
    <x:row r="2860" ht="15" hidden="0" customHeight="1">
      <x:c r="A2860" s="31" t="str">
        <x:v>Anjoman accounting - refined.xlsx</x:v>
      </x:c>
      <x:c r="B2860" s="31" t="str">
        <x:v>تطبیق</x:v>
      </x:c>
      <x:c r="C2860" s="31" t="str">
        <x:v>C7</x:v>
      </x:c>
      <x:c r="D2860" s="31" t="str">
        <x:v>درآمد تاییدشده منهای هزینه تاییدشده</x:v>
      </x:c>
      <x:c r="E2860" s="31"/>
    </x:row>
    <x:row r="2861" ht="15" hidden="0" customHeight="1">
      <x:c r="A2861" s="31" t="str">
        <x:v>Anjoman accounting - refined.xlsx</x:v>
      </x:c>
      <x:c r="B2861" s="31" t="str">
        <x:v>تطبیق</x:v>
      </x:c>
      <x:c r="C2861" s="31" t="str">
        <x:v>A8</x:v>
      </x:c>
      <x:c r="D2861" s="31" t="str">
        <x:v>درآمد پیشنهادی/استنباطی</x:v>
      </x:c>
      <x:c r="E2861" s="31"/>
    </x:row>
    <x:row r="2862" ht="15" hidden="0" customHeight="1">
      <x:c r="A2862" s="31" t="str">
        <x:v>Anjoman accounting - refined.xlsx</x:v>
      </x:c>
      <x:c r="B2862" s="31" t="str">
        <x:v>تطبیق</x:v>
      </x:c>
      <x:c r="C2862" s="31" t="str">
        <x:v>B8</x:v>
      </x:c>
      <x:c r="D2862" s="31"/>
      <x:c r="E2862" s="31" t="str">
        <x:v>=SUMIFS(تراکنش‌ها!$F:$F,تراکنش‌ها!$B:$B,"درآمد",تراکنش‌ها!$J:$J,"پیشنهادی - نیازمند بررسی")</x:v>
      </x:c>
    </x:row>
    <x:row r="2863" ht="15" hidden="0" customHeight="1">
      <x:c r="A2863" s="31" t="str">
        <x:v>Anjoman accounting - refined.xlsx</x:v>
      </x:c>
      <x:c r="B2863" s="31" t="str">
        <x:v>تطبیق</x:v>
      </x:c>
      <x:c r="C2863" s="31" t="str">
        <x:v>C8</x:v>
      </x:c>
      <x:c r="D2863" s="31" t="str">
        <x:v>تا زمان تایید در تراز اصلی منظور نمی‌شود</x:v>
      </x:c>
      <x:c r="E2863" s="31"/>
    </x:row>
    <x:row r="2864" ht="15" hidden="0" customHeight="1">
      <x:c r="A2864" s="31" t="str">
        <x:v>Anjoman accounting - refined.xlsx</x:v>
      </x:c>
      <x:c r="B2864" s="31" t="str">
        <x:v>تطبیق</x:v>
      </x:c>
      <x:c r="C2864" s="31" t="str">
        <x:v>A9</x:v>
      </x:c>
      <x:c r="D2864" s="31" t="str">
        <x:v>هزینه پیشنهادی/استنباطی</x:v>
      </x:c>
      <x:c r="E2864" s="31"/>
    </x:row>
    <x:row r="2865" ht="15" hidden="0" customHeight="1">
      <x:c r="A2865" s="31" t="str">
        <x:v>Anjoman accounting - refined.xlsx</x:v>
      </x:c>
      <x:c r="B2865" s="31" t="str">
        <x:v>تطبیق</x:v>
      </x:c>
      <x:c r="C2865" s="31" t="str">
        <x:v>B9</x:v>
      </x:c>
      <x:c r="D2865" s="31"/>
      <x:c r="E2865" s="31" t="str">
        <x:v>=SUMIFS(تراکنش‌ها!$F:$F,تراکنش‌ها!$B:$B,"هزینه",تراکنش‌ها!$J:$J,"پیشنهادی - نیازمند بررسی")</x:v>
      </x:c>
    </x:row>
    <x:row r="2866" ht="15" hidden="0" customHeight="1">
      <x:c r="A2866" s="31" t="str">
        <x:v>Anjoman accounting - refined.xlsx</x:v>
      </x:c>
      <x:c r="B2866" s="31" t="str">
        <x:v>تطبیق</x:v>
      </x:c>
      <x:c r="C2866" s="31" t="str">
        <x:v>C9</x:v>
      </x:c>
      <x:c r="D2866" s="31" t="str">
        <x:v>تا زمان تایید در تراز اصلی منظور نمی‌شود</x:v>
      </x:c>
      <x:c r="E2866" s="31"/>
    </x:row>
    <x:row r="2867" ht="15" hidden="0" customHeight="1">
      <x:c r="A2867" s="31" t="str">
        <x:v>Anjoman accounting - refined.xlsx</x:v>
      </x:c>
      <x:c r="B2867" s="31" t="str">
        <x:v>تطبیق</x:v>
      </x:c>
      <x:c r="C2867" s="31" t="str">
        <x:v>A10</x:v>
      </x:c>
      <x:c r="D2867" s="31" t="str">
        <x:v>رسیدهای در صف بررسی</x:v>
      </x:c>
      <x:c r="E2867" s="31"/>
    </x:row>
    <x:row r="2868" ht="15" hidden="0" customHeight="1">
      <x:c r="A2868" s="31" t="str">
        <x:v>Anjoman accounting - refined.xlsx</x:v>
      </x:c>
      <x:c r="B2868" s="31" t="str">
        <x:v>تطبیق</x:v>
      </x:c>
      <x:c r="C2868" s="31" t="str">
        <x:v>B10</x:v>
      </x:c>
      <x:c r="D2868" s="31"/>
      <x:c r="E2868" s="31" t="str">
        <x:v>=COUNTIF('صف بررسی رسیدها'!$F:$F,"نیازمند ورود دستی")</x:v>
      </x:c>
    </x:row>
    <x:row r="2869" ht="15" hidden="0" customHeight="1">
      <x:c r="A2869" s="31" t="str">
        <x:v>Anjoman accounting - refined.xlsx</x:v>
      </x:c>
      <x:c r="B2869" s="31" t="str">
        <x:v>تطبیق</x:v>
      </x:c>
      <x:c r="C2869" s="31" t="str">
        <x:v>C10</x:v>
      </x:c>
      <x:c r="D2869" s="31" t="str">
        <x:v>20 تصویر فعلی نیازمند ورود دستی/بررسی تکراری هستند</x:v>
      </x:c>
      <x:c r="E2869" s="31"/>
    </x:row>
    <x:row r="2870" ht="15" hidden="0" customHeight="1">
      <x:c r="A2870" s="31" t="str">
        <x:v>Anjoman accounting - refined.xlsx</x:v>
      </x:c>
      <x:c r="B2870" s="31" t="str">
        <x:v>تطبیق</x:v>
      </x:c>
      <x:c r="C2870" s="31" t="str">
        <x:v>A11</x:v>
      </x:c>
      <x:c r="D2870" s="31" t="str">
        <x:v>اسناد فهرست‌شده</x:v>
      </x:c>
      <x:c r="E2870" s="31"/>
    </x:row>
    <x:row r="2871" ht="15" hidden="0" customHeight="1">
      <x:c r="A2871" s="31" t="str">
        <x:v>Anjoman accounting - refined.xlsx</x:v>
      </x:c>
      <x:c r="B2871" s="31" t="str">
        <x:v>تطبیق</x:v>
      </x:c>
      <x:c r="C2871" s="31" t="str">
        <x:v>B11</x:v>
      </x:c>
      <x:c r="D2871" s="31"/>
      <x:c r="E2871" s="31" t="str">
        <x:v>=COUNTA('اسناد و شواهد'!$A:$A)-3</x:v>
      </x:c>
    </x:row>
    <x:row r="2872" ht="15" hidden="0" customHeight="1">
      <x:c r="A2872" s="31" t="str">
        <x:v>Anjoman accounting - refined.xlsx</x:v>
      </x:c>
      <x:c r="B2872" s="31" t="str">
        <x:v>تطبیق</x:v>
      </x:c>
      <x:c r="C2872" s="31" t="str">
        <x:v>C11</x:v>
      </x:c>
      <x:c r="D2872" s="31" t="str">
        <x:v>تعداد اقلام موجود در فهرست شواهد</x:v>
      </x:c>
      <x:c r="E2872" s="31"/>
    </x:row>
    <x:row r="2873" ht="15" hidden="0" customHeight="1">
      <x:c r="A2873" s="31" t="str">
        <x:v>Anjoman accounting - refined.xlsx</x:v>
      </x:c>
      <x:c r="B2873" s="31" t="str">
        <x:v>گزارش ماهانه</x:v>
      </x:c>
      <x:c r="C2873" s="31" t="str">
        <x:v>A1</x:v>
      </x:c>
      <x:c r="D2873" s="31" t="str">
        <x:v>گزارش ماهانه</x:v>
      </x:c>
      <x:c r="E2873" s="31"/>
    </x:row>
    <x:row r="2874" ht="15" hidden="0" customHeight="1">
      <x:c r="A2874" s="31" t="str">
        <x:v>Anjoman accounting - refined.xlsx</x:v>
      </x:c>
      <x:c r="B2874" s="31" t="str">
        <x:v>گزارش ماهانه</x:v>
      </x:c>
      <x:c r="C2874" s="31" t="str">
        <x:v>A2</x:v>
      </x:c>
      <x:c r="D2874" s="31" t="str">
        <x:v>نسخه refined | واحد گزارش: تومان | مبالغ نامطمئن در صف بررسی از جمع تاییدشده حذف می‌شوند.</x:v>
      </x:c>
      <x:c r="E2874" s="31"/>
    </x:row>
    <x:row r="2875" ht="15" hidden="0" customHeight="1">
      <x:c r="A2875" s="31" t="str">
        <x:v>Anjoman accounting - refined.xlsx</x:v>
      </x:c>
      <x:c r="B2875" s="31" t="str">
        <x:v>گزارش ماهانه</x:v>
      </x:c>
      <x:c r="C2875" s="31" t="str">
        <x:v>A3</x:v>
      </x:c>
      <x:c r="D2875" s="31" t="str">
        <x:v>ماه/دوره</x:v>
      </x:c>
      <x:c r="E2875" s="31"/>
    </x:row>
    <x:row r="2876" ht="15" hidden="0" customHeight="1">
      <x:c r="A2876" s="31" t="str">
        <x:v>Anjoman accounting - refined.xlsx</x:v>
      </x:c>
      <x:c r="B2876" s="31" t="str">
        <x:v>گزارش ماهانه</x:v>
      </x:c>
      <x:c r="C2876" s="31" t="str">
        <x:v>B3</x:v>
      </x:c>
      <x:c r="D2876" s="31" t="str">
        <x:v>درآمد تاییدشده</x:v>
      </x:c>
      <x:c r="E2876" s="31"/>
    </x:row>
    <x:row r="2877" ht="15" hidden="0" customHeight="1">
      <x:c r="A2877" s="31" t="str">
        <x:v>Anjoman accounting - refined.xlsx</x:v>
      </x:c>
      <x:c r="B2877" s="31" t="str">
        <x:v>گزارش ماهانه</x:v>
      </x:c>
      <x:c r="C2877" s="31" t="str">
        <x:v>C3</x:v>
      </x:c>
      <x:c r="D2877" s="31" t="str">
        <x:v>هزینه تاییدشده</x:v>
      </x:c>
      <x:c r="E2877" s="31"/>
    </x:row>
    <x:row r="2878" ht="15" hidden="0" customHeight="1">
      <x:c r="A2878" s="31" t="str">
        <x:v>Anjoman accounting - refined.xlsx</x:v>
      </x:c>
      <x:c r="B2878" s="31" t="str">
        <x:v>گزارش ماهانه</x:v>
      </x:c>
      <x:c r="C2878" s="31" t="str">
        <x:v>D3</x:v>
      </x:c>
      <x:c r="D2878" s="31" t="str">
        <x:v>تراز تاییدشده</x:v>
      </x:c>
      <x:c r="E2878" s="31"/>
    </x:row>
    <x:row r="2879" ht="15" hidden="0" customHeight="1">
      <x:c r="A2879" s="31" t="str">
        <x:v>Anjoman accounting - refined.xlsx</x:v>
      </x:c>
      <x:c r="B2879" s="31" t="str">
        <x:v>گزارش ماهانه</x:v>
      </x:c>
      <x:c r="C2879" s="31" t="str">
        <x:v>E3</x:v>
      </x:c>
      <x:c r="D2879" s="31" t="str">
        <x:v>درآمد پیشنهادی</x:v>
      </x:c>
      <x:c r="E2879" s="31"/>
    </x:row>
    <x:row r="2880" ht="15" hidden="0" customHeight="1">
      <x:c r="A2880" s="31" t="str">
        <x:v>Anjoman accounting - refined.xlsx</x:v>
      </x:c>
      <x:c r="B2880" s="31" t="str">
        <x:v>گزارش ماهانه</x:v>
      </x:c>
      <x:c r="C2880" s="31" t="str">
        <x:v>F3</x:v>
      </x:c>
      <x:c r="D2880" s="31" t="str">
        <x:v>هزینه پیشنهادی</x:v>
      </x:c>
      <x:c r="E2880" s="31"/>
    </x:row>
    <x:row r="2881" ht="15" hidden="0" customHeight="1">
      <x:c r="A2881" s="31" t="str">
        <x:v>Anjoman accounting - refined.xlsx</x:v>
      </x:c>
      <x:c r="B2881" s="31" t="str">
        <x:v>گزارش ماهانه</x:v>
      </x:c>
      <x:c r="C2881" s="31" t="str">
        <x:v>A4</x:v>
      </x:c>
      <x:c r="D2881" s="31" t="str">
        <x:v>مرداد</x:v>
      </x:c>
      <x:c r="E2881" s="31"/>
    </x:row>
    <x:row r="2882" ht="15" hidden="0" customHeight="1">
      <x:c r="A2882" s="31" t="str">
        <x:v>Anjoman accounting - refined.xlsx</x:v>
      </x:c>
      <x:c r="B2882" s="31" t="str">
        <x:v>گزارش ماهانه</x:v>
      </x:c>
      <x:c r="C2882" s="31" t="str">
        <x:v>B4</x:v>
      </x:c>
      <x:c r="D2882" s="31"/>
      <x:c r="E2882" s="31" t="str">
        <x:v>=SUMIFS(تراکنش‌ها!$F:$F,تراکنش‌ها!$C:$C,$A4,تراکنش‌ها!$B:$B,"درآمد",تراکنش‌ها!$J:$J,"تاییدشده")</x:v>
      </x:c>
    </x:row>
    <x:row r="2883" ht="15" hidden="0" customHeight="1">
      <x:c r="A2883" s="31" t="str">
        <x:v>Anjoman accounting - refined.xlsx</x:v>
      </x:c>
      <x:c r="B2883" s="31" t="str">
        <x:v>گزارش ماهانه</x:v>
      </x:c>
      <x:c r="C2883" s="31" t="str">
        <x:v>C4</x:v>
      </x:c>
      <x:c r="D2883" s="31"/>
      <x:c r="E2883" s="31" t="str">
        <x:v>=SUMIFS(تراکنش‌ها!$F:$F,تراکنش‌ها!$C:$C,$A4,تراکنش‌ها!$B:$B,"هزینه",تراکنش‌ها!$J:$J,"تاییدشده")</x:v>
      </x:c>
    </x:row>
    <x:row r="2884" ht="15" hidden="0" customHeight="1">
      <x:c r="A2884" s="31" t="str">
        <x:v>Anjoman accounting - refined.xlsx</x:v>
      </x:c>
      <x:c r="B2884" s="31" t="str">
        <x:v>گزارش ماهانه</x:v>
      </x:c>
      <x:c r="C2884" s="31" t="str">
        <x:v>D4</x:v>
      </x:c>
      <x:c r="D2884" s="31"/>
      <x:c r="E2884" s="31" t="str">
        <x:v>=B4-C4</x:v>
      </x:c>
    </x:row>
    <x:row r="2885" ht="15" hidden="0" customHeight="1">
      <x:c r="A2885" s="31" t="str">
        <x:v>Anjoman accounting - refined.xlsx</x:v>
      </x:c>
      <x:c r="B2885" s="31" t="str">
        <x:v>گزارش ماهانه</x:v>
      </x:c>
      <x:c r="C2885" s="31" t="str">
        <x:v>E4</x:v>
      </x:c>
      <x:c r="D2885" s="31"/>
      <x:c r="E2885" s="31" t="str">
        <x:v>=SUMIFS(تراکنش‌ها!$F:$F,تراکنش‌ها!$C:$C,$A4,تراکنش‌ها!$B:$B,"درآمد",تراکنش‌ها!$J:$J,"پیشنهادی - نیازمند بررسی")</x:v>
      </x:c>
    </x:row>
    <x:row r="2886" ht="15" hidden="0" customHeight="1">
      <x:c r="A2886" s="31" t="str">
        <x:v>Anjoman accounting - refined.xlsx</x:v>
      </x:c>
      <x:c r="B2886" s="31" t="str">
        <x:v>گزارش ماهانه</x:v>
      </x:c>
      <x:c r="C2886" s="31" t="str">
        <x:v>F4</x:v>
      </x:c>
      <x:c r="D2886" s="31"/>
      <x:c r="E2886" s="31" t="str">
        <x:v>=SUMIFS(تراکنش‌ها!$F:$F,تراکنش‌ها!$C:$C,$A4,تراکنش‌ها!$B:$B,"هزینه",تراکنش‌ها!$J:$J,"پیشنهادی - نیازمند بررسی")</x:v>
      </x:c>
    </x:row>
    <x:row r="2887" ht="15" hidden="0" customHeight="1">
      <x:c r="A2887" s="31" t="str">
        <x:v>Anjoman accounting - refined.xlsx</x:v>
      </x:c>
      <x:c r="B2887" s="31" t="str">
        <x:v>گزارش ماهانه</x:v>
      </x:c>
      <x:c r="C2887" s="31" t="str">
        <x:v>A5</x:v>
      </x:c>
      <x:c r="D2887" s="31" t="str">
        <x:v>شهریور</x:v>
      </x:c>
      <x:c r="E2887" s="31"/>
    </x:row>
    <x:row r="2888" ht="15" hidden="0" customHeight="1">
      <x:c r="A2888" s="31" t="str">
        <x:v>Anjoman accounting - refined.xlsx</x:v>
      </x:c>
      <x:c r="B2888" s="31" t="str">
        <x:v>گزارش ماهانه</x:v>
      </x:c>
      <x:c r="C2888" s="31" t="str">
        <x:v>B5</x:v>
      </x:c>
      <x:c r="D2888" s="31"/>
      <x:c r="E2888" s="31" t="str">
        <x:v>=SUMIFS(تراکنش‌ها!$F:$F,تراکنش‌ها!$C:$C,$A5,تراکنش‌ها!$B:$B,"درآمد",تراکنش‌ها!$J:$J,"تاییدشده")</x:v>
      </x:c>
    </x:row>
    <x:row r="2889" ht="15" hidden="0" customHeight="1">
      <x:c r="A2889" s="31" t="str">
        <x:v>Anjoman accounting - refined.xlsx</x:v>
      </x:c>
      <x:c r="B2889" s="31" t="str">
        <x:v>گزارش ماهانه</x:v>
      </x:c>
      <x:c r="C2889" s="31" t="str">
        <x:v>C5</x:v>
      </x:c>
      <x:c r="D2889" s="31"/>
      <x:c r="E2889" s="31" t="str">
        <x:v>=SUMIFS(تراکنش‌ها!$F:$F,تراکنش‌ها!$C:$C,$A5,تراکنش‌ها!$B:$B,"هزینه",تراکنش‌ها!$J:$J,"تاییدشده")</x:v>
      </x:c>
    </x:row>
    <x:row r="2890" ht="15" hidden="0" customHeight="1">
      <x:c r="A2890" s="31" t="str">
        <x:v>Anjoman accounting - refined.xlsx</x:v>
      </x:c>
      <x:c r="B2890" s="31" t="str">
        <x:v>گزارش ماهانه</x:v>
      </x:c>
      <x:c r="C2890" s="31" t="str">
        <x:v>D5</x:v>
      </x:c>
      <x:c r="D2890" s="31"/>
      <x:c r="E2890" s="31" t="str">
        <x:v>=B5-C5</x:v>
      </x:c>
    </x:row>
    <x:row r="2891" ht="15" hidden="0" customHeight="1">
      <x:c r="A2891" s="31" t="str">
        <x:v>Anjoman accounting - refined.xlsx</x:v>
      </x:c>
      <x:c r="B2891" s="31" t="str">
        <x:v>گزارش ماهانه</x:v>
      </x:c>
      <x:c r="C2891" s="31" t="str">
        <x:v>E5</x:v>
      </x:c>
      <x:c r="D2891" s="31"/>
      <x:c r="E2891" s="31" t="str">
        <x:v>=SUMIFS(تراکنش‌ها!$F:$F,تراکنش‌ها!$C:$C,$A5,تراکنش‌ها!$B:$B,"درآمد",تراکنش‌ها!$J:$J,"پیشنهادی - نیازمند بررسی")</x:v>
      </x:c>
    </x:row>
    <x:row r="2892" ht="15" hidden="0" customHeight="1">
      <x:c r="A2892" s="31" t="str">
        <x:v>Anjoman accounting - refined.xlsx</x:v>
      </x:c>
      <x:c r="B2892" s="31" t="str">
        <x:v>گزارش ماهانه</x:v>
      </x:c>
      <x:c r="C2892" s="31" t="str">
        <x:v>F5</x:v>
      </x:c>
      <x:c r="D2892" s="31"/>
      <x:c r="E2892" s="31" t="str">
        <x:v>=SUMIFS(تراکنش‌ها!$F:$F,تراکنش‌ها!$C:$C,$A5,تراکنش‌ها!$B:$B,"هزینه",تراکنش‌ها!$J:$J,"پیشنهادی - نیازمند بررسی")</x:v>
      </x:c>
    </x:row>
    <x:row r="2893" ht="15" hidden="0" customHeight="1">
      <x:c r="A2893" s="31" t="str">
        <x:v>Anjoman accounting - refined.xlsx</x:v>
      </x:c>
      <x:c r="B2893" s="31" t="str">
        <x:v>گزارش ماهانه</x:v>
      </x:c>
      <x:c r="C2893" s="31" t="str">
        <x:v>A6</x:v>
      </x:c>
      <x:c r="D2893" s="31" t="str">
        <x:v>مهر</x:v>
      </x:c>
      <x:c r="E2893" s="31"/>
    </x:row>
    <x:row r="2894" ht="15" hidden="0" customHeight="1">
      <x:c r="A2894" s="31" t="str">
        <x:v>Anjoman accounting - refined.xlsx</x:v>
      </x:c>
      <x:c r="B2894" s="31" t="str">
        <x:v>گزارش ماهانه</x:v>
      </x:c>
      <x:c r="C2894" s="31" t="str">
        <x:v>B6</x:v>
      </x:c>
      <x:c r="D2894" s="31"/>
      <x:c r="E2894" s="31" t="str">
        <x:v>=SUMIFS(تراکنش‌ها!$F:$F,تراکنش‌ها!$C:$C,$A6,تراکنش‌ها!$B:$B,"درآمد",تراکنش‌ها!$J:$J,"تاییدشده")</x:v>
      </x:c>
    </x:row>
    <x:row r="2895" ht="15" hidden="0" customHeight="1">
      <x:c r="A2895" s="31" t="str">
        <x:v>Anjoman accounting - refined.xlsx</x:v>
      </x:c>
      <x:c r="B2895" s="31" t="str">
        <x:v>گزارش ماهانه</x:v>
      </x:c>
      <x:c r="C2895" s="31" t="str">
        <x:v>C6</x:v>
      </x:c>
      <x:c r="D2895" s="31"/>
      <x:c r="E2895" s="31" t="str">
        <x:v>=SUMIFS(تراکنش‌ها!$F:$F,تراکنش‌ها!$C:$C,$A6,تراکنش‌ها!$B:$B,"هزینه",تراکنش‌ها!$J:$J,"تاییدشده")</x:v>
      </x:c>
    </x:row>
    <x:row r="2896" ht="15" hidden="0" customHeight="1">
      <x:c r="A2896" s="31" t="str">
        <x:v>Anjoman accounting - refined.xlsx</x:v>
      </x:c>
      <x:c r="B2896" s="31" t="str">
        <x:v>گزارش ماهانه</x:v>
      </x:c>
      <x:c r="C2896" s="31" t="str">
        <x:v>D6</x:v>
      </x:c>
      <x:c r="D2896" s="31"/>
      <x:c r="E2896" s="31" t="str">
        <x:v>=B6-C6</x:v>
      </x:c>
    </x:row>
    <x:row r="2897" ht="15" hidden="0" customHeight="1">
      <x:c r="A2897" s="31" t="str">
        <x:v>Anjoman accounting - refined.xlsx</x:v>
      </x:c>
      <x:c r="B2897" s="31" t="str">
        <x:v>گزارش ماهانه</x:v>
      </x:c>
      <x:c r="C2897" s="31" t="str">
        <x:v>E6</x:v>
      </x:c>
      <x:c r="D2897" s="31"/>
      <x:c r="E2897" s="31" t="str">
        <x:v>=SUMIFS(تراکنش‌ها!$F:$F,تراکنش‌ها!$C:$C,$A6,تراکنش‌ها!$B:$B,"درآمد",تراکنش‌ها!$J:$J,"پیشنهادی - نیازمند بررسی")</x:v>
      </x:c>
    </x:row>
    <x:row r="2898" ht="15" hidden="0" customHeight="1">
      <x:c r="A2898" s="31" t="str">
        <x:v>Anjoman accounting - refined.xlsx</x:v>
      </x:c>
      <x:c r="B2898" s="31" t="str">
        <x:v>گزارش ماهانه</x:v>
      </x:c>
      <x:c r="C2898" s="31" t="str">
        <x:v>F6</x:v>
      </x:c>
      <x:c r="D2898" s="31"/>
      <x:c r="E2898" s="31" t="str">
        <x:v>=SUMIFS(تراکنش‌ها!$F:$F,تراکنش‌ها!$C:$C,$A6,تراکنش‌ها!$B:$B,"هزینه",تراکنش‌ها!$J:$J,"پیشنهادی - نیازمند بررسی")</x:v>
      </x:c>
    </x:row>
    <x:row r="2899" ht="15" hidden="0" customHeight="1">
      <x:c r="A2899" s="31" t="str">
        <x:v>Anjoman accounting - refined.xlsx</x:v>
      </x:c>
      <x:c r="B2899" s="31" t="str">
        <x:v>گزارش ماهانه</x:v>
      </x:c>
      <x:c r="C2899" s="31" t="str">
        <x:v>A7</x:v>
      </x:c>
      <x:c r="D2899" s="31" t="str">
        <x:v>آبان</x:v>
      </x:c>
      <x:c r="E2899" s="31"/>
    </x:row>
    <x:row r="2900" ht="15" hidden="0" customHeight="1">
      <x:c r="A2900" s="31" t="str">
        <x:v>Anjoman accounting - refined.xlsx</x:v>
      </x:c>
      <x:c r="B2900" s="31" t="str">
        <x:v>گزارش ماهانه</x:v>
      </x:c>
      <x:c r="C2900" s="31" t="str">
        <x:v>B7</x:v>
      </x:c>
      <x:c r="D2900" s="31"/>
      <x:c r="E2900" s="31" t="str">
        <x:v>=SUMIFS(تراکنش‌ها!$F:$F,تراکنش‌ها!$C:$C,$A7,تراکنش‌ها!$B:$B,"درآمد",تراکنش‌ها!$J:$J,"تاییدشده")</x:v>
      </x:c>
    </x:row>
    <x:row r="2901" ht="15" hidden="0" customHeight="1">
      <x:c r="A2901" s="31" t="str">
        <x:v>Anjoman accounting - refined.xlsx</x:v>
      </x:c>
      <x:c r="B2901" s="31" t="str">
        <x:v>گزارش ماهانه</x:v>
      </x:c>
      <x:c r="C2901" s="31" t="str">
        <x:v>C7</x:v>
      </x:c>
      <x:c r="D2901" s="31"/>
      <x:c r="E2901" s="31" t="str">
        <x:v>=SUMIFS(تراکنش‌ها!$F:$F,تراکنش‌ها!$C:$C,$A7,تراکنش‌ها!$B:$B,"هزینه",تراکنش‌ها!$J:$J,"تاییدشده")</x:v>
      </x:c>
    </x:row>
    <x:row r="2902" ht="15" hidden="0" customHeight="1">
      <x:c r="A2902" s="31" t="str">
        <x:v>Anjoman accounting - refined.xlsx</x:v>
      </x:c>
      <x:c r="B2902" s="31" t="str">
        <x:v>گزارش ماهانه</x:v>
      </x:c>
      <x:c r="C2902" s="31" t="str">
        <x:v>D7</x:v>
      </x:c>
      <x:c r="D2902" s="31"/>
      <x:c r="E2902" s="31" t="str">
        <x:v>=B7-C7</x:v>
      </x:c>
    </x:row>
    <x:row r="2903" ht="15" hidden="0" customHeight="1">
      <x:c r="A2903" s="31" t="str">
        <x:v>Anjoman accounting - refined.xlsx</x:v>
      </x:c>
      <x:c r="B2903" s="31" t="str">
        <x:v>گزارش ماهانه</x:v>
      </x:c>
      <x:c r="C2903" s="31" t="str">
        <x:v>E7</x:v>
      </x:c>
      <x:c r="D2903" s="31"/>
      <x:c r="E2903" s="31" t="str">
        <x:v>=SUMIFS(تراکنش‌ها!$F:$F,تراکنش‌ها!$C:$C,$A7,تراکنش‌ها!$B:$B,"درآمد",تراکنش‌ها!$J:$J,"پیشنهادی - نیازمند بررسی")</x:v>
      </x:c>
    </x:row>
    <x:row r="2904" ht="15" hidden="0" customHeight="1">
      <x:c r="A2904" s="31" t="str">
        <x:v>Anjoman accounting - refined.xlsx</x:v>
      </x:c>
      <x:c r="B2904" s="31" t="str">
        <x:v>گزارش ماهانه</x:v>
      </x:c>
      <x:c r="C2904" s="31" t="str">
        <x:v>F7</x:v>
      </x:c>
      <x:c r="D2904" s="31"/>
      <x:c r="E2904" s="31" t="str">
        <x:v>=SUMIFS(تراکنش‌ها!$F:$F,تراکنش‌ها!$C:$C,$A7,تراکنش‌ها!$B:$B,"هزینه",تراکنش‌ها!$J:$J,"پیشنهادی - نیازمند بررسی")</x:v>
      </x:c>
    </x:row>
    <x:row r="2905" ht="15" hidden="0" customHeight="1">
      <x:c r="A2905" s="31" t="str">
        <x:v>Anjoman accounting - refined.xlsx</x:v>
      </x:c>
      <x:c r="B2905" s="31" t="str">
        <x:v>گزارش ماهانه</x:v>
      </x:c>
      <x:c r="C2905" s="31" t="str">
        <x:v>A8</x:v>
      </x:c>
      <x:c r="D2905" s="31" t="str">
        <x:v>آذر</x:v>
      </x:c>
      <x:c r="E2905" s="31"/>
    </x:row>
    <x:row r="2906" ht="15" hidden="0" customHeight="1">
      <x:c r="A2906" s="31" t="str">
        <x:v>Anjoman accounting - refined.xlsx</x:v>
      </x:c>
      <x:c r="B2906" s="31" t="str">
        <x:v>گزارش ماهانه</x:v>
      </x:c>
      <x:c r="C2906" s="31" t="str">
        <x:v>B8</x:v>
      </x:c>
      <x:c r="D2906" s="31"/>
      <x:c r="E2906" s="31" t="str">
        <x:v>=SUMIFS(تراکنش‌ها!$F:$F,تراکنش‌ها!$C:$C,$A8,تراکنش‌ها!$B:$B,"درآمد",تراکنش‌ها!$J:$J,"تاییدشده")</x:v>
      </x:c>
    </x:row>
    <x:row r="2907" ht="15" hidden="0" customHeight="1">
      <x:c r="A2907" s="31" t="str">
        <x:v>Anjoman accounting - refined.xlsx</x:v>
      </x:c>
      <x:c r="B2907" s="31" t="str">
        <x:v>گزارش ماهانه</x:v>
      </x:c>
      <x:c r="C2907" s="31" t="str">
        <x:v>C8</x:v>
      </x:c>
      <x:c r="D2907" s="31"/>
      <x:c r="E2907" s="31" t="str">
        <x:v>=SUMIFS(تراکنش‌ها!$F:$F,تراکنش‌ها!$C:$C,$A8,تراکنش‌ها!$B:$B,"هزینه",تراکنش‌ها!$J:$J,"تاییدشده")</x:v>
      </x:c>
    </x:row>
    <x:row r="2908" ht="15" hidden="0" customHeight="1">
      <x:c r="A2908" s="31" t="str">
        <x:v>Anjoman accounting - refined.xlsx</x:v>
      </x:c>
      <x:c r="B2908" s="31" t="str">
        <x:v>گزارش ماهانه</x:v>
      </x:c>
      <x:c r="C2908" s="31" t="str">
        <x:v>D8</x:v>
      </x:c>
      <x:c r="D2908" s="31"/>
      <x:c r="E2908" s="31" t="str">
        <x:v>=B8-C8</x:v>
      </x:c>
    </x:row>
    <x:row r="2909" ht="15" hidden="0" customHeight="1">
      <x:c r="A2909" s="31" t="str">
        <x:v>Anjoman accounting - refined.xlsx</x:v>
      </x:c>
      <x:c r="B2909" s="31" t="str">
        <x:v>گزارش ماهانه</x:v>
      </x:c>
      <x:c r="C2909" s="31" t="str">
        <x:v>E8</x:v>
      </x:c>
      <x:c r="D2909" s="31"/>
      <x:c r="E2909" s="31" t="str">
        <x:v>=SUMIFS(تراکنش‌ها!$F:$F,تراکنش‌ها!$C:$C,$A8,تراکنش‌ها!$B:$B,"درآمد",تراکنش‌ها!$J:$J,"پیشنهادی - نیازمند بررسی")</x:v>
      </x:c>
    </x:row>
    <x:row r="2910" ht="15" hidden="0" customHeight="1">
      <x:c r="A2910" s="31" t="str">
        <x:v>Anjoman accounting - refined.xlsx</x:v>
      </x:c>
      <x:c r="B2910" s="31" t="str">
        <x:v>گزارش ماهانه</x:v>
      </x:c>
      <x:c r="C2910" s="31" t="str">
        <x:v>F8</x:v>
      </x:c>
      <x:c r="D2910" s="31"/>
      <x:c r="E2910" s="31" t="str">
        <x:v>=SUMIFS(تراکنش‌ها!$F:$F,تراکنش‌ها!$C:$C,$A8,تراکنش‌ها!$B:$B,"هزینه",تراکنش‌ها!$J:$J,"پیشنهادی - نیازمند بررسی")</x:v>
      </x:c>
    </x:row>
    <x:row r="2911" ht="15" hidden="0" customHeight="1">
      <x:c r="A2911" s="31" t="str">
        <x:v>Anjoman accounting - refined.xlsx</x:v>
      </x:c>
      <x:c r="B2911" s="31" t="str">
        <x:v>گزارش ماهانه</x:v>
      </x:c>
      <x:c r="C2911" s="31" t="str">
        <x:v>A9</x:v>
      </x:c>
      <x:c r="D2911" s="31" t="str">
        <x:v>دی</x:v>
      </x:c>
      <x:c r="E2911" s="31"/>
    </x:row>
    <x:row r="2912" ht="15" hidden="0" customHeight="1">
      <x:c r="A2912" s="31" t="str">
        <x:v>Anjoman accounting - refined.xlsx</x:v>
      </x:c>
      <x:c r="B2912" s="31" t="str">
        <x:v>گزارش ماهانه</x:v>
      </x:c>
      <x:c r="C2912" s="31" t="str">
        <x:v>B9</x:v>
      </x:c>
      <x:c r="D2912" s="31"/>
      <x:c r="E2912" s="31" t="str">
        <x:v>=SUMIFS(تراکنش‌ها!$F:$F,تراکنش‌ها!$C:$C,$A9,تراکنش‌ها!$B:$B,"درآمد",تراکنش‌ها!$J:$J,"تاییدشده")</x:v>
      </x:c>
    </x:row>
    <x:row r="2913" ht="15" hidden="0" customHeight="1">
      <x:c r="A2913" s="31" t="str">
        <x:v>Anjoman accounting - refined.xlsx</x:v>
      </x:c>
      <x:c r="B2913" s="31" t="str">
        <x:v>گزارش ماهانه</x:v>
      </x:c>
      <x:c r="C2913" s="31" t="str">
        <x:v>C9</x:v>
      </x:c>
      <x:c r="D2913" s="31"/>
      <x:c r="E2913" s="31" t="str">
        <x:v>=SUMIFS(تراکنش‌ها!$F:$F,تراکنش‌ها!$C:$C,$A9,تراکنش‌ها!$B:$B,"هزینه",تراکنش‌ها!$J:$J,"تاییدشده")</x:v>
      </x:c>
    </x:row>
    <x:row r="2914" ht="15" hidden="0" customHeight="1">
      <x:c r="A2914" s="31" t="str">
        <x:v>Anjoman accounting - refined.xlsx</x:v>
      </x:c>
      <x:c r="B2914" s="31" t="str">
        <x:v>گزارش ماهانه</x:v>
      </x:c>
      <x:c r="C2914" s="31" t="str">
        <x:v>D9</x:v>
      </x:c>
      <x:c r="D2914" s="31"/>
      <x:c r="E2914" s="31" t="str">
        <x:v>=B9-C9</x:v>
      </x:c>
    </x:row>
    <x:row r="2915" ht="15" hidden="0" customHeight="1">
      <x:c r="A2915" s="31" t="str">
        <x:v>Anjoman accounting - refined.xlsx</x:v>
      </x:c>
      <x:c r="B2915" s="31" t="str">
        <x:v>گزارش ماهانه</x:v>
      </x:c>
      <x:c r="C2915" s="31" t="str">
        <x:v>E9</x:v>
      </x:c>
      <x:c r="D2915" s="31"/>
      <x:c r="E2915" s="31" t="str">
        <x:v>=SUMIFS(تراکنش‌ها!$F:$F,تراکنش‌ها!$C:$C,$A9,تراکنش‌ها!$B:$B,"درآمد",تراکنش‌ها!$J:$J,"پیشنهادی - نیازمند بررسی")</x:v>
      </x:c>
    </x:row>
    <x:row r="2916" ht="15" hidden="0" customHeight="1">
      <x:c r="A2916" s="31" t="str">
        <x:v>Anjoman accounting - refined.xlsx</x:v>
      </x:c>
      <x:c r="B2916" s="31" t="str">
        <x:v>گزارش ماهانه</x:v>
      </x:c>
      <x:c r="C2916" s="31" t="str">
        <x:v>F9</x:v>
      </x:c>
      <x:c r="D2916" s="31"/>
      <x:c r="E2916" s="31" t="str">
        <x:v>=SUMIFS(تراکنش‌ها!$F:$F,تراکنش‌ها!$C:$C,$A9,تراکنش‌ها!$B:$B,"هزینه",تراکنش‌ها!$J:$J,"پیشنهادی - نیازمند بررسی")</x:v>
      </x:c>
    </x:row>
    <x:row r="2917" ht="15" hidden="0" customHeight="1">
      <x:c r="A2917" s="31" t="str">
        <x:v>Anjoman accounting - refined.xlsx</x:v>
      </x:c>
      <x:c r="B2917" s="31" t="str">
        <x:v>گزارش ماهانه</x:v>
      </x:c>
      <x:c r="C2917" s="31" t="str">
        <x:v>A10</x:v>
      </x:c>
      <x:c r="D2917" s="31" t="str">
        <x:v>1405/06/07</x:v>
      </x:c>
      <x:c r="E2917" s="31"/>
    </x:row>
    <x:row r="2918" ht="15" hidden="0" customHeight="1">
      <x:c r="A2918" s="31" t="str">
        <x:v>Anjoman accounting - refined.xlsx</x:v>
      </x:c>
      <x:c r="B2918" s="31" t="str">
        <x:v>گزارش ماهانه</x:v>
      </x:c>
      <x:c r="C2918" s="31" t="str">
        <x:v>B10</x:v>
      </x:c>
      <x:c r="D2918" s="31"/>
      <x:c r="E2918" s="31" t="str">
        <x:v>=SUMIFS(تراکنش‌ها!$F:$F,تراکنش‌ها!$C:$C,$A10,تراکنش‌ها!$B:$B,"درآمد",تراکنش‌ها!$J:$J,"تاییدشده")</x:v>
      </x:c>
    </x:row>
    <x:row r="2919" ht="15" hidden="0" customHeight="1">
      <x:c r="A2919" s="31" t="str">
        <x:v>Anjoman accounting - refined.xlsx</x:v>
      </x:c>
      <x:c r="B2919" s="31" t="str">
        <x:v>گزارش ماهانه</x:v>
      </x:c>
      <x:c r="C2919" s="31" t="str">
        <x:v>C10</x:v>
      </x:c>
      <x:c r="D2919" s="31"/>
      <x:c r="E2919" s="31" t="str">
        <x:v>=SUMIFS(تراکنش‌ها!$F:$F,تراکنش‌ها!$C:$C,$A10,تراکنش‌ها!$B:$B,"هزینه",تراکنش‌ها!$J:$J,"تاییدشده")</x:v>
      </x:c>
    </x:row>
    <x:row r="2920" ht="15" hidden="0" customHeight="1">
      <x:c r="A2920" s="31" t="str">
        <x:v>Anjoman accounting - refined.xlsx</x:v>
      </x:c>
      <x:c r="B2920" s="31" t="str">
        <x:v>گزارش ماهانه</x:v>
      </x:c>
      <x:c r="C2920" s="31" t="str">
        <x:v>D10</x:v>
      </x:c>
      <x:c r="D2920" s="31"/>
      <x:c r="E2920" s="31" t="str">
        <x:v>=B10-C10</x:v>
      </x:c>
    </x:row>
    <x:row r="2921" ht="15" hidden="0" customHeight="1">
      <x:c r="A2921" s="31" t="str">
        <x:v>Anjoman accounting - refined.xlsx</x:v>
      </x:c>
      <x:c r="B2921" s="31" t="str">
        <x:v>گزارش ماهانه</x:v>
      </x:c>
      <x:c r="C2921" s="31" t="str">
        <x:v>E10</x:v>
      </x:c>
      <x:c r="D2921" s="31"/>
      <x:c r="E2921" s="31" t="str">
        <x:v>=SUMIFS(تراکنش‌ها!$F:$F,تراکنش‌ها!$C:$C,$A10,تراکنش‌ها!$B:$B,"درآمد",تراکنش‌ها!$J:$J,"پیشنهادی - نیازمند بررسی")</x:v>
      </x:c>
    </x:row>
    <x:row r="2922" ht="15" hidden="0" customHeight="1">
      <x:c r="A2922" s="31" t="str">
        <x:v>Anjoman accounting - refined.xlsx</x:v>
      </x:c>
      <x:c r="B2922" s="31" t="str">
        <x:v>گزارش ماهانه</x:v>
      </x:c>
      <x:c r="C2922" s="31" t="str">
        <x:v>F10</x:v>
      </x:c>
      <x:c r="D2922" s="31"/>
      <x:c r="E2922" s="31" t="str">
        <x:v>=SUMIFS(تراکنش‌ها!$F:$F,تراکنش‌ها!$C:$C,$A10,تراکنش‌ها!$B:$B,"هزینه",تراکنش‌ها!$J:$J,"پیشنهادی - نیازمند بررسی")</x:v>
      </x:c>
    </x:row>
    <x:row r="2923" ht="15" hidden="0" customHeight="1">
      <x:c r="A2923" s="31" t="str">
        <x:v>Anjoman accounting - refined.xlsx</x:v>
      </x:c>
      <x:c r="B2923" s="31" t="str">
        <x:v>گزارش ماهانه</x:v>
      </x:c>
      <x:c r="C2923" s="31" t="str">
        <x:v>A11</x:v>
      </x:c>
      <x:c r="D2923" s="31" t="str">
        <x:v>1405/07</x:v>
      </x:c>
      <x:c r="E2923" s="31"/>
    </x:row>
    <x:row r="2924" ht="15" hidden="0" customHeight="1">
      <x:c r="A2924" s="31" t="str">
        <x:v>Anjoman accounting - refined.xlsx</x:v>
      </x:c>
      <x:c r="B2924" s="31" t="str">
        <x:v>گزارش ماهانه</x:v>
      </x:c>
      <x:c r="C2924" s="31" t="str">
        <x:v>B11</x:v>
      </x:c>
      <x:c r="D2924" s="31"/>
      <x:c r="E2924" s="31" t="str">
        <x:v>=SUMIFS(تراکنش‌ها!$F:$F,تراکنش‌ها!$C:$C,$A11,تراکنش‌ها!$B:$B,"درآمد",تراکنش‌ها!$J:$J,"تاییدشده")</x:v>
      </x:c>
    </x:row>
    <x:row r="2925" ht="15" hidden="0" customHeight="1">
      <x:c r="A2925" s="31" t="str">
        <x:v>Anjoman accounting - refined.xlsx</x:v>
      </x:c>
      <x:c r="B2925" s="31" t="str">
        <x:v>گزارش ماهانه</x:v>
      </x:c>
      <x:c r="C2925" s="31" t="str">
        <x:v>C11</x:v>
      </x:c>
      <x:c r="D2925" s="31"/>
      <x:c r="E2925" s="31" t="str">
        <x:v>=SUMIFS(تراکنش‌ها!$F:$F,تراکنش‌ها!$C:$C,$A11,تراکنش‌ها!$B:$B,"هزینه",تراکنش‌ها!$J:$J,"تاییدشده")</x:v>
      </x:c>
    </x:row>
    <x:row r="2926" ht="15" hidden="0" customHeight="1">
      <x:c r="A2926" s="31" t="str">
        <x:v>Anjoman accounting - refined.xlsx</x:v>
      </x:c>
      <x:c r="B2926" s="31" t="str">
        <x:v>گزارش ماهانه</x:v>
      </x:c>
      <x:c r="C2926" s="31" t="str">
        <x:v>D11</x:v>
      </x:c>
      <x:c r="D2926" s="31"/>
      <x:c r="E2926" s="31" t="str">
        <x:v>=B11-C11</x:v>
      </x:c>
    </x:row>
    <x:row r="2927" ht="15" hidden="0" customHeight="1">
      <x:c r="A2927" s="31" t="str">
        <x:v>Anjoman accounting - refined.xlsx</x:v>
      </x:c>
      <x:c r="B2927" s="31" t="str">
        <x:v>گزارش ماهانه</x:v>
      </x:c>
      <x:c r="C2927" s="31" t="str">
        <x:v>E11</x:v>
      </x:c>
      <x:c r="D2927" s="31"/>
      <x:c r="E2927" s="31" t="str">
        <x:v>=SUMIFS(تراکنش‌ها!$F:$F,تراکنش‌ها!$C:$C,$A11,تراکنش‌ها!$B:$B,"درآمد",تراکنش‌ها!$J:$J,"پیشنهادی - نیازمند بررسی")</x:v>
      </x:c>
    </x:row>
    <x:row r="2928" ht="15" hidden="0" customHeight="1">
      <x:c r="A2928" s="31" t="str">
        <x:v>Anjoman accounting - refined.xlsx</x:v>
      </x:c>
      <x:c r="B2928" s="31" t="str">
        <x:v>گزارش ماهانه</x:v>
      </x:c>
      <x:c r="C2928" s="31" t="str">
        <x:v>F11</x:v>
      </x:c>
      <x:c r="D2928" s="31"/>
      <x:c r="E2928" s="31" t="str">
        <x:v>=SUMIFS(تراکنش‌ها!$F:$F,تراکنش‌ها!$C:$C,$A11,تراکنش‌ها!$B:$B,"هزینه",تراکنش‌ها!$J:$J,"پیشنهادی - نیازمند بررسی")</x:v>
      </x:c>
    </x:row>
    <x:row r="2929" ht="15" hidden="0" customHeight="1">
      <x:c r="A2929" s="31" t="str">
        <x:v>Anjoman accounting - refined.xlsx</x:v>
      </x:c>
      <x:c r="B2929" s="31" t="str">
        <x:v>گزارش ماهانه</x:v>
      </x:c>
      <x:c r="C2929" s="31" t="str">
        <x:v>A12</x:v>
      </x:c>
      <x:c r="D2929" s="31" t="str">
        <x:v>نامشخص</x:v>
      </x:c>
      <x:c r="E2929" s="31"/>
    </x:row>
    <x:row r="2930" ht="15" hidden="0" customHeight="1">
      <x:c r="A2930" s="31" t="str">
        <x:v>Anjoman accounting - refined.xlsx</x:v>
      </x:c>
      <x:c r="B2930" s="31" t="str">
        <x:v>گزارش ماهانه</x:v>
      </x:c>
      <x:c r="C2930" s="31" t="str">
        <x:v>B12</x:v>
      </x:c>
      <x:c r="D2930" s="31"/>
      <x:c r="E2930" s="31" t="str">
        <x:v>=SUMIFS(تراکنش‌ها!$F:$F,تراکنش‌ها!$C:$C,$A12,تراکنش‌ها!$B:$B,"درآمد",تراکنش‌ها!$J:$J,"تاییدشده")</x:v>
      </x:c>
    </x:row>
    <x:row r="2931" ht="15" hidden="0" customHeight="1">
      <x:c r="A2931" s="31" t="str">
        <x:v>Anjoman accounting - refined.xlsx</x:v>
      </x:c>
      <x:c r="B2931" s="31" t="str">
        <x:v>گزارش ماهانه</x:v>
      </x:c>
      <x:c r="C2931" s="31" t="str">
        <x:v>C12</x:v>
      </x:c>
      <x:c r="D2931" s="31"/>
      <x:c r="E2931" s="31" t="str">
        <x:v>=SUMIFS(تراکنش‌ها!$F:$F,تراکنش‌ها!$C:$C,$A12,تراکنش‌ها!$B:$B,"هزینه",تراکنش‌ها!$J:$J,"تاییدشده")</x:v>
      </x:c>
    </x:row>
    <x:row r="2932" ht="15" hidden="0" customHeight="1">
      <x:c r="A2932" s="31" t="str">
        <x:v>Anjoman accounting - refined.xlsx</x:v>
      </x:c>
      <x:c r="B2932" s="31" t="str">
        <x:v>گزارش ماهانه</x:v>
      </x:c>
      <x:c r="C2932" s="31" t="str">
        <x:v>D12</x:v>
      </x:c>
      <x:c r="D2932" s="31"/>
      <x:c r="E2932" s="31" t="str">
        <x:v>=B12-C12</x:v>
      </x:c>
    </x:row>
    <x:row r="2933" ht="15" hidden="0" customHeight="1">
      <x:c r="A2933" s="31" t="str">
        <x:v>Anjoman accounting - refined.xlsx</x:v>
      </x:c>
      <x:c r="B2933" s="31" t="str">
        <x:v>گزارش ماهانه</x:v>
      </x:c>
      <x:c r="C2933" s="31" t="str">
        <x:v>E12</x:v>
      </x:c>
      <x:c r="D2933" s="31"/>
      <x:c r="E2933" s="31" t="str">
        <x:v>=SUMIFS(تراکنش‌ها!$F:$F,تراکنش‌ها!$C:$C,$A12,تراکنش‌ها!$B:$B,"درآمد",تراکنش‌ها!$J:$J,"پیشنهادی - نیازمند بررسی")</x:v>
      </x:c>
    </x:row>
    <x:row r="2934" ht="15" hidden="0" customHeight="1">
      <x:c r="A2934" s="31" t="str">
        <x:v>Anjoman accounting - refined.xlsx</x:v>
      </x:c>
      <x:c r="B2934" s="31" t="str">
        <x:v>گزارش ماهانه</x:v>
      </x:c>
      <x:c r="C2934" s="31" t="str">
        <x:v>F12</x:v>
      </x:c>
      <x:c r="D2934" s="31"/>
      <x:c r="E2934" s="31" t="str">
        <x:v>=SUMIFS(تراکنش‌ها!$F:$F,تراکنش‌ها!$C:$C,$A12,تراکنش‌ها!$B:$B,"هزینه",تراکنش‌ها!$J:$J,"پیشنهادی - نیازمند بررسی")</x:v>
      </x:c>
    </x:row>
    <x:row r="2935" ht="15" hidden="0" customHeight="1">
      <x:c r="A2935" s="31" t="str">
        <x:v>Anjoman accounting - refined.xlsx</x:v>
      </x:c>
      <x:c r="B2935" s="31" t="str">
        <x:v>دسته‌بندی‌ها</x:v>
      </x:c>
      <x:c r="C2935" s="31" t="str">
        <x:v>A1</x:v>
      </x:c>
      <x:c r="D2935" s="31" t="str">
        <x:v>تعریف دسته‌بندی‌ها</x:v>
      </x:c>
      <x:c r="E2935" s="31"/>
    </x:row>
    <x:row r="2936" ht="15" hidden="0" customHeight="1">
      <x:c r="A2936" s="31" t="str">
        <x:v>Anjoman accounting - refined.xlsx</x:v>
      </x:c>
      <x:c r="B2936" s="31" t="str">
        <x:v>دسته‌بندی‌ها</x:v>
      </x:c>
      <x:c r="C2936" s="31" t="str">
        <x:v>A2</x:v>
      </x:c>
      <x:c r="D2936" s="31" t="str">
        <x:v>نسخه refined | واحد گزارش: تومان | مبالغ نامطمئن در صف بررسی از جمع تاییدشده حذف می‌شوند.</x:v>
      </x:c>
      <x:c r="E2936" s="31"/>
    </x:row>
    <x:row r="2937" ht="15" hidden="0" customHeight="1">
      <x:c r="A2937" s="31" t="str">
        <x:v>Anjoman accounting - refined.xlsx</x:v>
      </x:c>
      <x:c r="B2937" s="31" t="str">
        <x:v>دسته‌بندی‌ها</x:v>
      </x:c>
      <x:c r="C2937" s="31" t="str">
        <x:v>A3</x:v>
      </x:c>
      <x:c r="D2937" s="31" t="str">
        <x:v>دسته‌بندی</x:v>
      </x:c>
      <x:c r="E2937" s="31"/>
    </x:row>
    <x:row r="2938" ht="15" hidden="0" customHeight="1">
      <x:c r="A2938" s="31" t="str">
        <x:v>Anjoman accounting - refined.xlsx</x:v>
      </x:c>
      <x:c r="B2938" s="31" t="str">
        <x:v>دسته‌بندی‌ها</x:v>
      </x:c>
      <x:c r="C2938" s="31" t="str">
        <x:v>B3</x:v>
      </x:c>
      <x:c r="D2938" s="31" t="str">
        <x:v>نوع</x:v>
      </x:c>
      <x:c r="E2938" s="31"/>
    </x:row>
    <x:row r="2939" ht="15" hidden="0" customHeight="1">
      <x:c r="A2939" s="31" t="str">
        <x:v>Anjoman accounting - refined.xlsx</x:v>
      </x:c>
      <x:c r="B2939" s="31" t="str">
        <x:v>دسته‌بندی‌ها</x:v>
      </x:c>
      <x:c r="C2939" s="31" t="str">
        <x:v>C3</x:v>
      </x:c>
      <x:c r="D2939" s="31" t="str">
        <x:v>توضیح</x:v>
      </x:c>
      <x:c r="E2939" s="31"/>
    </x:row>
    <x:row r="2940" ht="15" hidden="0" customHeight="1">
      <x:c r="A2940" s="31" t="str">
        <x:v>Anjoman accounting - refined.xlsx</x:v>
      </x:c>
      <x:c r="B2940" s="31" t="str">
        <x:v>دسته‌بندی‌ها</x:v>
      </x:c>
      <x:c r="C2940" s="31" t="str">
        <x:v>A4</x:v>
      </x:c>
      <x:c r="D2940" s="31" t="str">
        <x:v>درآمد دوره</x:v>
      </x:c>
      <x:c r="E2940" s="31"/>
    </x:row>
    <x:row r="2941" ht="15" hidden="0" customHeight="1">
      <x:c r="A2941" s="31" t="str">
        <x:v>Anjoman accounting - refined.xlsx</x:v>
      </x:c>
      <x:c r="B2941" s="31" t="str">
        <x:v>دسته‌بندی‌ها</x:v>
      </x:c>
      <x:c r="C2941" s="31" t="str">
        <x:v>B4</x:v>
      </x:c>
      <x:c r="D2941" s="31" t="str">
        <x:v>درآمد</x:v>
      </x:c>
      <x:c r="E2941" s="31"/>
    </x:row>
    <x:row r="2942" ht="15" hidden="0" customHeight="1">
      <x:c r="A2942" s="31" t="str">
        <x:v>Anjoman accounting - refined.xlsx</x:v>
      </x:c>
      <x:c r="B2942" s="31" t="str">
        <x:v>دسته‌بندی‌ها</x:v>
      </x:c>
      <x:c r="C2942" s="31" t="str">
        <x:v>C4</x:v>
      </x:c>
      <x:c r="D2942" s="31" t="str">
        <x:v>دریافت مرتبط با دوره‌های آموزشی</x:v>
      </x:c>
      <x:c r="E2942" s="31"/>
    </x:row>
    <x:row r="2943" ht="15" hidden="0" customHeight="1">
      <x:c r="A2943" s="31" t="str">
        <x:v>Anjoman accounting - refined.xlsx</x:v>
      </x:c>
      <x:c r="B2943" s="31" t="str">
        <x:v>دسته‌بندی‌ها</x:v>
      </x:c>
      <x:c r="C2943" s="31" t="str">
        <x:v>A5</x:v>
      </x:c>
      <x:c r="D2943" s="31" t="str">
        <x:v>درآمد رویداد</x:v>
      </x:c>
      <x:c r="E2943" s="31"/>
    </x:row>
    <x:row r="2944" ht="15" hidden="0" customHeight="1">
      <x:c r="A2944" s="31" t="str">
        <x:v>Anjoman accounting - refined.xlsx</x:v>
      </x:c>
      <x:c r="B2944" s="31" t="str">
        <x:v>دسته‌بندی‌ها</x:v>
      </x:c>
      <x:c r="C2944" s="31" t="str">
        <x:v>B5</x:v>
      </x:c>
      <x:c r="D2944" s="31" t="str">
        <x:v>درآمد</x:v>
      </x:c>
      <x:c r="E2944" s="31"/>
    </x:row>
    <x:row r="2945" ht="15" hidden="0" customHeight="1">
      <x:c r="A2945" s="31" t="str">
        <x:v>Anjoman accounting - refined.xlsx</x:v>
      </x:c>
      <x:c r="B2945" s="31" t="str">
        <x:v>دسته‌بندی‌ها</x:v>
      </x:c>
      <x:c r="C2945" s="31" t="str">
        <x:v>C5</x:v>
      </x:c>
      <x:c r="D2945" s="31" t="str">
        <x:v>بلیت، ثبت‌نام یا درآمد رویداد</x:v>
      </x:c>
      <x:c r="E2945" s="31"/>
    </x:row>
    <x:row r="2946" ht="15" hidden="0" customHeight="1">
      <x:c r="A2946" s="31" t="str">
        <x:v>Anjoman accounting - refined.xlsx</x:v>
      </x:c>
      <x:c r="B2946" s="31" t="str">
        <x:v>دسته‌بندی‌ها</x:v>
      </x:c>
      <x:c r="C2946" s="31" t="str">
        <x:v>A6</x:v>
      </x:c>
      <x:c r="D2946" s="31" t="str">
        <x:v>کمک و دونیشن</x:v>
      </x:c>
      <x:c r="E2946" s="31"/>
    </x:row>
    <x:row r="2947" ht="15" hidden="0" customHeight="1">
      <x:c r="A2947" s="31" t="str">
        <x:v>Anjoman accounting - refined.xlsx</x:v>
      </x:c>
      <x:c r="B2947" s="31" t="str">
        <x:v>دسته‌بندی‌ها</x:v>
      </x:c>
      <x:c r="C2947" s="31" t="str">
        <x:v>B6</x:v>
      </x:c>
      <x:c r="D2947" s="31" t="str">
        <x:v>درآمد</x:v>
      </x:c>
      <x:c r="E2947" s="31"/>
    </x:row>
    <x:row r="2948" ht="15" hidden="0" customHeight="1">
      <x:c r="A2948" s="31" t="str">
        <x:v>Anjoman accounting - refined.xlsx</x:v>
      </x:c>
      <x:c r="B2948" s="31" t="str">
        <x:v>دسته‌بندی‌ها</x:v>
      </x:c>
      <x:c r="C2948" s="31" t="str">
        <x:v>C6</x:v>
      </x:c>
      <x:c r="D2948" s="31" t="str">
        <x:v>کمک‌های نقدی/واریزی انجمن</x:v>
      </x:c>
      <x:c r="E2948" s="31"/>
    </x:row>
    <x:row r="2949" ht="15" hidden="0" customHeight="1">
      <x:c r="A2949" s="31" t="str">
        <x:v>Anjoman accounting - refined.xlsx</x:v>
      </x:c>
      <x:c r="B2949" s="31" t="str">
        <x:v>دسته‌بندی‌ها</x:v>
      </x:c>
      <x:c r="C2949" s="31" t="str">
        <x:v>A7</x:v>
      </x:c>
      <x:c r="D2949" s="31" t="str">
        <x:v>هزینه مدرس و دستیار</x:v>
      </x:c>
      <x:c r="E2949" s="31"/>
    </x:row>
    <x:row r="2950" ht="15" hidden="0" customHeight="1">
      <x:c r="A2950" s="31" t="str">
        <x:v>Anjoman accounting - refined.xlsx</x:v>
      </x:c>
      <x:c r="B2950" s="31" t="str">
        <x:v>دسته‌بندی‌ها</x:v>
      </x:c>
      <x:c r="C2950" s="31" t="str">
        <x:v>B7</x:v>
      </x:c>
      <x:c r="D2950" s="31" t="str">
        <x:v>هزینه</x:v>
      </x:c>
      <x:c r="E2950" s="31"/>
    </x:row>
    <x:row r="2951" ht="15" hidden="0" customHeight="1">
      <x:c r="A2951" s="31" t="str">
        <x:v>Anjoman accounting - refined.xlsx</x:v>
      </x:c>
      <x:c r="B2951" s="31" t="str">
        <x:v>دسته‌بندی‌ها</x:v>
      </x:c>
      <x:c r="C2951" s="31" t="str">
        <x:v>C7</x:v>
      </x:c>
      <x:c r="D2951" s="31" t="str">
        <x:v>حق‌التدریس، TA و پشتیبانی</x:v>
      </x:c>
      <x:c r="E2951" s="31"/>
    </x:row>
    <x:row r="2952" ht="15" hidden="0" customHeight="1">
      <x:c r="A2952" s="31" t="str">
        <x:v>Anjoman accounting - refined.xlsx</x:v>
      </x:c>
      <x:c r="B2952" s="31" t="str">
        <x:v>دسته‌بندی‌ها</x:v>
      </x:c>
      <x:c r="C2952" s="31" t="str">
        <x:v>A8</x:v>
      </x:c>
      <x:c r="D2952" s="31" t="str">
        <x:v>هزینه رویداد</x:v>
      </x:c>
      <x:c r="E2952" s="31"/>
    </x:row>
    <x:row r="2953" ht="15" hidden="0" customHeight="1">
      <x:c r="A2953" s="31" t="str">
        <x:v>Anjoman accounting - refined.xlsx</x:v>
      </x:c>
      <x:c r="B2953" s="31" t="str">
        <x:v>دسته‌بندی‌ها</x:v>
      </x:c>
      <x:c r="C2953" s="31" t="str">
        <x:v>B8</x:v>
      </x:c>
      <x:c r="D2953" s="31" t="str">
        <x:v>هزینه</x:v>
      </x:c>
      <x:c r="E2953" s="31"/>
    </x:row>
    <x:row r="2954" ht="15" hidden="0" customHeight="1">
      <x:c r="A2954" s="31" t="str">
        <x:v>Anjoman accounting - refined.xlsx</x:v>
      </x:c>
      <x:c r="B2954" s="31" t="str">
        <x:v>دسته‌بندی‌ها</x:v>
      </x:c>
      <x:c r="C2954" s="31" t="str">
        <x:v>C8</x:v>
      </x:c>
      <x:c r="D2954" s="31" t="str">
        <x:v>پذیرایی، تدارکات، تبلیغات و اجرا</x:v>
      </x:c>
      <x:c r="E2954" s="31"/>
    </x:row>
    <x:row r="2955" ht="15" hidden="0" customHeight="1">
      <x:c r="A2955" s="31" t="str">
        <x:v>Anjoman accounting - refined.xlsx</x:v>
      </x:c>
      <x:c r="B2955" s="31" t="str">
        <x:v>دسته‌بندی‌ها</x:v>
      </x:c>
      <x:c r="C2955" s="31" t="str">
        <x:v>A9</x:v>
      </x:c>
      <x:c r="D2955" s="31" t="str">
        <x:v>هزینه فناوری</x:v>
      </x:c>
      <x:c r="E2955" s="31"/>
    </x:row>
    <x:row r="2956" ht="15" hidden="0" customHeight="1">
      <x:c r="A2956" s="31" t="str">
        <x:v>Anjoman accounting - refined.xlsx</x:v>
      </x:c>
      <x:c r="B2956" s="31" t="str">
        <x:v>دسته‌بندی‌ها</x:v>
      </x:c>
      <x:c r="C2956" s="31" t="str">
        <x:v>B9</x:v>
      </x:c>
      <x:c r="D2956" s="31" t="str">
        <x:v>هزینه</x:v>
      </x:c>
      <x:c r="E2956" s="31"/>
    </x:row>
    <x:row r="2957" ht="15" hidden="0" customHeight="1">
      <x:c r="A2957" s="31" t="str">
        <x:v>Anjoman accounting - refined.xlsx</x:v>
      </x:c>
      <x:c r="B2957" s="31" t="str">
        <x:v>دسته‌بندی‌ها</x:v>
      </x:c>
      <x:c r="C2957" s="31" t="str">
        <x:v>C9</x:v>
      </x:c>
      <x:c r="D2957" s="31" t="str">
        <x:v>نرم‌افزار، خدمات آنلاین و ضبط</x:v>
      </x:c>
      <x:c r="E2957" s="31"/>
    </x:row>
    <x:row r="2958" ht="15" hidden="0" customHeight="1">
      <x:c r="A2958" s="31" t="str">
        <x:v>Anjoman accounting - refined.xlsx</x:v>
      </x:c>
      <x:c r="B2958" s="31" t="str">
        <x:v>دسته‌بندی‌ها</x:v>
      </x:c>
      <x:c r="C2958" s="31" t="str">
        <x:v>A10</x:v>
      </x:c>
      <x:c r="D2958" s="31" t="str">
        <x:v>هزینه تجهیزات</x:v>
      </x:c>
      <x:c r="E2958" s="31"/>
    </x:row>
    <x:row r="2959" ht="15" hidden="0" customHeight="1">
      <x:c r="A2959" s="31" t="str">
        <x:v>Anjoman accounting - refined.xlsx</x:v>
      </x:c>
      <x:c r="B2959" s="31" t="str">
        <x:v>دسته‌بندی‌ها</x:v>
      </x:c>
      <x:c r="C2959" s="31" t="str">
        <x:v>B10</x:v>
      </x:c>
      <x:c r="D2959" s="31" t="str">
        <x:v>هزینه</x:v>
      </x:c>
      <x:c r="E2959" s="31"/>
    </x:row>
    <x:row r="2960" ht="15" hidden="0" customHeight="1">
      <x:c r="A2960" s="31" t="str">
        <x:v>Anjoman accounting - refined.xlsx</x:v>
      </x:c>
      <x:c r="B2960" s="31" t="str">
        <x:v>دسته‌بندی‌ها</x:v>
      </x:c>
      <x:c r="C2960" s="31" t="str">
        <x:v>C10</x:v>
      </x:c>
      <x:c r="D2960" s="31" t="str">
        <x:v>خرید یا تعمیر تجهیزات</x:v>
      </x:c>
      <x:c r="E2960" s="31"/>
    </x:row>
    <x:row r="2961" ht="15" hidden="0" customHeight="1">
      <x:c r="A2961" s="31" t="str">
        <x:v>Anjoman accounting - refined.xlsx</x:v>
      </x:c>
      <x:c r="B2961" s="31" t="str">
        <x:v>دسته‌بندی‌ها</x:v>
      </x:c>
      <x:c r="C2961" s="31" t="str">
        <x:v>A11</x:v>
      </x:c>
      <x:c r="D2961" s="31" t="str">
        <x:v>هزینه اداری</x:v>
      </x:c>
      <x:c r="E2961" s="31"/>
    </x:row>
    <x:row r="2962" ht="15" hidden="0" customHeight="1">
      <x:c r="A2962" s="31" t="str">
        <x:v>Anjoman accounting - refined.xlsx</x:v>
      </x:c>
      <x:c r="B2962" s="31" t="str">
        <x:v>دسته‌بندی‌ها</x:v>
      </x:c>
      <x:c r="C2962" s="31" t="str">
        <x:v>B11</x:v>
      </x:c>
      <x:c r="D2962" s="31" t="str">
        <x:v>هزینه</x:v>
      </x:c>
      <x:c r="E2962" s="31"/>
    </x:row>
    <x:row r="2963" ht="15" hidden="0" customHeight="1">
      <x:c r="A2963" s="31" t="str">
        <x:v>Anjoman accounting - refined.xlsx</x:v>
      </x:c>
      <x:c r="B2963" s="31" t="str">
        <x:v>دسته‌بندی‌ها</x:v>
      </x:c>
      <x:c r="C2963" s="31" t="str">
        <x:v>C11</x:v>
      </x:c>
      <x:c r="D2963" s="31" t="str">
        <x:v>چاپ، دارو، لوازم و امور اداری</x:v>
      </x:c>
      <x:c r="E2963" s="31"/>
    </x:row>
    <x:row r="2964" ht="15" hidden="0" customHeight="1">
      <x:c r="A2964" s="31" t="str">
        <x:v>Anjoman accounting - refined.xlsx</x:v>
      </x:c>
      <x:c r="B2964" s="31" t="str">
        <x:v>دسته‌بندی‌ها</x:v>
      </x:c>
      <x:c r="C2964" s="31" t="str">
        <x:v>A12</x:v>
      </x:c>
      <x:c r="D2964" s="31" t="str">
        <x:v>نیازمند طبقه‌بندی</x:v>
      </x:c>
      <x:c r="E2964" s="31"/>
    </x:row>
    <x:row r="2965" ht="15" hidden="0" customHeight="1">
      <x:c r="A2965" s="31" t="str">
        <x:v>Anjoman accounting - refined.xlsx</x:v>
      </x:c>
      <x:c r="B2965" s="31" t="str">
        <x:v>دسته‌بندی‌ها</x:v>
      </x:c>
      <x:c r="C2965" s="31" t="str">
        <x:v>B12</x:v>
      </x:c>
      <x:c r="D2965" s="31" t="str">
        <x:v>نامشخص</x:v>
      </x:c>
      <x:c r="E2965" s="31"/>
    </x:row>
    <x:row r="2966" ht="15" hidden="0" customHeight="1">
      <x:c r="A2966" s="31" t="str">
        <x:v>Anjoman accounting - refined.xlsx</x:v>
      </x:c>
      <x:c r="B2966" s="31" t="str">
        <x:v>دسته‌بندی‌ها</x:v>
      </x:c>
      <x:c r="C2966" s="31" t="str">
        <x:v>C12</x:v>
      </x:c>
      <x:c r="D2966" s="31" t="str">
        <x:v>برای مواردی که پس از بررسی باید طبقه‌بندی شوند</x:v>
      </x:c>
      <x:c r="E2966" s="31"/>
    </x:row>
    <x:row r="2967" ht="15" hidden="0" customHeight="1">
      <x:c r="A2967" s="31" t="str">
        <x:v>Anjoman accounting - refined.xlsx</x:v>
      </x:c>
      <x:c r="B2967" s="31" t="str">
        <x:v>طرف‌حساب‌ها</x:v>
      </x:c>
      <x:c r="C2967" s="31" t="str">
        <x:v>A1</x:v>
      </x:c>
      <x:c r="D2967" s="31" t="str">
        <x:v>فهرست طرف‌حساب‌ها</x:v>
      </x:c>
      <x:c r="E2967" s="31"/>
    </x:row>
    <x:row r="2968" ht="15" hidden="0" customHeight="1">
      <x:c r="A2968" s="31" t="str">
        <x:v>Anjoman accounting - refined.xlsx</x:v>
      </x:c>
      <x:c r="B2968" s="31" t="str">
        <x:v>طرف‌حساب‌ها</x:v>
      </x:c>
      <x:c r="C2968" s="31" t="str">
        <x:v>A2</x:v>
      </x:c>
      <x:c r="D2968" s="31" t="str">
        <x:v>نسخه refined | واحد گزارش: تومان | مبالغ نامطمئن در صف بررسی از جمع تاییدشده حذف می‌شوند.</x:v>
      </x:c>
      <x:c r="E2968" s="31"/>
    </x:row>
    <x:row r="2969" ht="15" hidden="0" customHeight="1">
      <x:c r="A2969" s="31" t="str">
        <x:v>Anjoman accounting - refined.xlsx</x:v>
      </x:c>
      <x:c r="B2969" s="31" t="str">
        <x:v>طرف‌حساب‌ها</x:v>
      </x:c>
      <x:c r="C2969" s="31" t="str">
        <x:v>A3</x:v>
      </x:c>
      <x:c r="D2969" s="31" t="str">
        <x:v>طرف حساب</x:v>
      </x:c>
      <x:c r="E2969" s="31"/>
    </x:row>
    <x:row r="2970" ht="15" hidden="0" customHeight="1">
      <x:c r="A2970" s="31" t="str">
        <x:v>Anjoman accounting - refined.xlsx</x:v>
      </x:c>
      <x:c r="B2970" s="31" t="str">
        <x:v>طرف‌حساب‌ها</x:v>
      </x:c>
      <x:c r="C2970" s="31" t="str">
        <x:v>B3</x:v>
      </x:c>
      <x:c r="D2970" s="31" t="str">
        <x:v>نقش/نوع</x:v>
      </x:c>
      <x:c r="E2970" s="31"/>
    </x:row>
    <x:row r="2971" ht="15" hidden="0" customHeight="1">
      <x:c r="A2971" s="31" t="str">
        <x:v>Anjoman accounting - refined.xlsx</x:v>
      </x:c>
      <x:c r="B2971" s="31" t="str">
        <x:v>طرف‌حساب‌ها</x:v>
      </x:c>
      <x:c r="C2971" s="31" t="str">
        <x:v>C3</x:v>
      </x:c>
      <x:c r="D2971" s="31" t="str">
        <x:v>تعداد تراکنش</x:v>
      </x:c>
      <x:c r="E2971" s="31"/>
    </x:row>
    <x:row r="2972" ht="15" hidden="0" customHeight="1">
      <x:c r="A2972" s="31" t="str">
        <x:v>Anjoman accounting - refined.xlsx</x:v>
      </x:c>
      <x:c r="B2972" s="31" t="str">
        <x:v>طرف‌حساب‌ها</x:v>
      </x:c>
      <x:c r="C2972" s="31" t="str">
        <x:v>D3</x:v>
      </x:c>
      <x:c r="D2972" s="31" t="str">
        <x:v>ملاحظات</x:v>
      </x:c>
      <x:c r="E2972" s="31"/>
    </x:row>
    <x:row r="2973" ht="15" hidden="0" customHeight="1">
      <x:c r="A2973" s="31" t="str">
        <x:v>Anjoman accounting - refined.xlsx</x:v>
      </x:c>
      <x:c r="B2973" s="31" t="str">
        <x:v>طرف‌حساب‌ها</x:v>
      </x:c>
      <x:c r="C2973" s="31" t="str">
        <x:v>A4</x:v>
      </x:c>
      <x:c r="D2973" s="31" t="str">
        <x:v>ابراهیم خسروانی</x:v>
      </x:c>
      <x:c r="E2973" s="31"/>
    </x:row>
    <x:row r="2974" ht="15" hidden="0" customHeight="1">
      <x:c r="A2974" s="31" t="str">
        <x:v>Anjoman accounting - refined.xlsx</x:v>
      </x:c>
      <x:c r="B2974" s="31" t="str">
        <x:v>طرف‌حساب‌ها</x:v>
      </x:c>
      <x:c r="C2974" s="31" t="str">
        <x:v>B4</x:v>
      </x:c>
      <x:c r="D2974" s="31" t="str">
        <x:v>نیازمند تکمیل</x:v>
      </x:c>
      <x:c r="E2974" s="31"/>
    </x:row>
    <x:row r="2975" ht="15" hidden="0" customHeight="1">
      <x:c r="A2975" s="31" t="str">
        <x:v>Anjoman accounting - refined.xlsx</x:v>
      </x:c>
      <x:c r="B2975" s="31" t="str">
        <x:v>طرف‌حساب‌ها</x:v>
      </x:c>
      <x:c r="C2975" s="31" t="str">
        <x:v>C4</x:v>
      </x:c>
      <x:c r="D2975" s="31" t="str">
        <x:v>2</x:v>
      </x:c>
      <x:c r="E2975" s="31"/>
    </x:row>
    <x:row r="2976" ht="15" hidden="0" customHeight="1">
      <x:c r="A2976" s="31" t="str">
        <x:v>Anjoman accounting - refined.xlsx</x:v>
      </x:c>
      <x:c r="B2976" s="31" t="str">
        <x:v>طرف‌حساب‌ها</x:v>
      </x:c>
      <x:c r="C2976" s="31" t="str">
        <x:v>D4</x:v>
      </x:c>
      <x:c r="D2976" s="31" t="str">
        <x:v>نقش، شناسه و اطلاعات پرداخت فقط در صورت نیاز عملیاتی تکمیل شود.</x:v>
      </x:c>
      <x:c r="E2976" s="31"/>
    </x:row>
    <x:row r="2977" ht="15" hidden="0" customHeight="1">
      <x:c r="A2977" s="31" t="str">
        <x:v>Anjoman accounting - refined.xlsx</x:v>
      </x:c>
      <x:c r="B2977" s="31" t="str">
        <x:v>طرف‌حساب‌ها</x:v>
      </x:c>
      <x:c r="C2977" s="31" t="str">
        <x:v>A5</x:v>
      </x:c>
      <x:c r="D2977" s="31" t="str">
        <x:v>اردوان شهبازی</x:v>
      </x:c>
      <x:c r="E2977" s="31"/>
    </x:row>
    <x:row r="2978" ht="15" hidden="0" customHeight="1">
      <x:c r="A2978" s="31" t="str">
        <x:v>Anjoman accounting - refined.xlsx</x:v>
      </x:c>
      <x:c r="B2978" s="31" t="str">
        <x:v>طرف‌حساب‌ها</x:v>
      </x:c>
      <x:c r="C2978" s="31" t="str">
        <x:v>B5</x:v>
      </x:c>
      <x:c r="D2978" s="31" t="str">
        <x:v>نیازمند تکمیل</x:v>
      </x:c>
      <x:c r="E2978" s="31"/>
    </x:row>
    <x:row r="2979" ht="15" hidden="0" customHeight="1">
      <x:c r="A2979" s="31" t="str">
        <x:v>Anjoman accounting - refined.xlsx</x:v>
      </x:c>
      <x:c r="B2979" s="31" t="str">
        <x:v>طرف‌حساب‌ها</x:v>
      </x:c>
      <x:c r="C2979" s="31" t="str">
        <x:v>C5</x:v>
      </x:c>
      <x:c r="D2979" s="31" t="str">
        <x:v>1</x:v>
      </x:c>
      <x:c r="E2979" s="31"/>
    </x:row>
    <x:row r="2980" ht="15" hidden="0" customHeight="1">
      <x:c r="A2980" s="31" t="str">
        <x:v>Anjoman accounting - refined.xlsx</x:v>
      </x:c>
      <x:c r="B2980" s="31" t="str">
        <x:v>طرف‌حساب‌ها</x:v>
      </x:c>
      <x:c r="C2980" s="31" t="str">
        <x:v>D5</x:v>
      </x:c>
      <x:c r="D2980" s="31" t="str">
        <x:v>نقش، شناسه و اطلاعات پرداخت فقط در صورت نیاز عملیاتی تکمیل شود.</x:v>
      </x:c>
      <x:c r="E2980" s="31"/>
    </x:row>
    <x:row r="2981" ht="15" hidden="0" customHeight="1">
      <x:c r="A2981" s="31" t="str">
        <x:v>Anjoman accounting - refined.xlsx</x:v>
      </x:c>
      <x:c r="B2981" s="31" t="str">
        <x:v>طرف‌حساب‌ها</x:v>
      </x:c>
      <x:c r="C2981" s="31" t="str">
        <x:v>A6</x:v>
      </x:c>
      <x:c r="D2981" s="31" t="str">
        <x:v>امیرمحمد جوشقانی</x:v>
      </x:c>
      <x:c r="E2981" s="31"/>
    </x:row>
    <x:row r="2982" ht="15" hidden="0" customHeight="1">
      <x:c r="A2982" s="31" t="str">
        <x:v>Anjoman accounting - refined.xlsx</x:v>
      </x:c>
      <x:c r="B2982" s="31" t="str">
        <x:v>طرف‌حساب‌ها</x:v>
      </x:c>
      <x:c r="C2982" s="31" t="str">
        <x:v>B6</x:v>
      </x:c>
      <x:c r="D2982" s="31" t="str">
        <x:v>نیازمند تکمیل</x:v>
      </x:c>
      <x:c r="E2982" s="31"/>
    </x:row>
    <x:row r="2983" ht="15" hidden="0" customHeight="1">
      <x:c r="A2983" s="31" t="str">
        <x:v>Anjoman accounting - refined.xlsx</x:v>
      </x:c>
      <x:c r="B2983" s="31" t="str">
        <x:v>طرف‌حساب‌ها</x:v>
      </x:c>
      <x:c r="C2983" s="31" t="str">
        <x:v>C6</x:v>
      </x:c>
      <x:c r="D2983" s="31" t="str">
        <x:v>2</x:v>
      </x:c>
      <x:c r="E2983" s="31"/>
    </x:row>
    <x:row r="2984" ht="15" hidden="0" customHeight="1">
      <x:c r="A2984" s="31" t="str">
        <x:v>Anjoman accounting - refined.xlsx</x:v>
      </x:c>
      <x:c r="B2984" s="31" t="str">
        <x:v>طرف‌حساب‌ها</x:v>
      </x:c>
      <x:c r="C2984" s="31" t="str">
        <x:v>D6</x:v>
      </x:c>
      <x:c r="D2984" s="31" t="str">
        <x:v>نقش، شناسه و اطلاعات پرداخت فقط در صورت نیاز عملیاتی تکمیل شود.</x:v>
      </x:c>
      <x:c r="E2984" s="31"/>
    </x:row>
    <x:row r="2985" ht="15" hidden="0" customHeight="1">
      <x:c r="A2985" s="31" t="str">
        <x:v>Anjoman accounting - refined.xlsx</x:v>
      </x:c>
      <x:c r="B2985" s="31" t="str">
        <x:v>طرف‌حساب‌ها</x:v>
      </x:c>
      <x:c r="C2985" s="31" t="str">
        <x:v>A7</x:v>
      </x:c>
      <x:c r="D2985" s="31" t="str">
        <x:v>حسن شیری</x:v>
      </x:c>
      <x:c r="E2985" s="31"/>
    </x:row>
    <x:row r="2986" ht="15" hidden="0" customHeight="1">
      <x:c r="A2986" s="31" t="str">
        <x:v>Anjoman accounting - refined.xlsx</x:v>
      </x:c>
      <x:c r="B2986" s="31" t="str">
        <x:v>طرف‌حساب‌ها</x:v>
      </x:c>
      <x:c r="C2986" s="31" t="str">
        <x:v>B7</x:v>
      </x:c>
      <x:c r="D2986" s="31" t="str">
        <x:v>نیازمند تکمیل</x:v>
      </x:c>
      <x:c r="E2986" s="31"/>
    </x:row>
    <x:row r="2987" ht="15" hidden="0" customHeight="1">
      <x:c r="A2987" s="31" t="str">
        <x:v>Anjoman accounting - refined.xlsx</x:v>
      </x:c>
      <x:c r="B2987" s="31" t="str">
        <x:v>طرف‌حساب‌ها</x:v>
      </x:c>
      <x:c r="C2987" s="31" t="str">
        <x:v>C7</x:v>
      </x:c>
      <x:c r="D2987" s="31" t="str">
        <x:v>2</x:v>
      </x:c>
      <x:c r="E2987" s="31"/>
    </x:row>
    <x:row r="2988" ht="15" hidden="0" customHeight="1">
      <x:c r="A2988" s="31" t="str">
        <x:v>Anjoman accounting - refined.xlsx</x:v>
      </x:c>
      <x:c r="B2988" s="31" t="str">
        <x:v>طرف‌حساب‌ها</x:v>
      </x:c>
      <x:c r="C2988" s="31" t="str">
        <x:v>D7</x:v>
      </x:c>
      <x:c r="D2988" s="31" t="str">
        <x:v>نقش، شناسه و اطلاعات پرداخت فقط در صورت نیاز عملیاتی تکمیل شود.</x:v>
      </x:c>
      <x:c r="E2988" s="31"/>
    </x:row>
    <x:row r="2989" ht="15" hidden="0" customHeight="1">
      <x:c r="A2989" s="31" t="str">
        <x:v>Anjoman accounting - refined.xlsx</x:v>
      </x:c>
      <x:c r="B2989" s="31" t="str">
        <x:v>طرف‌حساب‌ها</x:v>
      </x:c>
      <x:c r="C2989" s="31" t="str">
        <x:v>A8</x:v>
      </x:c>
      <x:c r="D2989" s="31" t="str">
        <x:v>راحله مختاری</x:v>
      </x:c>
      <x:c r="E2989" s="31"/>
    </x:row>
    <x:row r="2990" ht="15" hidden="0" customHeight="1">
      <x:c r="A2990" s="31" t="str">
        <x:v>Anjoman accounting - refined.xlsx</x:v>
      </x:c>
      <x:c r="B2990" s="31" t="str">
        <x:v>طرف‌حساب‌ها</x:v>
      </x:c>
      <x:c r="C2990" s="31" t="str">
        <x:v>B8</x:v>
      </x:c>
      <x:c r="D2990" s="31" t="str">
        <x:v>نیازمند تکمیل</x:v>
      </x:c>
      <x:c r="E2990" s="31"/>
    </x:row>
    <x:row r="2991" ht="15" hidden="0" customHeight="1">
      <x:c r="A2991" s="31" t="str">
        <x:v>Anjoman accounting - refined.xlsx</x:v>
      </x:c>
      <x:c r="B2991" s="31" t="str">
        <x:v>طرف‌حساب‌ها</x:v>
      </x:c>
      <x:c r="C2991" s="31" t="str">
        <x:v>C8</x:v>
      </x:c>
      <x:c r="D2991" s="31" t="str">
        <x:v>1</x:v>
      </x:c>
      <x:c r="E2991" s="31"/>
    </x:row>
    <x:row r="2992" ht="15" hidden="0" customHeight="1">
      <x:c r="A2992" s="31" t="str">
        <x:v>Anjoman accounting - refined.xlsx</x:v>
      </x:c>
      <x:c r="B2992" s="31" t="str">
        <x:v>طرف‌حساب‌ها</x:v>
      </x:c>
      <x:c r="C2992" s="31" t="str">
        <x:v>D8</x:v>
      </x:c>
      <x:c r="D2992" s="31" t="str">
        <x:v>نقش، شناسه و اطلاعات پرداخت فقط در صورت نیاز عملیاتی تکمیل شود.</x:v>
      </x:c>
      <x:c r="E2992" s="31"/>
    </x:row>
    <x:row r="2993" ht="15" hidden="0" customHeight="1">
      <x:c r="A2993" s="31" t="str">
        <x:v>Anjoman accounting - refined.xlsx</x:v>
      </x:c>
      <x:c r="B2993" s="31" t="str">
        <x:v>طرف‌حساب‌ها</x:v>
      </x:c>
      <x:c r="C2993" s="31" t="str">
        <x:v>A9</x:v>
      </x:c>
      <x:c r="D2993" s="31" t="str">
        <x:v>سهراب ملکی</x:v>
      </x:c>
      <x:c r="E2993" s="31"/>
    </x:row>
    <x:row r="2994" ht="15" hidden="0" customHeight="1">
      <x:c r="A2994" s="31" t="str">
        <x:v>Anjoman accounting - refined.xlsx</x:v>
      </x:c>
      <x:c r="B2994" s="31" t="str">
        <x:v>طرف‌حساب‌ها</x:v>
      </x:c>
      <x:c r="C2994" s="31" t="str">
        <x:v>B9</x:v>
      </x:c>
      <x:c r="D2994" s="31" t="str">
        <x:v>نیازمند تکمیل</x:v>
      </x:c>
      <x:c r="E2994" s="31"/>
    </x:row>
    <x:row r="2995" ht="15" hidden="0" customHeight="1">
      <x:c r="A2995" s="31" t="str">
        <x:v>Anjoman accounting - refined.xlsx</x:v>
      </x:c>
      <x:c r="B2995" s="31" t="str">
        <x:v>طرف‌حساب‌ها</x:v>
      </x:c>
      <x:c r="C2995" s="31" t="str">
        <x:v>C9</x:v>
      </x:c>
      <x:c r="D2995" s="31" t="str">
        <x:v>2</x:v>
      </x:c>
      <x:c r="E2995" s="31"/>
    </x:row>
    <x:row r="2996" ht="15" hidden="0" customHeight="1">
      <x:c r="A2996" s="31" t="str">
        <x:v>Anjoman accounting - refined.xlsx</x:v>
      </x:c>
      <x:c r="B2996" s="31" t="str">
        <x:v>طرف‌حساب‌ها</x:v>
      </x:c>
      <x:c r="C2996" s="31" t="str">
        <x:v>D9</x:v>
      </x:c>
      <x:c r="D2996" s="31" t="str">
        <x:v>نقش، شناسه و اطلاعات پرداخت فقط در صورت نیاز عملیاتی تکمیل شود.</x:v>
      </x:c>
      <x:c r="E2996" s="31"/>
    </x:row>
    <x:row r="2997" ht="15" hidden="0" customHeight="1">
      <x:c r="A2997" s="31" t="str">
        <x:v>Anjoman accounting - refined.xlsx</x:v>
      </x:c>
      <x:c r="B2997" s="31" t="str">
        <x:v>طرف‌حساب‌ها</x:v>
      </x:c>
      <x:c r="C2997" s="31" t="str">
        <x:v>A10</x:v>
      </x:c>
      <x:c r="D2997" s="31" t="str">
        <x:v>سپهر طلایی</x:v>
      </x:c>
      <x:c r="E2997" s="31"/>
    </x:row>
    <x:row r="2998" ht="15" hidden="0" customHeight="1">
      <x:c r="A2998" s="31" t="str">
        <x:v>Anjoman accounting - refined.xlsx</x:v>
      </x:c>
      <x:c r="B2998" s="31" t="str">
        <x:v>طرف‌حساب‌ها</x:v>
      </x:c>
      <x:c r="C2998" s="31" t="str">
        <x:v>B10</x:v>
      </x:c>
      <x:c r="D2998" s="31" t="str">
        <x:v>نیازمند تکمیل</x:v>
      </x:c>
      <x:c r="E2998" s="31"/>
    </x:row>
    <x:row r="2999" ht="15" hidden="0" customHeight="1">
      <x:c r="A2999" s="31" t="str">
        <x:v>Anjoman accounting - refined.xlsx</x:v>
      </x:c>
      <x:c r="B2999" s="31" t="str">
        <x:v>طرف‌حساب‌ها</x:v>
      </x:c>
      <x:c r="C2999" s="31" t="str">
        <x:v>C10</x:v>
      </x:c>
      <x:c r="D2999" s="31" t="str">
        <x:v>1</x:v>
      </x:c>
      <x:c r="E2999" s="31"/>
    </x:row>
    <x:row r="3000" ht="15" hidden="0" customHeight="1">
      <x:c r="A3000" s="31" t="str">
        <x:v>Anjoman accounting - refined.xlsx</x:v>
      </x:c>
      <x:c r="B3000" s="31" t="str">
        <x:v>طرف‌حساب‌ها</x:v>
      </x:c>
      <x:c r="C3000" s="31" t="str">
        <x:v>D10</x:v>
      </x:c>
      <x:c r="D3000" s="31" t="str">
        <x:v>نقش، شناسه و اطلاعات پرداخت فقط در صورت نیاز عملیاتی تکمیل شود.</x:v>
      </x:c>
      <x:c r="E3000" s="31"/>
    </x:row>
    <x:row r="3001" ht="15" hidden="0" customHeight="1">
      <x:c r="A3001" s="31" t="str">
        <x:v>Anjoman accounting - refined.xlsx</x:v>
      </x:c>
      <x:c r="B3001" s="31" t="str">
        <x:v>طرف‌حساب‌ها</x:v>
      </x:c>
      <x:c r="C3001" s="31" t="str">
        <x:v>A11</x:v>
      </x:c>
      <x:c r="D3001" s="31" t="str">
        <x:v>شرکت مه بانگ فناوری های پارس</x:v>
      </x:c>
      <x:c r="E3001" s="31"/>
    </x:row>
    <x:row r="3002" ht="15" hidden="0" customHeight="1">
      <x:c r="A3002" s="31" t="str">
        <x:v>Anjoman accounting - refined.xlsx</x:v>
      </x:c>
      <x:c r="B3002" s="31" t="str">
        <x:v>طرف‌حساب‌ها</x:v>
      </x:c>
      <x:c r="C3002" s="31" t="str">
        <x:v>B11</x:v>
      </x:c>
      <x:c r="D3002" s="31" t="str">
        <x:v>نیازمند تکمیل</x:v>
      </x:c>
      <x:c r="E3002" s="31"/>
    </x:row>
    <x:row r="3003" ht="15" hidden="0" customHeight="1">
      <x:c r="A3003" s="31" t="str">
        <x:v>Anjoman accounting - refined.xlsx</x:v>
      </x:c>
      <x:c r="B3003" s="31" t="str">
        <x:v>طرف‌حساب‌ها</x:v>
      </x:c>
      <x:c r="C3003" s="31" t="str">
        <x:v>C11</x:v>
      </x:c>
      <x:c r="D3003" s="31" t="str">
        <x:v>1</x:v>
      </x:c>
      <x:c r="E3003" s="31"/>
    </x:row>
    <x:row r="3004" ht="15" hidden="0" customHeight="1">
      <x:c r="A3004" s="31" t="str">
        <x:v>Anjoman accounting - refined.xlsx</x:v>
      </x:c>
      <x:c r="B3004" s="31" t="str">
        <x:v>طرف‌حساب‌ها</x:v>
      </x:c>
      <x:c r="C3004" s="31" t="str">
        <x:v>D11</x:v>
      </x:c>
      <x:c r="D3004" s="31" t="str">
        <x:v>نقش، شناسه و اطلاعات پرداخت فقط در صورت نیاز عملیاتی تکمیل شود.</x:v>
      </x:c>
      <x:c r="E3004" s="31"/>
    </x:row>
    <x:row r="3005" ht="15" hidden="0" customHeight="1">
      <x:c r="A3005" s="31" t="str">
        <x:v>Anjoman accounting - refined.xlsx</x:v>
      </x:c>
      <x:c r="B3005" s="31" t="str">
        <x:v>طرف‌حساب‌ها</x:v>
      </x:c>
      <x:c r="C3005" s="31" t="str">
        <x:v>A12</x:v>
      </x:c>
      <x:c r="D3005" s="31" t="str">
        <x:v>متین جوکار</x:v>
      </x:c>
      <x:c r="E3005" s="31"/>
    </x:row>
    <x:row r="3006" ht="15" hidden="0" customHeight="1">
      <x:c r="A3006" s="31" t="str">
        <x:v>Anjoman accounting - refined.xlsx</x:v>
      </x:c>
      <x:c r="B3006" s="31" t="str">
        <x:v>طرف‌حساب‌ها</x:v>
      </x:c>
      <x:c r="C3006" s="31" t="str">
        <x:v>B12</x:v>
      </x:c>
      <x:c r="D3006" s="31" t="str">
        <x:v>نیازمند تکمیل</x:v>
      </x:c>
      <x:c r="E3006" s="31"/>
    </x:row>
    <x:row r="3007" ht="15" hidden="0" customHeight="1">
      <x:c r="A3007" s="31" t="str">
        <x:v>Anjoman accounting - refined.xlsx</x:v>
      </x:c>
      <x:c r="B3007" s="31" t="str">
        <x:v>طرف‌حساب‌ها</x:v>
      </x:c>
      <x:c r="C3007" s="31" t="str">
        <x:v>C12</x:v>
      </x:c>
      <x:c r="D3007" s="31" t="str">
        <x:v>2</x:v>
      </x:c>
      <x:c r="E3007" s="31"/>
    </x:row>
    <x:row r="3008" ht="15" hidden="0" customHeight="1">
      <x:c r="A3008" s="31" t="str">
        <x:v>Anjoman accounting - refined.xlsx</x:v>
      </x:c>
      <x:c r="B3008" s="31" t="str">
        <x:v>طرف‌حساب‌ها</x:v>
      </x:c>
      <x:c r="C3008" s="31" t="str">
        <x:v>D12</x:v>
      </x:c>
      <x:c r="D3008" s="31" t="str">
        <x:v>نقش، شناسه و اطلاعات پرداخت فقط در صورت نیاز عملیاتی تکمیل شود.</x:v>
      </x:c>
      <x:c r="E3008" s="31"/>
    </x:row>
    <x:row r="3009" ht="15" hidden="0" customHeight="1">
      <x:c r="A3009" s="31" t="str">
        <x:v>Anjoman accounting - refined.xlsx</x:v>
      </x:c>
      <x:c r="B3009" s="31" t="str">
        <x:v>طرف‌حساب‌ها</x:v>
      </x:c>
      <x:c r="C3009" s="31" t="str">
        <x:v>A13</x:v>
      </x:c>
      <x:c r="D3009" s="31" t="str">
        <x:v>محمدامین عزیزی</x:v>
      </x:c>
      <x:c r="E3009" s="31"/>
    </x:row>
    <x:row r="3010" ht="15" hidden="0" customHeight="1">
      <x:c r="A3010" s="31" t="str">
        <x:v>Anjoman accounting - refined.xlsx</x:v>
      </x:c>
      <x:c r="B3010" s="31" t="str">
        <x:v>طرف‌حساب‌ها</x:v>
      </x:c>
      <x:c r="C3010" s="31" t="str">
        <x:v>B13</x:v>
      </x:c>
      <x:c r="D3010" s="31" t="str">
        <x:v>نیازمند تکمیل</x:v>
      </x:c>
      <x:c r="E3010" s="31"/>
    </x:row>
    <x:row r="3011" ht="15" hidden="0" customHeight="1">
      <x:c r="A3011" s="31" t="str">
        <x:v>Anjoman accounting - refined.xlsx</x:v>
      </x:c>
      <x:c r="B3011" s="31" t="str">
        <x:v>طرف‌حساب‌ها</x:v>
      </x:c>
      <x:c r="C3011" s="31" t="str">
        <x:v>C13</x:v>
      </x:c>
      <x:c r="D3011" s="31" t="str">
        <x:v>4</x:v>
      </x:c>
      <x:c r="E3011" s="31"/>
    </x:row>
    <x:row r="3012" ht="15" hidden="0" customHeight="1">
      <x:c r="A3012" s="31" t="str">
        <x:v>Anjoman accounting - refined.xlsx</x:v>
      </x:c>
      <x:c r="B3012" s="31" t="str">
        <x:v>طرف‌حساب‌ها</x:v>
      </x:c>
      <x:c r="C3012" s="31" t="str">
        <x:v>D13</x:v>
      </x:c>
      <x:c r="D3012" s="31" t="str">
        <x:v>نقش، شناسه و اطلاعات پرداخت فقط در صورت نیاز عملیاتی تکمیل شود.</x:v>
      </x:c>
      <x:c r="E3012" s="31"/>
    </x:row>
    <x:row r="3013" ht="15" hidden="0" customHeight="1">
      <x:c r="A3013" s="31" t="str">
        <x:v>Anjoman accounting - refined.xlsx</x:v>
      </x:c>
      <x:c r="B3013" s="31" t="str">
        <x:v>طرف‌حساب‌ها</x:v>
      </x:c>
      <x:c r="C3013" s="31" t="str">
        <x:v>A14</x:v>
      </x:c>
      <x:c r="D3013" s="31" t="str">
        <x:v>محمدحسین مشک افشان</x:v>
      </x:c>
      <x:c r="E3013" s="31"/>
    </x:row>
    <x:row r="3014" ht="15" hidden="0" customHeight="1">
      <x:c r="A3014" s="31" t="str">
        <x:v>Anjoman accounting - refined.xlsx</x:v>
      </x:c>
      <x:c r="B3014" s="31" t="str">
        <x:v>طرف‌حساب‌ها</x:v>
      </x:c>
      <x:c r="C3014" s="31" t="str">
        <x:v>B14</x:v>
      </x:c>
      <x:c r="D3014" s="31" t="str">
        <x:v>نیازمند تکمیل</x:v>
      </x:c>
      <x:c r="E3014" s="31"/>
    </x:row>
    <x:row r="3015" ht="15" hidden="0" customHeight="1">
      <x:c r="A3015" s="31" t="str">
        <x:v>Anjoman accounting - refined.xlsx</x:v>
      </x:c>
      <x:c r="B3015" s="31" t="str">
        <x:v>طرف‌حساب‌ها</x:v>
      </x:c>
      <x:c r="C3015" s="31" t="str">
        <x:v>C14</x:v>
      </x:c>
      <x:c r="D3015" s="31" t="str">
        <x:v>1</x:v>
      </x:c>
      <x:c r="E3015" s="31"/>
    </x:row>
    <x:row r="3016" ht="15" hidden="0" customHeight="1">
      <x:c r="A3016" s="31" t="str">
        <x:v>Anjoman accounting - refined.xlsx</x:v>
      </x:c>
      <x:c r="B3016" s="31" t="str">
        <x:v>طرف‌حساب‌ها</x:v>
      </x:c>
      <x:c r="C3016" s="31" t="str">
        <x:v>D14</x:v>
      </x:c>
      <x:c r="D3016" s="31" t="str">
        <x:v>نقش، شناسه و اطلاعات پرداخت فقط در صورت نیاز عملیاتی تکمیل شود.</x:v>
      </x:c>
      <x:c r="E3016" s="31"/>
    </x:row>
    <x:row r="3017" ht="15" hidden="0" customHeight="1">
      <x:c r="A3017" s="31" t="str">
        <x:v>Anjoman accounting - refined.xlsx</x:v>
      </x:c>
      <x:c r="B3017" s="31" t="str">
        <x:v>طرف‌حساب‌ها</x:v>
      </x:c>
      <x:c r="C3017" s="31" t="str">
        <x:v>A15</x:v>
      </x:c>
      <x:c r="D3017" s="31" t="str">
        <x:v>نیما کوهی</x:v>
      </x:c>
      <x:c r="E3017" s="31"/>
    </x:row>
    <x:row r="3018" ht="15" hidden="0" customHeight="1">
      <x:c r="A3018" s="31" t="str">
        <x:v>Anjoman accounting - refined.xlsx</x:v>
      </x:c>
      <x:c r="B3018" s="31" t="str">
        <x:v>طرف‌حساب‌ها</x:v>
      </x:c>
      <x:c r="C3018" s="31" t="str">
        <x:v>B15</x:v>
      </x:c>
      <x:c r="D3018" s="31" t="str">
        <x:v>نیازمند تکمیل</x:v>
      </x:c>
      <x:c r="E3018" s="31"/>
    </x:row>
    <x:row r="3019" ht="15" hidden="0" customHeight="1">
      <x:c r="A3019" s="31" t="str">
        <x:v>Anjoman accounting - refined.xlsx</x:v>
      </x:c>
      <x:c r="B3019" s="31" t="str">
        <x:v>طرف‌حساب‌ها</x:v>
      </x:c>
      <x:c r="C3019" s="31" t="str">
        <x:v>C15</x:v>
      </x:c>
      <x:c r="D3019" s="31" t="str">
        <x:v>2</x:v>
      </x:c>
      <x:c r="E3019" s="31"/>
    </x:row>
    <x:row r="3020" ht="15" hidden="0" customHeight="1">
      <x:c r="A3020" s="31" t="str">
        <x:v>Anjoman accounting - refined.xlsx</x:v>
      </x:c>
      <x:c r="B3020" s="31" t="str">
        <x:v>طرف‌حساب‌ها</x:v>
      </x:c>
      <x:c r="C3020" s="31" t="str">
        <x:v>D15</x:v>
      </x:c>
      <x:c r="D3020" s="31" t="str">
        <x:v>نقش، شناسه و اطلاعات پرداخت فقط در صورت نیاز عملیاتی تکمیل شود.</x:v>
      </x:c>
      <x:c r="E3020" s="31"/>
    </x:row>
    <x:row r="3021" ht="15" hidden="0" customHeight="1">
      <x:c r="A3021" s="31" t="str">
        <x:v>Anjoman accounting - refined.xlsx</x:v>
      </x:c>
      <x:c r="B3021" s="31" t="str">
        <x:v>راهنما</x:v>
      </x:c>
      <x:c r="C3021" s="31" t="str">
        <x:v>A1</x:v>
      </x:c>
      <x:c r="D3021" s="31" t="str">
        <x:v>راهنمای استفاده و سیاست ثبت</x:v>
      </x:c>
      <x:c r="E3021" s="31"/>
    </x:row>
    <x:row r="3022" ht="15" hidden="0" customHeight="1">
      <x:c r="A3022" s="31" t="str">
        <x:v>Anjoman accounting - refined.xlsx</x:v>
      </x:c>
      <x:c r="B3022" s="31" t="str">
        <x:v>راهنما</x:v>
      </x:c>
      <x:c r="C3022" s="31" t="str">
        <x:v>A2</x:v>
      </x:c>
      <x:c r="D3022" s="31" t="str">
        <x:v>نسخه refined | واحد گزارش: تومان | مبالغ نامطمئن در صف بررسی از جمع تاییدشده حذف می‌شوند.</x:v>
      </x:c>
      <x:c r="E3022" s="31"/>
    </x:row>
    <x:row r="3023" ht="15" hidden="0" customHeight="1">
      <x:c r="A3023" s="31" t="str">
        <x:v>Anjoman accounting - refined.xlsx</x:v>
      </x:c>
      <x:c r="B3023" s="31" t="str">
        <x:v>راهنما</x:v>
      </x:c>
      <x:c r="C3023" s="31" t="str">
        <x:v>A3</x:v>
      </x:c>
      <x:c r="D3023" s="31" t="str">
        <x:v>موضوع</x:v>
      </x:c>
      <x:c r="E3023" s="31"/>
    </x:row>
    <x:row r="3024" ht="15" hidden="0" customHeight="1">
      <x:c r="A3024" s="31" t="str">
        <x:v>Anjoman accounting - refined.xlsx</x:v>
      </x:c>
      <x:c r="B3024" s="31" t="str">
        <x:v>راهنما</x:v>
      </x:c>
      <x:c r="C3024" s="31" t="str">
        <x:v>B3</x:v>
      </x:c>
      <x:c r="D3024" s="31" t="str">
        <x:v>توضیح</x:v>
      </x:c>
      <x:c r="E3024" s="31"/>
    </x:row>
    <x:row r="3025" ht="15" hidden="0" customHeight="1">
      <x:c r="A3025" s="31" t="str">
        <x:v>Anjoman accounting - refined.xlsx</x:v>
      </x:c>
      <x:c r="B3025" s="31" t="str">
        <x:v>راهنما</x:v>
      </x:c>
      <x:c r="C3025" s="31" t="str">
        <x:v>A4</x:v>
      </x:c>
      <x:c r="D3025" s="31" t="str">
        <x:v>واحد گزارش</x:v>
      </x:c>
      <x:c r="E3025" s="31"/>
    </x:row>
    <x:row r="3026" ht="15" hidden="0" customHeight="1">
      <x:c r="A3026" s="31" t="str">
        <x:v>Anjoman accounting - refined.xlsx</x:v>
      </x:c>
      <x:c r="B3026" s="31" t="str">
        <x:v>راهنما</x:v>
      </x:c>
      <x:c r="C3026" s="31" t="str">
        <x:v>B4</x:v>
      </x:c>
      <x:c r="D3026" s="31" t="str">
        <x:v>همه مبالغ گزارش‌شده در تومان هستند. مبلغ اصلی و واحد اصلی برای اسناد ریالی حفظ شده است.</x:v>
      </x:c>
      <x:c r="E3026" s="31"/>
    </x:row>
    <x:row r="3027" ht="15" hidden="0" customHeight="1">
      <x:c r="A3027" s="31" t="str">
        <x:v>Anjoman accounting - refined.xlsx</x:v>
      </x:c>
      <x:c r="B3027" s="31" t="str">
        <x:v>راهنما</x:v>
      </x:c>
      <x:c r="C3027" s="31" t="str">
        <x:v>A5</x:v>
      </x:c>
      <x:c r="D3027" s="31" t="str">
        <x:v>وضعیت تاییدشده</x:v>
      </x:c>
      <x:c r="E3027" s="31"/>
    </x:row>
    <x:row r="3028" ht="15" hidden="0" customHeight="1">
      <x:c r="A3028" s="31" t="str">
        <x:v>Anjoman accounting - refined.xlsx</x:v>
      </x:c>
      <x:c r="B3028" s="31" t="str">
        <x:v>راهنما</x:v>
      </x:c>
      <x:c r="C3028" s="31" t="str">
        <x:v>B5</x:v>
      </x:c>
      <x:c r="D3028" s="31" t="str">
        <x:v>در داشبورد و تراز رسمی منظور می‌شود.</x:v>
      </x:c>
      <x:c r="E3028" s="31"/>
    </x:row>
    <x:row r="3029" ht="15" hidden="0" customHeight="1">
      <x:c r="A3029" s="31" t="str">
        <x:v>Anjoman accounting - refined.xlsx</x:v>
      </x:c>
      <x:c r="B3029" s="31" t="str">
        <x:v>راهنما</x:v>
      </x:c>
      <x:c r="C3029" s="31" t="str">
        <x:v>A6</x:v>
      </x:c>
      <x:c r="D3029" s="31" t="str">
        <x:v>پیشنهادی - نیازمند بررسی</x:v>
      </x:c>
      <x:c r="E3029" s="31"/>
    </x:row>
    <x:row r="3030" ht="15" hidden="0" customHeight="1">
      <x:c r="A3030" s="31" t="str">
        <x:v>Anjoman accounting - refined.xlsx</x:v>
      </x:c>
      <x:c r="B3030" s="31" t="str">
        <x:v>راهنما</x:v>
      </x:c>
      <x:c r="C3030" s="31" t="str">
        <x:v>B6</x:v>
      </x:c>
      <x:c r="D3030" s="31" t="str">
        <x:v>از شواهد استخراج یا استنباط شده اما تا تایید انسانی وارد تراز رسمی نمی‌شود.</x:v>
      </x:c>
      <x:c r="E3030" s="31"/>
    </x:row>
    <x:row r="3031" ht="15" hidden="0" customHeight="1">
      <x:c r="A3031" s="31" t="str">
        <x:v>Anjoman accounting - refined.xlsx</x:v>
      </x:c>
      <x:c r="B3031" s="31" t="str">
        <x:v>راهنما</x:v>
      </x:c>
      <x:c r="C3031" s="31" t="str">
        <x:v>A7</x:v>
      </x:c>
      <x:c r="D3031" s="31" t="str">
        <x:v>رسیدها</x:v>
      </x:c>
      <x:c r="E3031" s="31"/>
    </x:row>
    <x:row r="3032" ht="15" hidden="0" customHeight="1">
      <x:c r="A3032" s="31" t="str">
        <x:v>Anjoman accounting - refined.xlsx</x:v>
      </x:c>
      <x:c r="B3032" s="31" t="str">
        <x:v>راهنما</x:v>
      </x:c>
      <x:c r="C3032" s="31" t="str">
        <x:v>B7</x:v>
      </x:c>
      <x:c r="D3032" s="31" t="str">
        <x:v>تمام 20 تصویر رسید در صف بررسی هستند؛ مبلغ، تاریخ، طرف حساب و تکراری بودن باید دستی تایید شود.</x:v>
      </x:c>
      <x:c r="E3032" s="31"/>
    </x:row>
    <x:row r="3033" ht="15" hidden="0" customHeight="1">
      <x:c r="A3033" s="31" t="str">
        <x:v>Anjoman accounting - refined.xlsx</x:v>
      </x:c>
      <x:c r="B3033" s="31" t="str">
        <x:v>راهنما</x:v>
      </x:c>
      <x:c r="C3033" s="31" t="str">
        <x:v>A8</x:v>
      </x:c>
      <x:c r="D3033" s="31" t="str">
        <x:v>ردیابی</x:v>
      </x:c>
      <x:c r="E3033" s="31"/>
    </x:row>
    <x:row r="3034" ht="15" hidden="0" customHeight="1">
      <x:c r="A3034" s="31" t="str">
        <x:v>Anjoman accounting - refined.xlsx</x:v>
      </x:c>
      <x:c r="B3034" s="31" t="str">
        <x:v>راهنما</x:v>
      </x:c>
      <x:c r="C3034" s="31" t="str">
        <x:v>B8</x:v>
      </x:c>
      <x:c r="D3034" s="31" t="str">
        <x:v>شناسه مدرک و SHA-256 امکان برگشت از گزارش به فایل اصلی را فراهم می‌کند.</x:v>
      </x:c>
      <x:c r="E3034" s="31"/>
    </x:row>
    <x:row r="3035" ht="15" hidden="0" customHeight="1">
      <x:c r="A3035" s="31" t="str">
        <x:v>Anjoman accounting - refined.xlsx</x:v>
      </x:c>
      <x:c r="B3035" s="31" t="str">
        <x:v>راهنما</x:v>
      </x:c>
      <x:c r="C3035" s="31" t="str">
        <x:v>A9</x:v>
      </x:c>
      <x:c r="D3035" s="31" t="str">
        <x:v>حریم خصوصی</x:v>
      </x:c>
      <x:c r="E3035" s="31"/>
    </x:row>
    <x:row r="3036" ht="15" hidden="0" customHeight="1">
      <x:c r="A3036" s="31" t="str">
        <x:v>Anjoman accounting - refined.xlsx</x:v>
      </x:c>
      <x:c r="B3036" s="31" t="str">
        <x:v>راهنما</x:v>
      </x:c>
      <x:c r="C3036" s="31" t="str">
        <x:v>B9</x:v>
      </x:c>
      <x:c r="D3036" s="31" t="str">
        <x:v>گزارش‌های عملیاتی نباید شماره تلفن‌های دانشجویان را بازنشر کنند؛ داده خام فقط برای تطبیق نگهداری شده است.</x:v>
      </x:c>
      <x:c r="E3036" s="31"/>
    </x:row>
    <x:row r="3037" ht="15" hidden="0" customHeight="1">
      <x:c r="A3037" s="31" t="str">
        <x:v>Anjoman accounting - refined.xlsx</x:v>
      </x:c>
      <x:c r="B3037" s="31" t="str">
        <x:v>راهنما</x:v>
      </x:c>
      <x:c r="C3037" s="31" t="str">
        <x:v>A10</x:v>
      </x:c>
      <x:c r="D3037" s="31" t="str">
        <x:v>اصل فایل</x:v>
      </x:c>
      <x:c r="E3037" s="31"/>
    </x:row>
    <x:row r="3038" ht="15" hidden="0" customHeight="1">
      <x:c r="A3038" s="31" t="str">
        <x:v>Anjoman accounting - refined.xlsx</x:v>
      </x:c>
      <x:c r="B3038" s="31" t="str">
        <x:v>راهنما</x:v>
      </x:c>
      <x:c r="C3038" s="31" t="str">
        <x:v>B10</x:v>
      </x:c>
      <x:c r="D3038" s="31" t="str">
        <x:v>Anjoman accounting.xlsx تغییر نکرده و به عنوان منبع خام حفظ شده است.</x:v>
      </x:c>
      <x:c r="E3038" s="31"/>
    </x:row>
  </x:sheetData>
  <x:mergeCells>
    <x:mergeCell ref="A2:E2"/>
  </x:mergeCells>
  <x:pageMargins left="0.7" right="0.7" top="0.75" bottom="0.75" header="0.3" footer="0.3"/>
  <x:tableParts count="1">
    <x:tablePart xmlns:r="http://schemas.openxmlformats.org/officeDocument/2006/relationships" r:id="R729c94d5ac7a42bc"/>
  </x:tableParts>
</x:worksheet>
</file>

<file path=xl/worksheets/sheet13.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36" hidden="0" customWidth="1"/>
    <x:col min="2" max="2" width="145" hidden="0" customWidth="1"/>
  </x:cols>
  <x:sheetData>
    <x:row r="1" ht="15" hidden="0" customHeight="1">
      <x:c r="A1" s="33"/>
      <x:c r="B1" s="33"/>
    </x:row>
    <x:row r="2" ht="16.799999237060547" hidden="0" customHeight="1">
      <x:c r="A2" s="34" t="str">
        <x:v>Accounting basis, definitions and refresh instructions</x:v>
      </x:c>
      <x:c r="B2" s="33"/>
    </x:row>
    <x:row r="3" ht="15" hidden="0" customHeight="1">
      <x:c r="A3" s="33"/>
      <x:c r="B3" s="33"/>
    </x:row>
    <x:row r="4" ht="15" hidden="0" customHeight="1">
      <x:c r="A4" s="7" t="str">
        <x:v>Topic</x:v>
      </x:c>
      <x:c r="B4" s="7" t="str">
        <x:v>Policy</x:v>
      </x:c>
    </x:row>
    <x:row r="5" ht="15" hidden="0" customHeight="1">
      <x:c r="A5" s="31" t="str">
        <x:v>Report cutoff</x:v>
      </x:c>
      <x:c r="B5" s="31" t="str">
        <x:v>2026-10-10 / 1405/07/18</x:v>
      </x:c>
    </x:row>
    <x:row r="6" ht="15" hidden="0" customHeight="1">
      <x:c r="A6" s="31" t="str">
        <x:v>Currency</x:v>
      </x:c>
      <x:c r="B6" s="31" t="str">
        <x:v>Toman; original rial amounts are retained and divided by 10</x:v>
      </x:c>
    </x:row>
    <x:row r="7" ht="15" hidden="0" customHeight="1">
      <x:c r="A7" s="31" t="str">
        <x:v>Supported status</x:v>
      </x:c>
      <x:c r="B7" s="31" t="str">
        <x:v>Evidence supports association cash direction, amount and settlement. Original-ledger-only records retain their evidence label.</x:v>
      </x:c>
    </x:row>
    <x:row r="8" ht="15" hidden="0" customHeight="1">
      <x:c r="A8" s="31" t="str">
        <x:v>Review status</x:v>
      </x:c>
      <x:c r="B8" s="31" t="str">
        <x:v>Unresolved cash direction, entity relationship, settlement, amount, unit, duplicate or cutoff; excluded from supported totals. Confirmed expenses may remain unallocated by project.</x:v>
      </x:c>
    </x:row>
    <x:row r="9" ht="15" hidden="0" customHeight="1">
      <x:c r="A9" s="31" t="str">
        <x:v>Invoice only</x:v>
      </x:c>
      <x:c r="B9" s="31" t="str">
        <x:v>Billing evidence without a matched cash payment. Not automatically an accounts-payable assertion.</x:v>
      </x:c>
    </x:row>
    <x:row r="10" ht="15" hidden="0" customHeight="1">
      <x:c r="A10" s="31" t="str">
        <x:v>Duplicate status</x:v>
      </x:c>
      <x:c r="B10" s="31" t="str">
        <x:v>Candidate evidence of a transaction already counted elsewhere; retained for audit trail.</x:v>
      </x:c>
    </x:row>
    <x:row r="11" ht="15" hidden="0" customHeight="1">
      <x:c r="A11" s="31" t="str">
        <x:v>Summary only</x:v>
      </x:c>
      <x:c r="B11" s="31" t="str">
        <x:v>Source report or message aggregate; not an additional cash event.</x:v>
      </x:c>
    </x:row>
    <x:row r="12" ht="15" hidden="0" customHeight="1">
      <x:c r="A12" s="31" t="str">
        <x:v>Date policy</x:v>
      </x:c>
      <x:c r="B12" s="31" t="str">
        <x:v>Receipt transaction date preferred. Upload date is not transaction date. Partial-month dates are preserved without an invented day.</x:v>
      </x:c>
    </x:row>
    <x:row r="13" ht="15" hidden="0" customHeight="1">
      <x:c r="A13" s="31" t="str">
        <x:v>Opening and closing cash</x:v>
      </x:c>
      <x:c r="B13" s="31" t="str">
        <x:v>Opening association cash and reconciled closing cash unavailable without complete statements and personal-fund separation.</x:v>
      </x:c>
    </x:row>
    <x:row r="14" ht="15" hidden="0" customHeight="1">
      <x:c r="A14" s="31" t="str">
        <x:v>Source models</x:v>
      </x:c>
      <x:c r="B14" s="31" t="str">
        <x:v>Claude Sonnet 5.5 for OCR and context; Claude Opus 5.5 for independent scan review, reconciliation and narrative review.</x:v>
      </x:c>
    </x:row>
    <x:row r="15" ht="15" hidden="0" customHeight="1">
      <x:c r="A15" s="31" t="str">
        <x:v>Refresh</x:v>
      </x:c>
      <x:c r="B15" s="31" t="str">
        <x:v>Edit status, amount and direction on Transactions; formula-linked summaries recalculate in Excel. Add rows within the table and extend formula ranges when appending beyond current dataset.</x:v>
      </x:c>
    </x:row>
    <x:row r="16" ht="15" hidden="0" customHeight="1">
      <x:c r="A16" s="31" t="str">
        <x:v>User confirmation</x:v>
      </x:c>
      <x:c r="B16" s="31" t="str">
        <x:v>All recipts/ items are user-confirmed association expenses. Provisional receipts and the photographed invoice are treated as settled on user attestation, separately from bank-final evidence.</x:v>
      </x:c>
    </x:row>
    <x:row r="17" ht="15" hidden="0" customHeight="1">
      <x:c r="A17" s="31" t="str">
        <x:v>Instructor mapping</x:v>
      </x:c>
      <x:c r="B17" s="31" t="str">
        <x:v>Five Summer School 1405 payments total 11,500,000. Alireza is the bank payee for instructor Abolfazl Ahmadi; Zahra Amiri is sticker supplies. Sixth instructor remains unmatched.</x:v>
      </x:c>
    </x:row>
    <x:row r="18" ht="15" hidden="0" customHeight="1">
      <x:c r="A18" s="31" t="str">
        <x:v>Scope</x:v>
      </x:c>
      <x:c r="B18" s="31" t="str">
        <x:v>All 188 exported messages, 68 original full-size images, four PDFs, three course reports and both workbooks. Thumbnails and export icons are display derivatives.</x:v>
      </x:c>
    </x:row>
    <x:row r="19" ht="15" hidden="0" customHeight="1">
      <x:c r="A19" s="31" t="str">
        <x:v>Policy 1</x:v>
      </x:c>
      <x:c r="B19" s="31" t="str">
        <x:v>Reporting unit is toman. Rial documents are divided by 10, and only when the unit is printed. Amounts with no stated unit keep amount_toman null.</x:v>
      </x:c>
    </x:row>
    <x:row r="20" ht="15" hidden="0" customHeight="1">
      <x:c r="A20" s="31" t="str">
        <x:v>Policy 2</x:v>
      </x:c>
      <x:c r="B20" s="31" t="str">
        <x:v>The printed document date takes precedence over upload, forward or filename dates. Conflicts are kept in notes.</x:v>
      </x:c>
    </x:row>
    <x:row r="21" ht="15" hidden="0" customHeight="1">
      <x:c r="A21" s="31" t="str">
        <x:v>Policy 3</x:v>
      </x:c>
      <x:c r="B21" s="31" t="str">
        <x:v>Supported totals include only Supported rows. Review, Duplicate, Invoice only and Summary only rows are excluded.</x:v>
      </x:c>
    </x:row>
    <x:row r="22" ht="15" hidden="0" customHeight="1">
      <x:c r="A22" s="31" t="str">
        <x:v>Policy 4</x:v>
      </x:c>
      <x:c r="B22" s="31" t="str">
        <x:v>Invoices prove billing, not payment. Cash payments are included only when settled or explicitly recorded in the original ledger; unmatched invoices remain separate.</x:v>
      </x:c>
    </x:row>
    <x:row r="23" ht="15" hidden="0" customHeight="1">
      <x:c r="A23" s="31" t="str">
        <x:v>Policy 5</x:v>
      </x:c>
      <x:c r="B23" s="31" t="str">
        <x:v>Volunteer-paid purchases support reimbursements. Either the reimbursement or the purchases is recorded as association cash, never both.</x:v>
      </x:c>
    </x:row>
    <x:row r="24" ht="15" hidden="0" customHeight="1">
      <x:c r="A24" s="31" t="str">
        <x:v>Policy 6</x:v>
      </x:c>
      <x:c r="B24" s="31" t="str">
        <x:v>Internal transfers (e.g. AMIN-EVENT to SHAHR-8966) are not income or expense.</x:v>
      </x:c>
    </x:row>
    <x:row r="25" ht="15" hidden="0" customHeight="1">
      <x:c r="A25" s="31" t="str">
        <x:v>Policy 7</x:v>
      </x:c>
      <x:c r="B25" s="31" t="str">
        <x:v>Opening-funds handovers from the former board are recorded as equity or opening funds, not operating income.</x:v>
      </x:c>
    </x:row>
    <x:row r="26" ht="15" hidden="0" customHeight="1">
      <x:c r="A26" s="31" t="str">
        <x:v>Policy 8</x:v>
      </x:c>
      <x:c r="B26" s="31" t="str">
        <x:v>Custodian Blu outflows in recipts/ are now confirmed by the user as association expenses. Unknown purposes remain unallocated; statement reconciliation is still required.</x:v>
      </x:c>
    </x:row>
    <x:row r="27" ht="15" hidden="0" customHeight="1">
      <x:c r="A27" s="31" t="str">
        <x:v>Policy 9</x:v>
      </x:c>
      <x:c r="B27" s="31" t="str">
        <x:v>Each original مجموع cell maps to ledger rows with a disposition. The مرداد and شهریور sheets are subsets and are not double-mapped.</x:v>
      </x:c>
    </x:row>
    <x:row r="28" ht="15" hidden="0" customHeight="1">
      <x:c r="A28" s="31" t="str">
        <x:v>Policy 10</x:v>
      </x:c>
      <x:c r="B28" s="31" t="str">
        <x:v>Teacher fees round to 100,000 toman (message14). Deviations are flagged, not altered.</x:v>
      </x:c>
    </x:row>
    <x:row r="29" ht="15" hidden="0" customHeight="1">
      <x:c r="A29" s="31" t="str">
        <x:v>Policy 11</x:v>
      </x:c>
      <x:c r="B29" s="31" t="str">
        <x:v>Student phone numbers in the course reports must not appear in published reports.</x:v>
      </x:c>
    </x:row>
    <x:row r="30" ht="24" hidden="0" customHeight="1">
      <x:c r="A30" s="31" t="str">
        <x:v>Policy 12</x:v>
      </x:c>
      <x:c r="B30" s="31" t="str">
        <x:v>User-confirmation revision: all recipts/ images are association expenses. Provisional transfers and the photographed invoice are treated as settled only on explicit user attestation; their original source limitations remain visible. The folder duplicate is retained and excluded. Five Summer School 1405 payments are identified; the sixth is not inferred.</x:v>
      </x:c>
    </x:row>
  </x:sheetData>
  <x:mergeCells>
    <x:mergeCell ref="A2:B2"/>
  </x:mergeCells>
  <x:pageMargins left="0.7" right="0.7" top="0.75" bottom="0.75" header="0.3" footer="0.3"/>
  <x:tableParts count="1">
    <x:tablePart xmlns:r="http://schemas.openxmlformats.org/officeDocument/2006/relationships" r:id="R00da56e4d26f4d9a"/>
  </x:tableParts>
</x:worksheet>
</file>