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داشبورد" sheetId="1" state="visible" r:id="rId1"/>
    <sheet xmlns:r="http://schemas.openxmlformats.org/officeDocument/2006/relationships" name="تراکنش‌ها" sheetId="2" state="visible" r:id="rId2"/>
    <sheet xmlns:r="http://schemas.openxmlformats.org/officeDocument/2006/relationships" name="اسناد و شواهد" sheetId="3" state="visible" r:id="rId3"/>
    <sheet xmlns:r="http://schemas.openxmlformats.org/officeDocument/2006/relationships" name="صف بررسی رسیدها" sheetId="4" state="visible" r:id="rId4"/>
    <sheet xmlns:r="http://schemas.openxmlformats.org/officeDocument/2006/relationships" name="خام_تلگرام" sheetId="5" state="visible" r:id="rId5"/>
    <sheet xmlns:r="http://schemas.openxmlformats.org/officeDocument/2006/relationships" name="خام_دفتر_قبلی" sheetId="6" state="visible" r:id="rId6"/>
    <sheet xmlns:r="http://schemas.openxmlformats.org/officeDocument/2006/relationships" name="خام_اسناد" sheetId="7" state="visible" r:id="rId7"/>
    <sheet xmlns:r="http://schemas.openxmlformats.org/officeDocument/2006/relationships" name="تطبیق" sheetId="8" state="visible" r:id="rId8"/>
    <sheet xmlns:r="http://schemas.openxmlformats.org/officeDocument/2006/relationships" name="گزارش ماهانه" sheetId="9" state="visible" r:id="rId9"/>
    <sheet xmlns:r="http://schemas.openxmlformats.org/officeDocument/2006/relationships" name="دسته‌بندی‌ها" sheetId="10" state="visible" r:id="rId10"/>
    <sheet xmlns:r="http://schemas.openxmlformats.org/officeDocument/2006/relationships" name="طرف‌حساب‌ها" sheetId="11" state="visible" r:id="rId11"/>
    <sheet xmlns:r="http://schemas.openxmlformats.org/officeDocument/2006/relationships" name="راهنما" sheetId="12" state="visible" r:id="rId12"/>
  </sheets>
  <definedNames>
    <definedName name="_xlnm._FilterDatabase" localSheetId="1" hidden="1">'تراکنش‌ها'!$A$3:$M$51</definedName>
  </definedNames>
  <calcPr calcId="124519" calcMode="auto" fullCalcOnLoad="1" forceFullCalc="1"/>
</workbook>
</file>

<file path=xl/styles.xml><?xml version="1.0" encoding="utf-8"?>
<styleSheet xmlns="http://schemas.openxmlformats.org/spreadsheetml/2006/main">
  <numFmts count="0"/>
  <fonts count="5">
    <font>
      <name val="Calibri"/>
      <family val="2"/>
      <color theme="1"/>
      <sz val="11"/>
      <scheme val="minor"/>
    </font>
    <font>
      <b val="1"/>
      <color rgb="00FFFFFF"/>
      <sz val="16"/>
    </font>
    <font>
      <i val="1"/>
      <color rgb="00666666"/>
    </font>
    <font>
      <b val="1"/>
      <color rgb="00FFFFFF"/>
    </font>
    <font>
      <b val="1"/>
      <color rgb="00FFFFFF"/>
      <sz val="20"/>
    </font>
  </fonts>
  <fills count="5">
    <fill>
      <patternFill/>
    </fill>
    <fill>
      <patternFill patternType="gray125"/>
    </fill>
    <fill>
      <patternFill patternType="solid">
        <fgColor rgb="0017365D"/>
      </patternFill>
    </fill>
    <fill>
      <patternFill patternType="solid">
        <fgColor rgb="00FFFFFF"/>
      </patternFill>
    </fill>
    <fill>
      <patternFill patternType="solid">
        <fgColor rgb="00FFF2CC"/>
      </patternFill>
    </fill>
  </fills>
  <borders count="2">
    <border>
      <left/>
      <right/>
      <top/>
      <bottom/>
      <diagonal/>
    </border>
    <border>
      <bottom style="thin">
        <color rgb="00D9E1F2"/>
      </bottom>
    </border>
  </borders>
  <cellStyleXfs count="1">
    <xf numFmtId="0" fontId="0" fillId="0" borderId="0"/>
  </cellStyleXfs>
  <cellXfs count="13">
    <xf numFmtId="0" fontId="0" fillId="0" borderId="0" pivotButton="0" quotePrefix="0" xfId="0"/>
    <xf numFmtId="0" fontId="4" fillId="2"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3" fontId="0"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3" borderId="1" applyAlignment="1" pivotButton="0" quotePrefix="0" xfId="0">
      <alignment vertical="top" wrapText="1"/>
    </xf>
    <xf numFmtId="3" fontId="0" fillId="3" borderId="1" applyAlignment="1" pivotButton="0" quotePrefix="0" xfId="0">
      <alignment vertical="top" wrapText="1"/>
    </xf>
    <xf numFmtId="0" fontId="0" fillId="4" borderId="1" applyAlignment="1" pivotButton="0" quotePrefix="0" xfId="0">
      <alignment vertical="top" wrapText="1"/>
    </xf>
    <xf numFmtId="3" fontId="0" fillId="4" borderId="1"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درآمد و هزینه تاییدشده به تفکیک ماه</a:t>
            </a:r>
          </a:p>
        </rich>
      </tx>
    </title>
    <plotArea>
      <barChart>
        <barDir val="col"/>
        <grouping val="clustered"/>
        <ser>
          <idx val="0"/>
          <order val="0"/>
          <tx>
            <strRef>
              <f>'گزارش ماهانه'!B3</f>
            </strRef>
          </tx>
          <spPr>
            <a:ln xmlns:a="http://schemas.openxmlformats.org/drawingml/2006/main">
              <a:prstDash val="solid"/>
            </a:ln>
          </spPr>
          <cat>
            <numRef>
              <f>'گزارش ماهانه'!$A$4:$A$12</f>
            </numRef>
          </cat>
          <val>
            <numRef>
              <f>'گزارش ماهانه'!$B$4:$B$12</f>
            </numRef>
          </val>
        </ser>
        <ser>
          <idx val="1"/>
          <order val="1"/>
          <tx>
            <strRef>
              <f>'گزارش ماهانه'!C3</f>
            </strRef>
          </tx>
          <spPr>
            <a:ln xmlns:a="http://schemas.openxmlformats.org/drawingml/2006/main">
              <a:prstDash val="solid"/>
            </a:ln>
          </spPr>
          <cat>
            <numRef>
              <f>'گزارش ماهانه'!$A$4:$A$12</f>
            </numRef>
          </cat>
          <val>
            <numRef>
              <f>'گزارش ماهانه'!$C$4:$C$12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ماه</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تومان</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11</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ransactions" displayName="Transactions" ref="A3:M51" headerRowCount="1">
  <autoFilter ref="A3:M51"/>
  <tableColumns count="13">
    <tableColumn id="1" name="شناسه تراکنش"/>
    <tableColumn id="2" name="نوع"/>
    <tableColumn id="3" name="تاریخ/ماه"/>
    <tableColumn id="4" name="مبلغ اصلی"/>
    <tableColumn id="5" name="واحد اصلی"/>
    <tableColumn id="6" name="مبلغ تومان"/>
    <tableColumn id="7" name="طرف حساب"/>
    <tableColumn id="8" name="شرح"/>
    <tableColumn id="9" name="دسته‌بندی"/>
    <tableColumn id="10" name="وضعیت"/>
    <tableColumn id="11" name="مبنای ثبت"/>
    <tableColumn id="12" name="شناسه مدرک"/>
    <tableColumn id="13" name="یادداشت"/>
  </tableColumns>
  <tableStyleInfo name="TableStyleMedium2" showRowStripes="1" showColumnStripes="0"/>
</table>
</file>

<file path=xl/tables/table2.xml><?xml version="1.0" encoding="utf-8"?>
<table xmlns="http://schemas.openxmlformats.org/spreadsheetml/2006/main" id="2" name="Evidence" displayName="Evidence" ref="A3:F172" headerRowCount="1">
  <autoFilter ref="A3:F172"/>
  <tableColumns count="6">
    <tableColumn id="1" name="شناسه مدرک"/>
    <tableColumn id="2" name="مسیر نسبی"/>
    <tableColumn id="3" name="نوع"/>
    <tableColumn id="4" name="حجم بایت"/>
    <tableColumn id="5" name="SHA-256"/>
    <tableColumn id="6" name="توضیح"/>
  </tableColumns>
  <tableStyleInfo name="TableStyleMedium2" showRowStripes="1" showColumnStripes="0"/>
</table>
</file>

<file path=xl/tables/table3.xml><?xml version="1.0" encoding="utf-8"?>
<table xmlns="http://schemas.openxmlformats.org/spreadsheetml/2006/main" id="3" name="ReceiptReview" displayName="ReceiptReview" ref="A3:K23" headerRowCount="1">
  <autoFilter ref="A3:K23"/>
  <tableColumns count="11">
    <tableColumn id="1" name="شناسه بررسی"/>
    <tableColumn id="2" name="فایل رسید"/>
    <tableColumn id="3" name="حجم"/>
    <tableColumn id="4" name="SHA-256"/>
    <tableColumn id="5" name="ابعاد"/>
    <tableColumn id="6" name="وضعیت"/>
    <tableColumn id="7" name="مبلغ تومان"/>
    <tableColumn id="8" name="تاریخ"/>
    <tableColumn id="9" name="طرف حساب"/>
    <tableColumn id="10" name="شرح/دسته‌بندی"/>
    <tableColumn id="11" name="اقدام بعدی"/>
  </tableColumns>
  <tableStyleInfo name="TableStyleMedium4" showRowStripes="1" showColumnStripes="0"/>
</table>
</file>

<file path=xl/tables/table4.xml><?xml version="1.0" encoding="utf-8"?>
<table xmlns="http://schemas.openxmlformats.org/spreadsheetml/2006/main" id="4" name="TelegramMessages" displayName="TelegramMessages" ref="A3:E191" headerRowCount="1">
  <autoFilter ref="A3:E191"/>
  <tableColumns count="5">
    <tableColumn id="1" name="شناسه پیام"/>
    <tableColumn id="2" name="تاریخ منبع"/>
    <tableColumn id="3" name="فرستنده"/>
    <tableColumn id="4" name="متن"/>
    <tableColumn id="5" name="پیوندها"/>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H9"/>
  <sheetViews>
    <sheetView rightToLeft="1" workbookViewId="0">
      <selection activeCell="A1" sqref="A1"/>
    </sheetView>
  </sheetViews>
  <sheetFormatPr baseColWidth="8" defaultRowHeight="15"/>
  <cols>
    <col width="30" customWidth="1" min="1" max="1"/>
    <col width="22" customWidth="1" min="2" max="2"/>
    <col width="60" customWidth="1" min="3" max="3"/>
  </cols>
  <sheetData>
    <row r="1">
      <c r="A1" s="1" t="inlineStr">
        <is>
          <t>داشبورد گزارش حسابداری انجمن</t>
        </is>
      </c>
    </row>
    <row r="2"/>
    <row r="3">
      <c r="A3" s="2" t="inlineStr">
        <is>
          <t>شاخص</t>
        </is>
      </c>
      <c r="B3" s="2" t="inlineStr">
        <is>
          <t>مقدار تومان</t>
        </is>
      </c>
      <c r="C3" s="2" t="inlineStr">
        <is>
          <t>وضعیت/توضیح</t>
        </is>
      </c>
      <c r="E3" s="2" t="inlineStr">
        <is>
          <t>کنترل</t>
        </is>
      </c>
      <c r="F3" s="2" t="inlineStr">
        <is>
          <t>نتیجه</t>
        </is>
      </c>
    </row>
    <row r="4">
      <c r="A4" s="3" t="inlineStr">
        <is>
          <t>درآمد تاییدشده</t>
        </is>
      </c>
      <c r="B4" s="4">
        <f>تطبیق!B5</f>
        <v/>
      </c>
      <c r="C4" s="3" t="inlineStr">
        <is>
          <t>مبنای گزارش رسمی</t>
        </is>
      </c>
      <c r="E4" s="3" t="inlineStr">
        <is>
          <t>واحد گزارش</t>
        </is>
      </c>
      <c r="F4" s="3" t="inlineStr">
        <is>
          <t>تومان</t>
        </is>
      </c>
    </row>
    <row r="5">
      <c r="A5" s="3" t="inlineStr">
        <is>
          <t>هزینه تاییدشده</t>
        </is>
      </c>
      <c r="B5" s="4">
        <f>تطبیق!B6</f>
        <v/>
      </c>
      <c r="C5" s="3" t="inlineStr">
        <is>
          <t>مبنای گزارش رسمی</t>
        </is>
      </c>
      <c r="E5" s="3" t="inlineStr">
        <is>
          <t>اصل داده</t>
        </is>
      </c>
      <c r="F5" s="3" t="inlineStr">
        <is>
          <t>اصل/خام حفظ شده</t>
        </is>
      </c>
    </row>
    <row r="6">
      <c r="A6" s="3" t="inlineStr">
        <is>
          <t>تراز تاییدشده</t>
        </is>
      </c>
      <c r="B6" s="4">
        <f>تطبیق!B7</f>
        <v/>
      </c>
      <c r="C6" s="3" t="inlineStr">
        <is>
          <t>درآمد منهای هزینه</t>
        </is>
      </c>
      <c r="E6" s="3" t="inlineStr">
        <is>
          <t>اقلام نامطمئن</t>
        </is>
      </c>
      <c r="F6" s="3" t="inlineStr">
        <is>
          <t>از جمع تاییدشده حذف</t>
        </is>
      </c>
    </row>
    <row r="7">
      <c r="A7" s="3" t="inlineStr">
        <is>
          <t>درآمد پیشنهادی</t>
        </is>
      </c>
      <c r="B7" s="4">
        <f>تطبیق!B8</f>
        <v/>
      </c>
      <c r="C7" s="3" t="inlineStr">
        <is>
          <t>خارج از تراز تا تایید</t>
        </is>
      </c>
      <c r="E7" s="3" t="inlineStr">
        <is>
          <t>زبان</t>
        </is>
      </c>
      <c r="F7" s="3" t="inlineStr">
        <is>
          <t>فارسی</t>
        </is>
      </c>
    </row>
    <row r="8">
      <c r="A8" s="3" t="inlineStr">
        <is>
          <t>هزینه پیشنهادی</t>
        </is>
      </c>
      <c r="B8" s="4">
        <f>تطبیق!B9</f>
        <v/>
      </c>
      <c r="C8" s="3" t="inlineStr">
        <is>
          <t>خارج از تراز تا تایید</t>
        </is>
      </c>
    </row>
    <row r="9">
      <c r="A9" s="3" t="inlineStr">
        <is>
          <t>رسیدهای در صف بررسی</t>
        </is>
      </c>
      <c r="B9" s="4">
        <f>تطبیق!B10</f>
        <v/>
      </c>
      <c r="C9" s="3" t="inlineStr">
        <is>
          <t>ورود دستی لازم</t>
        </is>
      </c>
    </row>
  </sheetData>
  <mergeCells count="1">
    <mergeCell ref="A1:H1"/>
  </mergeCells>
  <pageMargins left="0.75" right="0.75" top="1" bottom="1" header="0.5" footer="0.5"/>
  <pageSetup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51"/>
  <sheetViews>
    <sheetView rightToLeft="1" workbookViewId="0">
      <pane ySplit="3" topLeftCell="A4" activePane="bottomLeft" state="frozen"/>
      <selection pane="bottomLeft" activeCell="A1" sqref="A1"/>
    </sheetView>
  </sheetViews>
  <sheetFormatPr baseColWidth="8" defaultRowHeight="15"/>
  <cols>
    <col width="18" customWidth="1" min="1" max="1"/>
    <col width="12" customWidth="1" min="2" max="2"/>
    <col width="16" customWidth="1" min="3" max="3"/>
    <col width="15" customWidth="1" min="4" max="4"/>
    <col width="12" customWidth="1" min="5" max="5"/>
    <col width="15" customWidth="1" min="6" max="6"/>
    <col width="26" customWidth="1" min="7" max="7"/>
    <col width="48" customWidth="1" min="8" max="8"/>
    <col width="28" customWidth="1" min="9" max="9"/>
    <col width="24" customWidth="1" min="10" max="10"/>
    <col width="20" customWidth="1" min="11" max="11"/>
    <col width="24" customWidth="1" min="12" max="12"/>
    <col width="60" customWidth="1" min="13" max="13"/>
  </cols>
  <sheetData>
    <row r="1" ht="28" customHeight="1">
      <c r="A1" s="5" t="inlineStr">
        <is>
          <t>دفتر کل تراکنش‌ها</t>
        </is>
      </c>
    </row>
    <row r="2">
      <c r="A2" s="6" t="inlineStr">
        <is>
          <t>نسخه refined | واحد گزارش: تومان | مبالغ نامطمئن در صف بررسی از جمع تاییدشده حذف می‌شوند.</t>
        </is>
      </c>
    </row>
    <row r="3" ht="34" customHeight="1">
      <c r="A3" s="7" t="inlineStr">
        <is>
          <t>شناسه تراکنش</t>
        </is>
      </c>
      <c r="B3" s="7" t="inlineStr">
        <is>
          <t>نوع</t>
        </is>
      </c>
      <c r="C3" s="7" t="inlineStr">
        <is>
          <t>تاریخ/ماه</t>
        </is>
      </c>
      <c r="D3" s="7" t="inlineStr">
        <is>
          <t>مبلغ اصلی</t>
        </is>
      </c>
      <c r="E3" s="7" t="inlineStr">
        <is>
          <t>واحد اصلی</t>
        </is>
      </c>
      <c r="F3" s="7" t="inlineStr">
        <is>
          <t>مبلغ تومان</t>
        </is>
      </c>
      <c r="G3" s="7" t="inlineStr">
        <is>
          <t>طرف حساب</t>
        </is>
      </c>
      <c r="H3" s="7" t="inlineStr">
        <is>
          <t>شرح</t>
        </is>
      </c>
      <c r="I3" s="7" t="inlineStr">
        <is>
          <t>دسته‌بندی</t>
        </is>
      </c>
      <c r="J3" s="7" t="inlineStr">
        <is>
          <t>وضعیت</t>
        </is>
      </c>
      <c r="K3" s="7" t="inlineStr">
        <is>
          <t>مبنای ثبت</t>
        </is>
      </c>
      <c r="L3" s="7" t="inlineStr">
        <is>
          <t>شناسه مدرک</t>
        </is>
      </c>
      <c r="M3" s="7" t="inlineStr">
        <is>
          <t>یادداشت</t>
        </is>
      </c>
    </row>
    <row r="4">
      <c r="A4" s="8" t="inlineStr">
        <is>
          <t>TX-00001</t>
        </is>
      </c>
      <c r="B4" s="8" t="inlineStr">
        <is>
          <t>هزینه</t>
        </is>
      </c>
      <c r="C4" s="8" t="inlineStr">
        <is>
          <t>مرداد</t>
        </is>
      </c>
      <c r="D4" s="9" t="n">
        <v>3500000</v>
      </c>
      <c r="E4" s="8" t="inlineStr">
        <is>
          <t>تومان</t>
        </is>
      </c>
      <c r="F4" s="9" t="n">
        <v>3500000</v>
      </c>
      <c r="G4" s="8" t="inlineStr">
        <is>
          <t>امیرمحمد جوشقانی</t>
        </is>
      </c>
      <c r="H4" s="8" t="inlineStr">
        <is>
          <t>حق التدریس دوره پایتون</t>
        </is>
      </c>
      <c r="I4" s="8" t="inlineStr">
        <is>
          <t>هزینه / عملیاتی</t>
        </is>
      </c>
      <c r="J4" s="8" t="inlineStr">
        <is>
          <t>تاییدشده</t>
        </is>
      </c>
      <c r="K4" s="8" t="inlineStr">
        <is>
          <t>دفتر قبلی</t>
        </is>
      </c>
      <c r="L4" s="8" t="inlineStr">
        <is>
          <t>LEDGER-MAJMOO-002</t>
        </is>
      </c>
      <c r="M4" s="8" t="inlineStr">
        <is>
          <t>مبلغ از دفتر قبلی خوانده شد؛ نیازمند تطبیق نهایی با شواهد پرداخت.</t>
        </is>
      </c>
    </row>
    <row r="5">
      <c r="A5" s="8" t="inlineStr">
        <is>
          <t>TX-00002</t>
        </is>
      </c>
      <c r="B5" s="8" t="inlineStr">
        <is>
          <t>درآمد</t>
        </is>
      </c>
      <c r="C5" s="8" t="inlineStr">
        <is>
          <t>مرداد</t>
        </is>
      </c>
      <c r="D5" s="9" t="n">
        <v>33642000</v>
      </c>
      <c r="E5" s="8" t="inlineStr">
        <is>
          <t>تومان</t>
        </is>
      </c>
      <c r="F5" s="9" t="n">
        <v>33642000</v>
      </c>
      <c r="G5" s="8" t="inlineStr">
        <is>
          <t>سهراب ملکی</t>
        </is>
      </c>
      <c r="H5" s="8" t="inlineStr">
        <is>
          <t>مدرسه تابستانه</t>
        </is>
      </c>
      <c r="I5" s="8" t="inlineStr">
        <is>
          <t>درآمد / کمک / رویداد</t>
        </is>
      </c>
      <c r="J5" s="8" t="inlineStr">
        <is>
          <t>تاییدشده</t>
        </is>
      </c>
      <c r="K5" s="8" t="inlineStr">
        <is>
          <t>دفتر قبلی</t>
        </is>
      </c>
      <c r="L5" s="8" t="inlineStr">
        <is>
          <t>LEDGER-MAJMOO-003</t>
        </is>
      </c>
      <c r="M5" s="8" t="inlineStr">
        <is>
          <t>مبلغ از دفتر قبلی خوانده شد؛ نیازمند تطبیق نهایی با شواهد بانکی/رسید.</t>
        </is>
      </c>
    </row>
    <row r="6">
      <c r="A6" s="8" t="inlineStr">
        <is>
          <t>TX-00003</t>
        </is>
      </c>
      <c r="B6" s="8" t="inlineStr">
        <is>
          <t>هزینه</t>
        </is>
      </c>
      <c r="C6" s="8" t="inlineStr">
        <is>
          <t>مرداد</t>
        </is>
      </c>
      <c r="D6" s="9" t="n">
        <v>3000000</v>
      </c>
      <c r="E6" s="8" t="inlineStr">
        <is>
          <t>تومان</t>
        </is>
      </c>
      <c r="F6" s="9" t="n">
        <v>3000000</v>
      </c>
      <c r="G6" s="8" t="inlineStr">
        <is>
          <t>سهراب ملکی</t>
        </is>
      </c>
      <c r="H6" s="8" t="inlineStr">
        <is>
          <t>حق التدریس دوره Mathemathica</t>
        </is>
      </c>
      <c r="I6" s="8" t="inlineStr">
        <is>
          <t>هزینه / عملیاتی</t>
        </is>
      </c>
      <c r="J6" s="8" t="inlineStr">
        <is>
          <t>تاییدشده</t>
        </is>
      </c>
      <c r="K6" s="8" t="inlineStr">
        <is>
          <t>دفتر قبلی</t>
        </is>
      </c>
      <c r="L6" s="8" t="inlineStr">
        <is>
          <t>LEDGER-MAJMOO-003</t>
        </is>
      </c>
      <c r="M6" s="8" t="inlineStr">
        <is>
          <t>مبلغ از دفتر قبلی خوانده شد؛ نیازمند تطبیق نهایی با شواهد پرداخت.</t>
        </is>
      </c>
    </row>
    <row r="7">
      <c r="A7" s="8" t="inlineStr">
        <is>
          <t>TX-00004</t>
        </is>
      </c>
      <c r="B7" s="8" t="inlineStr">
        <is>
          <t>هزینه</t>
        </is>
      </c>
      <c r="C7" s="8" t="inlineStr">
        <is>
          <t>مرداد</t>
        </is>
      </c>
      <c r="D7" s="9" t="n">
        <v>3700000</v>
      </c>
      <c r="E7" s="8" t="inlineStr">
        <is>
          <t>تومان</t>
        </is>
      </c>
      <c r="F7" s="9" t="n">
        <v>3700000</v>
      </c>
      <c r="G7" s="8" t="inlineStr">
        <is>
          <t>متین جوکار</t>
        </is>
      </c>
      <c r="H7" s="8" t="inlineStr">
        <is>
          <t>حق التدریس دوره Latex</t>
        </is>
      </c>
      <c r="I7" s="8" t="inlineStr">
        <is>
          <t>هزینه / عملیاتی</t>
        </is>
      </c>
      <c r="J7" s="8" t="inlineStr">
        <is>
          <t>تاییدشده</t>
        </is>
      </c>
      <c r="K7" s="8" t="inlineStr">
        <is>
          <t>دفتر قبلی</t>
        </is>
      </c>
      <c r="L7" s="8" t="inlineStr">
        <is>
          <t>LEDGER-MAJMOO-004</t>
        </is>
      </c>
      <c r="M7" s="8" t="inlineStr">
        <is>
          <t>مبلغ از دفتر قبلی خوانده شد؛ نیازمند تطبیق نهایی با شواهد پرداخت.</t>
        </is>
      </c>
    </row>
    <row r="8">
      <c r="A8" s="8" t="inlineStr">
        <is>
          <t>TX-00005</t>
        </is>
      </c>
      <c r="B8" s="8" t="inlineStr">
        <is>
          <t>هزینه</t>
        </is>
      </c>
      <c r="C8" s="8" t="inlineStr">
        <is>
          <t>مرداد</t>
        </is>
      </c>
      <c r="D8" s="9" t="n">
        <v>500000</v>
      </c>
      <c r="E8" s="8" t="inlineStr">
        <is>
          <t>تومان</t>
        </is>
      </c>
      <c r="F8" s="9" t="n">
        <v>500000</v>
      </c>
      <c r="G8" s="8" t="inlineStr">
        <is>
          <t>ابراهیم خسروانی</t>
        </is>
      </c>
      <c r="H8" s="8" t="inlineStr">
        <is>
          <t>TA، فرم و شیت مدرسه تابستانه</t>
        </is>
      </c>
      <c r="I8" s="8" t="inlineStr">
        <is>
          <t>هزینه / عملیاتی</t>
        </is>
      </c>
      <c r="J8" s="8" t="inlineStr">
        <is>
          <t>تاییدشده</t>
        </is>
      </c>
      <c r="K8" s="8" t="inlineStr">
        <is>
          <t>دفتر قبلی</t>
        </is>
      </c>
      <c r="L8" s="8" t="inlineStr">
        <is>
          <t>LEDGER-MAJMOO-005</t>
        </is>
      </c>
      <c r="M8" s="8" t="inlineStr">
        <is>
          <t>مبلغ از دفتر قبلی خوانده شد؛ نیازمند تطبیق نهایی با شواهد پرداخت.</t>
        </is>
      </c>
    </row>
    <row r="9">
      <c r="A9" s="8" t="inlineStr">
        <is>
          <t>TX-00006</t>
        </is>
      </c>
      <c r="B9" s="8" t="inlineStr">
        <is>
          <t>هزینه</t>
        </is>
      </c>
      <c r="C9" s="8" t="inlineStr">
        <is>
          <t>مرداد</t>
        </is>
      </c>
      <c r="D9" s="9" t="n">
        <v>600000</v>
      </c>
      <c r="E9" s="8" t="inlineStr">
        <is>
          <t>تومان</t>
        </is>
      </c>
      <c r="F9" s="9" t="n">
        <v>600000</v>
      </c>
      <c r="G9" s="8" t="inlineStr">
        <is>
          <t>سپهر طلایی</t>
        </is>
      </c>
      <c r="H9" s="8" t="inlineStr">
        <is>
          <t>TA پایتون، پشتیبانی ثبت نام</t>
        </is>
      </c>
      <c r="I9" s="8" t="inlineStr">
        <is>
          <t>هزینه / عملیاتی</t>
        </is>
      </c>
      <c r="J9" s="8" t="inlineStr">
        <is>
          <t>تاییدشده</t>
        </is>
      </c>
      <c r="K9" s="8" t="inlineStr">
        <is>
          <t>دفتر قبلی</t>
        </is>
      </c>
      <c r="L9" s="8" t="inlineStr">
        <is>
          <t>LEDGER-MAJMOO-006</t>
        </is>
      </c>
      <c r="M9" s="8" t="inlineStr">
        <is>
          <t>مبلغ از دفتر قبلی خوانده شد؛ نیازمند تطبیق نهایی با شواهد پرداخت.</t>
        </is>
      </c>
    </row>
    <row r="10">
      <c r="A10" s="8" t="inlineStr">
        <is>
          <t>TX-00007</t>
        </is>
      </c>
      <c r="B10" s="8" t="inlineStr">
        <is>
          <t>هزینه</t>
        </is>
      </c>
      <c r="C10" s="8" t="inlineStr">
        <is>
          <t>مرداد</t>
        </is>
      </c>
      <c r="D10" s="9" t="n">
        <v>600000</v>
      </c>
      <c r="E10" s="8" t="inlineStr">
        <is>
          <t>تومان</t>
        </is>
      </c>
      <c r="F10" s="9" t="n">
        <v>600000</v>
      </c>
      <c r="G10" s="8" t="inlineStr">
        <is>
          <t>محمدامین عزیزی</t>
        </is>
      </c>
      <c r="H10" s="8" t="inlineStr">
        <is>
          <t>TA پایتون، پشتیبانی ثبت نام، حسابداری مدرسه</t>
        </is>
      </c>
      <c r="I10" s="8" t="inlineStr">
        <is>
          <t>هزینه / عملیاتی</t>
        </is>
      </c>
      <c r="J10" s="8" t="inlineStr">
        <is>
          <t>تاییدشده</t>
        </is>
      </c>
      <c r="K10" s="8" t="inlineStr">
        <is>
          <t>دفتر قبلی</t>
        </is>
      </c>
      <c r="L10" s="8" t="inlineStr">
        <is>
          <t>LEDGER-MAJMOO-007</t>
        </is>
      </c>
      <c r="M10" s="8" t="inlineStr">
        <is>
          <t>مبلغ از دفتر قبلی خوانده شد؛ نیازمند تطبیق نهایی با شواهد پرداخت.</t>
        </is>
      </c>
    </row>
    <row r="11">
      <c r="A11" s="8" t="inlineStr">
        <is>
          <t>TX-00008</t>
        </is>
      </c>
      <c r="B11" s="8" t="inlineStr">
        <is>
          <t>هزینه</t>
        </is>
      </c>
      <c r="C11" s="8" t="inlineStr">
        <is>
          <t>مرداد</t>
        </is>
      </c>
      <c r="D11" s="9" t="n">
        <v>300000</v>
      </c>
      <c r="E11" s="8" t="inlineStr">
        <is>
          <t>تومان</t>
        </is>
      </c>
      <c r="F11" s="9" t="n">
        <v>300000</v>
      </c>
      <c r="G11" s="8" t="inlineStr">
        <is>
          <t>متین جوکار</t>
        </is>
      </c>
      <c r="H11" s="8" t="inlineStr">
        <is>
          <t>ضبط جبرانی جلسه3 لتک</t>
        </is>
      </c>
      <c r="I11" s="8" t="inlineStr">
        <is>
          <t>هزینه / عملیاتی</t>
        </is>
      </c>
      <c r="J11" s="8" t="inlineStr">
        <is>
          <t>تاییدشده</t>
        </is>
      </c>
      <c r="K11" s="8" t="inlineStr">
        <is>
          <t>دفتر قبلی</t>
        </is>
      </c>
      <c r="L11" s="8" t="inlineStr">
        <is>
          <t>LEDGER-MAJMOO-008</t>
        </is>
      </c>
      <c r="M11" s="8" t="inlineStr">
        <is>
          <t>مبلغ از دفتر قبلی خوانده شد؛ نیازمند تطبیق نهایی با شواهد پرداخت.</t>
        </is>
      </c>
    </row>
    <row r="12">
      <c r="A12" s="8" t="inlineStr">
        <is>
          <t>TX-00009</t>
        </is>
      </c>
      <c r="B12" s="8" t="inlineStr">
        <is>
          <t>هزینه</t>
        </is>
      </c>
      <c r="C12" s="8" t="inlineStr">
        <is>
          <t>مرداد</t>
        </is>
      </c>
      <c r="D12" s="9" t="n">
        <v>400000</v>
      </c>
      <c r="E12" s="8" t="inlineStr">
        <is>
          <t>تومان</t>
        </is>
      </c>
      <c r="F12" s="9" t="n">
        <v>400000</v>
      </c>
      <c r="G12" s="8" t="inlineStr">
        <is>
          <t>محمدحسین مشک افشان</t>
        </is>
      </c>
      <c r="H12" s="8" t="inlineStr">
        <is>
          <t>تبلیغ مدرسه تابستانه در مهمات شریف</t>
        </is>
      </c>
      <c r="I12" s="8" t="inlineStr">
        <is>
          <t>هزینه / عملیاتی</t>
        </is>
      </c>
      <c r="J12" s="8" t="inlineStr">
        <is>
          <t>تاییدشده</t>
        </is>
      </c>
      <c r="K12" s="8" t="inlineStr">
        <is>
          <t>دفتر قبلی</t>
        </is>
      </c>
      <c r="L12" s="8" t="inlineStr">
        <is>
          <t>LEDGER-MAJMOO-009</t>
        </is>
      </c>
      <c r="M12" s="8" t="inlineStr">
        <is>
          <t>مبلغ از دفتر قبلی خوانده شد؛ نیازمند تطبیق نهایی با شواهد پرداخت.</t>
        </is>
      </c>
    </row>
    <row r="13">
      <c r="A13" s="8" t="inlineStr">
        <is>
          <t>TX-00010</t>
        </is>
      </c>
      <c r="B13" s="8" t="inlineStr">
        <is>
          <t>هزینه</t>
        </is>
      </c>
      <c r="C13" s="8" t="inlineStr">
        <is>
          <t>مرداد</t>
        </is>
      </c>
      <c r="D13" s="9" t="n">
        <v>300000</v>
      </c>
      <c r="E13" s="8" t="inlineStr">
        <is>
          <t>تومان</t>
        </is>
      </c>
      <c r="F13" s="9" t="n">
        <v>300000</v>
      </c>
      <c r="G13" s="8" t="inlineStr">
        <is>
          <t>امیرمحمد جوشقانی</t>
        </is>
      </c>
      <c r="H13" s="8" t="inlineStr">
        <is>
          <t>ضبط جبرانی جلسه4 پایتون</t>
        </is>
      </c>
      <c r="I13" s="8" t="inlineStr">
        <is>
          <t>هزینه / عملیاتی</t>
        </is>
      </c>
      <c r="J13" s="8" t="inlineStr">
        <is>
          <t>تاییدشده</t>
        </is>
      </c>
      <c r="K13" s="8" t="inlineStr">
        <is>
          <t>دفتر قبلی</t>
        </is>
      </c>
      <c r="L13" s="8" t="inlineStr">
        <is>
          <t>LEDGER-MAJMOO-010</t>
        </is>
      </c>
      <c r="M13" s="8" t="inlineStr">
        <is>
          <t>مبلغ از دفتر قبلی خوانده شد؛ نیازمند تطبیق نهایی با شواهد پرداخت.</t>
        </is>
      </c>
    </row>
    <row r="14">
      <c r="A14" s="8" t="inlineStr">
        <is>
          <t>TX-00011</t>
        </is>
      </c>
      <c r="B14" s="8" t="inlineStr">
        <is>
          <t>هزینه</t>
        </is>
      </c>
      <c r="C14" s="8" t="inlineStr">
        <is>
          <t>مرداد</t>
        </is>
      </c>
      <c r="D14" s="9" t="n">
        <v>750000</v>
      </c>
      <c r="E14" s="8" t="inlineStr">
        <is>
          <t>تومان</t>
        </is>
      </c>
      <c r="F14" s="9" t="n">
        <v>750000</v>
      </c>
      <c r="G14" s="8" t="inlineStr">
        <is>
          <t>حسن شیری</t>
        </is>
      </c>
      <c r="H14" s="8" t="inlineStr">
        <is>
          <t>گرفتن کلید انجمن برای اعضا</t>
        </is>
      </c>
      <c r="I14" s="8" t="inlineStr">
        <is>
          <t>هزینه / عملیاتی</t>
        </is>
      </c>
      <c r="J14" s="8" t="inlineStr">
        <is>
          <t>تاییدشده</t>
        </is>
      </c>
      <c r="K14" s="8" t="inlineStr">
        <is>
          <t>دفتر قبلی</t>
        </is>
      </c>
      <c r="L14" s="8" t="inlineStr">
        <is>
          <t>LEDGER-MAJMOO-011</t>
        </is>
      </c>
      <c r="M14" s="8" t="inlineStr">
        <is>
          <t>مبلغ از دفتر قبلی خوانده شد؛ نیازمند تطبیق نهایی با شواهد پرداخت.</t>
        </is>
      </c>
    </row>
    <row r="15">
      <c r="A15" s="8" t="inlineStr">
        <is>
          <t>TX-00012</t>
        </is>
      </c>
      <c r="B15" s="8" t="inlineStr">
        <is>
          <t>هزینه</t>
        </is>
      </c>
      <c r="C15" s="8" t="inlineStr">
        <is>
          <t>مرداد</t>
        </is>
      </c>
      <c r="D15" s="9" t="n">
        <v>400000</v>
      </c>
      <c r="E15" s="8" t="inlineStr">
        <is>
          <t>تومان</t>
        </is>
      </c>
      <c r="F15" s="9" t="n">
        <v>400000</v>
      </c>
      <c r="G15" s="8" t="inlineStr">
        <is>
          <t>حسن شیری</t>
        </is>
      </c>
      <c r="H15" s="8" t="inlineStr">
        <is>
          <t>نبلیغات مدرسه تابستانه در مهمات شریف</t>
        </is>
      </c>
      <c r="I15" s="8" t="inlineStr">
        <is>
          <t>هزینه / عملیاتی</t>
        </is>
      </c>
      <c r="J15" s="8" t="inlineStr">
        <is>
          <t>تاییدشده</t>
        </is>
      </c>
      <c r="K15" s="8" t="inlineStr">
        <is>
          <t>دفتر قبلی</t>
        </is>
      </c>
      <c r="L15" s="8" t="inlineStr">
        <is>
          <t>LEDGER-MAJMOO-012</t>
        </is>
      </c>
      <c r="M15" s="8" t="inlineStr">
        <is>
          <t>مبلغ از دفتر قبلی خوانده شد؛ نیازمند تطبیق نهایی با شواهد پرداخت.</t>
        </is>
      </c>
    </row>
    <row r="16">
      <c r="A16" s="8" t="inlineStr">
        <is>
          <t>TX-00013</t>
        </is>
      </c>
      <c r="B16" s="8" t="inlineStr">
        <is>
          <t>درآمد</t>
        </is>
      </c>
      <c r="C16" s="8" t="inlineStr">
        <is>
          <t>شهریور</t>
        </is>
      </c>
      <c r="D16" s="9" t="n">
        <v>4920000</v>
      </c>
      <c r="E16" s="8" t="inlineStr">
        <is>
          <t>تومان</t>
        </is>
      </c>
      <c r="F16" s="9" t="n">
        <v>4920000</v>
      </c>
      <c r="G16" s="8" t="inlineStr">
        <is>
          <t>محمدامین عزیزی</t>
        </is>
      </c>
      <c r="H16" s="8" t="inlineStr">
        <is>
          <t>ورودی معرفی رشته</t>
        </is>
      </c>
      <c r="I16" s="8" t="inlineStr">
        <is>
          <t>درآمد / کمک / رویداد</t>
        </is>
      </c>
      <c r="J16" s="8" t="inlineStr">
        <is>
          <t>تاییدشده</t>
        </is>
      </c>
      <c r="K16" s="8" t="inlineStr">
        <is>
          <t>دفتر قبلی</t>
        </is>
      </c>
      <c r="L16" s="8" t="inlineStr">
        <is>
          <t>LEDGER-MAJMOO-015</t>
        </is>
      </c>
      <c r="M16" s="8" t="inlineStr">
        <is>
          <t>مبلغ از دفتر قبلی خوانده شد؛ نیازمند تطبیق نهایی با شواهد بانکی/رسید.</t>
        </is>
      </c>
    </row>
    <row r="17">
      <c r="A17" s="8" t="inlineStr">
        <is>
          <t>TX-00014</t>
        </is>
      </c>
      <c r="B17" s="8" t="inlineStr">
        <is>
          <t>هزینه</t>
        </is>
      </c>
      <c r="C17" s="8" t="inlineStr">
        <is>
          <t>شهریور</t>
        </is>
      </c>
      <c r="D17" s="9" t="n">
        <v>100000</v>
      </c>
      <c r="E17" s="8" t="inlineStr">
        <is>
          <t>تومان</t>
        </is>
      </c>
      <c r="F17" s="9" t="n">
        <v>100000</v>
      </c>
      <c r="G17" s="8" t="inlineStr">
        <is>
          <t>محمدامین عزیزی</t>
        </is>
      </c>
      <c r="H17" s="8" t="inlineStr">
        <is>
          <t>چاپ پوستر و بارکد برای رویداد معرفی رشته</t>
        </is>
      </c>
      <c r="I17" s="8" t="inlineStr">
        <is>
          <t>هزینه / عملیاتی</t>
        </is>
      </c>
      <c r="J17" s="8" t="inlineStr">
        <is>
          <t>تاییدشده</t>
        </is>
      </c>
      <c r="K17" s="8" t="inlineStr">
        <is>
          <t>دفتر قبلی</t>
        </is>
      </c>
      <c r="L17" s="8" t="inlineStr">
        <is>
          <t>LEDGER-MAJMOO-015</t>
        </is>
      </c>
      <c r="M17" s="8" t="inlineStr">
        <is>
          <t>مبلغ از دفتر قبلی خوانده شد؛ نیازمند تطبیق نهایی با شواهد پرداخت.</t>
        </is>
      </c>
    </row>
    <row r="18">
      <c r="A18" s="8" t="inlineStr">
        <is>
          <t>TX-00015</t>
        </is>
      </c>
      <c r="B18" s="8" t="inlineStr">
        <is>
          <t>هزینه</t>
        </is>
      </c>
      <c r="C18" s="8" t="inlineStr">
        <is>
          <t>شهریور</t>
        </is>
      </c>
      <c r="D18" s="9" t="n">
        <v>2866000</v>
      </c>
      <c r="E18" s="8" t="inlineStr">
        <is>
          <t>تومان</t>
        </is>
      </c>
      <c r="F18" s="9" t="n">
        <v>2866000</v>
      </c>
      <c r="G18" s="8" t="inlineStr">
        <is>
          <t>محمدامین عزیزی</t>
        </is>
      </c>
      <c r="H18" s="8" t="inlineStr">
        <is>
          <t>تدارکات رویداد معرفی رشته</t>
        </is>
      </c>
      <c r="I18" s="8" t="inlineStr">
        <is>
          <t>هزینه / عملیاتی</t>
        </is>
      </c>
      <c r="J18" s="8" t="inlineStr">
        <is>
          <t>تاییدشده</t>
        </is>
      </c>
      <c r="K18" s="8" t="inlineStr">
        <is>
          <t>دفتر قبلی</t>
        </is>
      </c>
      <c r="L18" s="8" t="inlineStr">
        <is>
          <t>LEDGER-MAJMOO-016</t>
        </is>
      </c>
      <c r="M18" s="8" t="inlineStr">
        <is>
          <t>مبلغ از دفتر قبلی خوانده شد؛ نیازمند تطبیق نهایی با شواهد پرداخت.</t>
        </is>
      </c>
    </row>
    <row r="19">
      <c r="A19" s="8" t="inlineStr">
        <is>
          <t>TX-00016</t>
        </is>
      </c>
      <c r="B19" s="8" t="inlineStr">
        <is>
          <t>هزینه</t>
        </is>
      </c>
      <c r="C19" s="8" t="inlineStr">
        <is>
          <t>شهریور</t>
        </is>
      </c>
      <c r="D19" s="9" t="n">
        <v>189000</v>
      </c>
      <c r="E19" s="8" t="inlineStr">
        <is>
          <t>تومان</t>
        </is>
      </c>
      <c r="F19" s="9" t="n">
        <v>189000</v>
      </c>
      <c r="G19" s="8" t="inlineStr">
        <is>
          <t>ابراهیم خسروانی</t>
        </is>
      </c>
      <c r="H19" s="8" t="inlineStr">
        <is>
          <t>حق الزحمه خرید تدارکات رویداد معرفی رشته</t>
        </is>
      </c>
      <c r="I19" s="8" t="inlineStr">
        <is>
          <t>هزینه / عملیاتی</t>
        </is>
      </c>
      <c r="J19" s="8" t="inlineStr">
        <is>
          <t>تاییدشده</t>
        </is>
      </c>
      <c r="K19" s="8" t="inlineStr">
        <is>
          <t>دفتر قبلی</t>
        </is>
      </c>
      <c r="L19" s="8" t="inlineStr">
        <is>
          <t>LEDGER-MAJMOO-017</t>
        </is>
      </c>
      <c r="M19" s="8" t="inlineStr">
        <is>
          <t>مبلغ از دفتر قبلی خوانده شد؛ نیازمند تطبیق نهایی با شواهد پرداخت.</t>
        </is>
      </c>
    </row>
    <row r="20">
      <c r="A20" s="8" t="inlineStr">
        <is>
          <t>TX-00017</t>
        </is>
      </c>
      <c r="B20" s="8" t="inlineStr">
        <is>
          <t>درآمد</t>
        </is>
      </c>
      <c r="C20" s="8" t="inlineStr">
        <is>
          <t>مهر</t>
        </is>
      </c>
      <c r="D20" s="9" t="n">
        <v>500000</v>
      </c>
      <c r="E20" s="8" t="inlineStr">
        <is>
          <t>تومان</t>
        </is>
      </c>
      <c r="F20" s="9" t="n">
        <v>500000</v>
      </c>
      <c r="G20" s="8" t="n"/>
      <c r="H20" s="8" t="inlineStr">
        <is>
          <t>واریزی دکتر مقیمی برای شیرینی نشست عمومی اساتید</t>
        </is>
      </c>
      <c r="I20" s="8" t="inlineStr">
        <is>
          <t>درآمد / کمک / رویداد</t>
        </is>
      </c>
      <c r="J20" s="8" t="inlineStr">
        <is>
          <t>تاییدشده</t>
        </is>
      </c>
      <c r="K20" s="8" t="inlineStr">
        <is>
          <t>دفتر قبلی</t>
        </is>
      </c>
      <c r="L20" s="8" t="inlineStr">
        <is>
          <t>LEDGER-MAJMOO-019</t>
        </is>
      </c>
      <c r="M20" s="8" t="inlineStr">
        <is>
          <t>مبلغ از دفتر قبلی خوانده شد؛ نیازمند تطبیق نهایی با شواهد بانکی/رسید.</t>
        </is>
      </c>
    </row>
    <row r="21">
      <c r="A21" s="8" t="inlineStr">
        <is>
          <t>TX-00018</t>
        </is>
      </c>
      <c r="B21" s="8" t="inlineStr">
        <is>
          <t>هزینه</t>
        </is>
      </c>
      <c r="C21" s="8" t="inlineStr">
        <is>
          <t>مهر</t>
        </is>
      </c>
      <c r="D21" s="9" t="n">
        <v>90000</v>
      </c>
      <c r="E21" s="8" t="inlineStr">
        <is>
          <t>تومان</t>
        </is>
      </c>
      <c r="F21" s="9" t="n">
        <v>90000</v>
      </c>
      <c r="G21" s="8" t="n"/>
      <c r="H21" s="8" t="inlineStr">
        <is>
          <t>پوستر نشست عمومی با اساتید و حلقه های کوانتا(هفته 19مهر)</t>
        </is>
      </c>
      <c r="I21" s="8" t="inlineStr">
        <is>
          <t>هزینه / عملیاتی</t>
        </is>
      </c>
      <c r="J21" s="8" t="inlineStr">
        <is>
          <t>تاییدشده</t>
        </is>
      </c>
      <c r="K21" s="8" t="inlineStr">
        <is>
          <t>دفتر قبلی</t>
        </is>
      </c>
      <c r="L21" s="8" t="inlineStr">
        <is>
          <t>LEDGER-MAJMOO-019</t>
        </is>
      </c>
      <c r="M21" s="8" t="inlineStr">
        <is>
          <t>مبلغ از دفتر قبلی خوانده شد؛ نیازمند تطبیق نهایی با شواهد پرداخت.</t>
        </is>
      </c>
    </row>
    <row r="22">
      <c r="A22" s="8" t="inlineStr">
        <is>
          <t>TX-00019</t>
        </is>
      </c>
      <c r="B22" s="8" t="inlineStr">
        <is>
          <t>هزینه</t>
        </is>
      </c>
      <c r="C22" s="8" t="inlineStr">
        <is>
          <t>مهر</t>
        </is>
      </c>
      <c r="D22" s="9" t="n">
        <v>1052375</v>
      </c>
      <c r="E22" s="8" t="inlineStr">
        <is>
          <t>تومان</t>
        </is>
      </c>
      <c r="F22" s="9" t="n">
        <v>1052375</v>
      </c>
      <c r="G22" s="8" t="n"/>
      <c r="H22" s="8" t="inlineStr">
        <is>
          <t>شیرینی نشست عمومی با اساتید</t>
        </is>
      </c>
      <c r="I22" s="8" t="inlineStr">
        <is>
          <t>هزینه / عملیاتی</t>
        </is>
      </c>
      <c r="J22" s="8" t="inlineStr">
        <is>
          <t>تاییدشده</t>
        </is>
      </c>
      <c r="K22" s="8" t="inlineStr">
        <is>
          <t>دفتر قبلی</t>
        </is>
      </c>
      <c r="L22" s="8" t="inlineStr">
        <is>
          <t>LEDGER-MAJMOO-020</t>
        </is>
      </c>
      <c r="M22" s="8" t="inlineStr">
        <is>
          <t>مبلغ از دفتر قبلی خوانده شد؛ نیازمند تطبیق نهایی با شواهد پرداخت.</t>
        </is>
      </c>
    </row>
    <row r="23">
      <c r="A23" s="8" t="inlineStr">
        <is>
          <t>TX-00020</t>
        </is>
      </c>
      <c r="B23" s="8" t="inlineStr">
        <is>
          <t>هزینه</t>
        </is>
      </c>
      <c r="C23" s="8" t="inlineStr">
        <is>
          <t>مهر</t>
        </is>
      </c>
      <c r="D23" s="9" t="n">
        <v>790000</v>
      </c>
      <c r="E23" s="8" t="inlineStr">
        <is>
          <t>تومان</t>
        </is>
      </c>
      <c r="F23" s="9" t="n">
        <v>790000</v>
      </c>
      <c r="G23" s="8" t="n"/>
      <c r="H23" s="8" t="inlineStr">
        <is>
          <t>2*50 لیوان + 3*40 بیسکوییت+100چای برای انجمن چای</t>
        </is>
      </c>
      <c r="I23" s="8" t="inlineStr">
        <is>
          <t>هزینه / عملیاتی</t>
        </is>
      </c>
      <c r="J23" s="8" t="inlineStr">
        <is>
          <t>تاییدشده</t>
        </is>
      </c>
      <c r="K23" s="8" t="inlineStr">
        <is>
          <t>دفتر قبلی</t>
        </is>
      </c>
      <c r="L23" s="8" t="inlineStr">
        <is>
          <t>LEDGER-MAJMOO-021</t>
        </is>
      </c>
      <c r="M23" s="8" t="inlineStr">
        <is>
          <t>مبلغ از دفتر قبلی خوانده شد؛ نیازمند تطبیق نهایی با شواهد پرداخت.</t>
        </is>
      </c>
    </row>
    <row r="24">
      <c r="A24" s="8" t="inlineStr">
        <is>
          <t>TX-00021</t>
        </is>
      </c>
      <c r="B24" s="8" t="inlineStr">
        <is>
          <t>هزینه</t>
        </is>
      </c>
      <c r="C24" s="8" t="inlineStr">
        <is>
          <t>مهر</t>
        </is>
      </c>
      <c r="D24" s="9" t="n">
        <v>912850</v>
      </c>
      <c r="E24" s="8" t="inlineStr">
        <is>
          <t>تومان</t>
        </is>
      </c>
      <c r="F24" s="9" t="n">
        <v>912850</v>
      </c>
      <c r="G24" s="8" t="n"/>
      <c r="H24" s="8" t="inlineStr">
        <is>
          <t>شیریننی نشست انجمن چای</t>
        </is>
      </c>
      <c r="I24" s="8" t="inlineStr">
        <is>
          <t>هزینه / عملیاتی</t>
        </is>
      </c>
      <c r="J24" s="8" t="inlineStr">
        <is>
          <t>تاییدشده</t>
        </is>
      </c>
      <c r="K24" s="8" t="inlineStr">
        <is>
          <t>دفتر قبلی</t>
        </is>
      </c>
      <c r="L24" s="8" t="inlineStr">
        <is>
          <t>LEDGER-MAJMOO-022</t>
        </is>
      </c>
      <c r="M24" s="8" t="inlineStr">
        <is>
          <t>مبلغ از دفتر قبلی خوانده شد؛ نیازمند تطبیق نهایی با شواهد پرداخت.</t>
        </is>
      </c>
    </row>
    <row r="25">
      <c r="A25" s="8" t="inlineStr">
        <is>
          <t>TX-00022</t>
        </is>
      </c>
      <c r="B25" s="8" t="inlineStr">
        <is>
          <t>هزینه</t>
        </is>
      </c>
      <c r="C25" s="8" t="inlineStr">
        <is>
          <t>مهر</t>
        </is>
      </c>
      <c r="D25" s="9" t="n">
        <v>1052375</v>
      </c>
      <c r="E25" s="8" t="inlineStr">
        <is>
          <t>تومان</t>
        </is>
      </c>
      <c r="F25" s="9" t="n">
        <v>1052375</v>
      </c>
      <c r="G25" s="8" t="n"/>
      <c r="H25" s="8" t="inlineStr">
        <is>
          <t>شیرینی دیدار با اساتید</t>
        </is>
      </c>
      <c r="I25" s="8" t="inlineStr">
        <is>
          <t>هزینه / عملیاتی</t>
        </is>
      </c>
      <c r="J25" s="8" t="inlineStr">
        <is>
          <t>تاییدشده</t>
        </is>
      </c>
      <c r="K25" s="8" t="inlineStr">
        <is>
          <t>دفتر قبلی</t>
        </is>
      </c>
      <c r="L25" s="8" t="inlineStr">
        <is>
          <t>LEDGER-MAJMOO-023</t>
        </is>
      </c>
      <c r="M25" s="8" t="inlineStr">
        <is>
          <t>مبلغ از دفتر قبلی خوانده شد؛ نیازمند تطبیق نهایی با شواهد پرداخت.</t>
        </is>
      </c>
    </row>
    <row r="26">
      <c r="A26" s="8" t="inlineStr">
        <is>
          <t>TX-00023</t>
        </is>
      </c>
      <c r="B26" s="8" t="inlineStr">
        <is>
          <t>درآمد</t>
        </is>
      </c>
      <c r="C26" s="8" t="inlineStr">
        <is>
          <t>آبان</t>
        </is>
      </c>
      <c r="D26" s="9" t="n">
        <v>11000000</v>
      </c>
      <c r="E26" s="8" t="inlineStr">
        <is>
          <t>تومان</t>
        </is>
      </c>
      <c r="F26" s="9" t="n">
        <v>11000000</v>
      </c>
      <c r="G26" s="8" t="inlineStr">
        <is>
          <t>نیما کوهی</t>
        </is>
      </c>
      <c r="H26" s="8" t="inlineStr">
        <is>
          <t>دریافتی از انجمن سابق</t>
        </is>
      </c>
      <c r="I26" s="8" t="inlineStr">
        <is>
          <t>درآمد / کمک / رویداد</t>
        </is>
      </c>
      <c r="J26" s="8" t="inlineStr">
        <is>
          <t>تاییدشده</t>
        </is>
      </c>
      <c r="K26" s="8" t="inlineStr">
        <is>
          <t>دفتر قبلی</t>
        </is>
      </c>
      <c r="L26" s="8" t="inlineStr">
        <is>
          <t>LEDGER-MAJMOO-025</t>
        </is>
      </c>
      <c r="M26" s="8" t="inlineStr">
        <is>
          <t>مبلغ از دفتر قبلی خوانده شد؛ نیازمند تطبیق نهایی با شواهد بانکی/رسید.</t>
        </is>
      </c>
    </row>
    <row r="27">
      <c r="A27" s="8" t="inlineStr">
        <is>
          <t>TX-00024</t>
        </is>
      </c>
      <c r="B27" s="8" t="inlineStr">
        <is>
          <t>هزینه</t>
        </is>
      </c>
      <c r="C27" s="8" t="inlineStr">
        <is>
          <t>آبان</t>
        </is>
      </c>
      <c r="D27" s="9" t="n">
        <v>725000</v>
      </c>
      <c r="E27" s="8" t="inlineStr">
        <is>
          <t>تومان</t>
        </is>
      </c>
      <c r="F27" s="9" t="n">
        <v>725000</v>
      </c>
      <c r="G27" s="8" t="inlineStr">
        <is>
          <t>نیما کوهی</t>
        </is>
      </c>
      <c r="H27" s="8" t="inlineStr">
        <is>
          <t>باتری دوربین فیلمبرداری</t>
        </is>
      </c>
      <c r="I27" s="8" t="inlineStr">
        <is>
          <t>هزینه / عملیاتی</t>
        </is>
      </c>
      <c r="J27" s="8" t="inlineStr">
        <is>
          <t>تاییدشده</t>
        </is>
      </c>
      <c r="K27" s="8" t="inlineStr">
        <is>
          <t>دفتر قبلی</t>
        </is>
      </c>
      <c r="L27" s="8" t="inlineStr">
        <is>
          <t>LEDGER-MAJMOO-025</t>
        </is>
      </c>
      <c r="M27" s="8" t="inlineStr">
        <is>
          <t>مبلغ از دفتر قبلی خوانده شد؛ نیازمند تطبیق نهایی با شواهد پرداخت.</t>
        </is>
      </c>
    </row>
    <row r="28">
      <c r="A28" s="8" t="inlineStr">
        <is>
          <t>TX-00025</t>
        </is>
      </c>
      <c r="B28" s="8" t="inlineStr">
        <is>
          <t>هزینه</t>
        </is>
      </c>
      <c r="C28" s="8" t="inlineStr">
        <is>
          <t>آبان</t>
        </is>
      </c>
      <c r="D28" s="9" t="n">
        <v>120000</v>
      </c>
      <c r="E28" s="8" t="inlineStr">
        <is>
          <t>تومان</t>
        </is>
      </c>
      <c r="F28" s="9" t="n">
        <v>120000</v>
      </c>
      <c r="G28" s="8" t="inlineStr">
        <is>
          <t>اردوان شهبازی</t>
        </is>
      </c>
      <c r="H28" s="8" t="inlineStr">
        <is>
          <t>خرید چسب بادکنک برای جشن ورودی</t>
        </is>
      </c>
      <c r="I28" s="8" t="inlineStr">
        <is>
          <t>هزینه / عملیاتی</t>
        </is>
      </c>
      <c r="J28" s="8" t="inlineStr">
        <is>
          <t>تاییدشده</t>
        </is>
      </c>
      <c r="K28" s="8" t="inlineStr">
        <is>
          <t>دفتر قبلی</t>
        </is>
      </c>
      <c r="L28" s="8" t="inlineStr">
        <is>
          <t>LEDGER-MAJMOO-026</t>
        </is>
      </c>
      <c r="M28" s="8" t="inlineStr">
        <is>
          <t>مبلغ از دفتر قبلی خوانده شد؛ نیازمند تطبیق نهایی با شواهد پرداخت.</t>
        </is>
      </c>
    </row>
    <row r="29">
      <c r="A29" s="8" t="inlineStr">
        <is>
          <t>TX-00026</t>
        </is>
      </c>
      <c r="B29" s="8" t="inlineStr">
        <is>
          <t>هزینه</t>
        </is>
      </c>
      <c r="C29" s="8" t="inlineStr">
        <is>
          <t>آبان</t>
        </is>
      </c>
      <c r="D29" s="9" t="n">
        <v>1310000</v>
      </c>
      <c r="E29" s="8" t="inlineStr">
        <is>
          <t>تومان</t>
        </is>
      </c>
      <c r="F29" s="9" t="n">
        <v>1310000</v>
      </c>
      <c r="G29" s="8" t="inlineStr">
        <is>
          <t>راحله مختاری</t>
        </is>
      </c>
      <c r="H29" s="8" t="inlineStr">
        <is>
          <t>تزئینات جشن ورودی</t>
        </is>
      </c>
      <c r="I29" s="8" t="inlineStr">
        <is>
          <t>هزینه / عملیاتی</t>
        </is>
      </c>
      <c r="J29" s="8" t="inlineStr">
        <is>
          <t>تاییدشده</t>
        </is>
      </c>
      <c r="K29" s="8" t="inlineStr">
        <is>
          <t>دفتر قبلی</t>
        </is>
      </c>
      <c r="L29" s="8" t="inlineStr">
        <is>
          <t>LEDGER-MAJMOO-027</t>
        </is>
      </c>
      <c r="M29" s="8" t="inlineStr">
        <is>
          <t>مبلغ از دفتر قبلی خوانده شد؛ نیازمند تطبیق نهایی با شواهد پرداخت.</t>
        </is>
      </c>
    </row>
    <row r="30">
      <c r="A30" s="8" t="inlineStr">
        <is>
          <t>TX-00027</t>
        </is>
      </c>
      <c r="B30" s="8" t="inlineStr">
        <is>
          <t>هزینه</t>
        </is>
      </c>
      <c r="C30" s="8" t="inlineStr">
        <is>
          <t>آبان</t>
        </is>
      </c>
      <c r="D30" s="9" t="n">
        <v>4344000</v>
      </c>
      <c r="E30" s="8" t="inlineStr">
        <is>
          <t>تومان</t>
        </is>
      </c>
      <c r="F30" s="9" t="n">
        <v>4344000</v>
      </c>
      <c r="G30" s="8" t="n"/>
      <c r="H30" s="8" t="inlineStr">
        <is>
          <t>جایزه های جشن ورودی</t>
        </is>
      </c>
      <c r="I30" s="8" t="inlineStr">
        <is>
          <t>هزینه / عملیاتی</t>
        </is>
      </c>
      <c r="J30" s="8" t="inlineStr">
        <is>
          <t>تاییدشده</t>
        </is>
      </c>
      <c r="K30" s="8" t="inlineStr">
        <is>
          <t>دفتر قبلی</t>
        </is>
      </c>
      <c r="L30" s="8" t="inlineStr">
        <is>
          <t>LEDGER-MAJMOO-028</t>
        </is>
      </c>
      <c r="M30" s="8" t="inlineStr">
        <is>
          <t>مبلغ از دفتر قبلی خوانده شد؛ نیازمند تطبیق نهایی با شواهد پرداخت.</t>
        </is>
      </c>
    </row>
    <row r="31">
      <c r="A31" s="8" t="inlineStr">
        <is>
          <t>TX-00028</t>
        </is>
      </c>
      <c r="B31" s="8" t="inlineStr">
        <is>
          <t>هزینه</t>
        </is>
      </c>
      <c r="C31" s="8" t="inlineStr">
        <is>
          <t>آبان</t>
        </is>
      </c>
      <c r="D31" s="9" t="n">
        <v>300000</v>
      </c>
      <c r="E31" s="8" t="inlineStr">
        <is>
          <t>تومان</t>
        </is>
      </c>
      <c r="F31" s="9" t="n">
        <v>300000</v>
      </c>
      <c r="G31" s="8" t="n"/>
      <c r="H31" s="8" t="inlineStr">
        <is>
          <t>شاباش نقدی برای جشن ورودی</t>
        </is>
      </c>
      <c r="I31" s="8" t="inlineStr">
        <is>
          <t>هزینه / عملیاتی</t>
        </is>
      </c>
      <c r="J31" s="8" t="inlineStr">
        <is>
          <t>تاییدشده</t>
        </is>
      </c>
      <c r="K31" s="8" t="inlineStr">
        <is>
          <t>دفتر قبلی</t>
        </is>
      </c>
      <c r="L31" s="8" t="inlineStr">
        <is>
          <t>LEDGER-MAJMOO-029</t>
        </is>
      </c>
      <c r="M31" s="8" t="inlineStr">
        <is>
          <t>مبلغ از دفتر قبلی خوانده شد؛ نیازمند تطبیق نهایی با شواهد پرداخت.</t>
        </is>
      </c>
    </row>
    <row r="32">
      <c r="A32" s="8" t="inlineStr">
        <is>
          <t>TX-00029</t>
        </is>
      </c>
      <c r="B32" s="8" t="inlineStr">
        <is>
          <t>هزینه</t>
        </is>
      </c>
      <c r="C32" s="8" t="inlineStr">
        <is>
          <t>آبان</t>
        </is>
      </c>
      <c r="D32" s="9" t="n">
        <v>70000</v>
      </c>
      <c r="E32" s="8" t="inlineStr">
        <is>
          <t>تومان</t>
        </is>
      </c>
      <c r="F32" s="9" t="n">
        <v>70000</v>
      </c>
      <c r="G32" s="8" t="n"/>
      <c r="H32" s="8" t="inlineStr">
        <is>
          <t>دستمال برای اتاق انجمن</t>
        </is>
      </c>
      <c r="I32" s="8" t="inlineStr">
        <is>
          <t>هزینه / عملیاتی</t>
        </is>
      </c>
      <c r="J32" s="8" t="inlineStr">
        <is>
          <t>تاییدشده</t>
        </is>
      </c>
      <c r="K32" s="8" t="inlineStr">
        <is>
          <t>دفتر قبلی</t>
        </is>
      </c>
      <c r="L32" s="8" t="inlineStr">
        <is>
          <t>LEDGER-MAJMOO-030</t>
        </is>
      </c>
      <c r="M32" s="8" t="inlineStr">
        <is>
          <t>مبلغ از دفتر قبلی خوانده شد؛ نیازمند تطبیق نهایی با شواهد پرداخت.</t>
        </is>
      </c>
    </row>
    <row r="33">
      <c r="A33" s="8" t="inlineStr">
        <is>
          <t>TX-00030</t>
        </is>
      </c>
      <c r="B33" s="8" t="inlineStr">
        <is>
          <t>هزینه</t>
        </is>
      </c>
      <c r="C33" s="8" t="inlineStr">
        <is>
          <t>آبان</t>
        </is>
      </c>
      <c r="D33" s="9" t="n">
        <v>310000</v>
      </c>
      <c r="E33" s="8" t="inlineStr">
        <is>
          <t>تومان</t>
        </is>
      </c>
      <c r="F33" s="9" t="n">
        <v>310000</v>
      </c>
      <c r="G33" s="8" t="n"/>
      <c r="H33" s="8" t="inlineStr">
        <is>
          <t>خرید اتصالات پروژکتور انجمن</t>
        </is>
      </c>
      <c r="I33" s="8" t="inlineStr">
        <is>
          <t>هزینه / عملیاتی</t>
        </is>
      </c>
      <c r="J33" s="8" t="inlineStr">
        <is>
          <t>تاییدشده</t>
        </is>
      </c>
      <c r="K33" s="8" t="inlineStr">
        <is>
          <t>دفتر قبلی</t>
        </is>
      </c>
      <c r="L33" s="8" t="inlineStr">
        <is>
          <t>LEDGER-MAJMOO-031</t>
        </is>
      </c>
      <c r="M33" s="8" t="inlineStr">
        <is>
          <t>مبلغ از دفتر قبلی خوانده شد؛ نیازمند تطبیق نهایی با شواهد پرداخت.</t>
        </is>
      </c>
    </row>
    <row r="34">
      <c r="A34" s="8" t="inlineStr">
        <is>
          <t>TX-00031</t>
        </is>
      </c>
      <c r="B34" s="8" t="inlineStr">
        <is>
          <t>هزینه</t>
        </is>
      </c>
      <c r="C34" s="8" t="inlineStr">
        <is>
          <t>آبان</t>
        </is>
      </c>
      <c r="D34" s="9" t="n">
        <v>1760000</v>
      </c>
      <c r="E34" s="8" t="inlineStr">
        <is>
          <t>تومان</t>
        </is>
      </c>
      <c r="F34" s="9" t="n">
        <v>1760000</v>
      </c>
      <c r="G34" s="8" t="n"/>
      <c r="H34" s="8" t="inlineStr">
        <is>
          <t>خرید حفاظ برق و ابزار برای اتصال پروژکتور در غرفه ها</t>
        </is>
      </c>
      <c r="I34" s="8" t="inlineStr">
        <is>
          <t>هزینه / عملیاتی</t>
        </is>
      </c>
      <c r="J34" s="8" t="inlineStr">
        <is>
          <t>تاییدشده</t>
        </is>
      </c>
      <c r="K34" s="8" t="inlineStr">
        <is>
          <t>دفتر قبلی</t>
        </is>
      </c>
      <c r="L34" s="8" t="inlineStr">
        <is>
          <t>LEDGER-MAJMOO-032</t>
        </is>
      </c>
      <c r="M34" s="8" t="inlineStr">
        <is>
          <t>مبلغ از دفتر قبلی خوانده شد؛ نیازمند تطبیق نهایی با شواهد پرداخت.</t>
        </is>
      </c>
    </row>
    <row r="35">
      <c r="A35" s="8" t="inlineStr">
        <is>
          <t>TX-00032</t>
        </is>
      </c>
      <c r="B35" s="8" t="inlineStr">
        <is>
          <t>هزینه</t>
        </is>
      </c>
      <c r="C35" s="8" t="inlineStr">
        <is>
          <t>آبان</t>
        </is>
      </c>
      <c r="D35" s="9" t="n">
        <v>230000</v>
      </c>
      <c r="E35" s="8" t="inlineStr">
        <is>
          <t>تومان</t>
        </is>
      </c>
      <c r="F35" s="9" t="n">
        <v>230000</v>
      </c>
      <c r="G35" s="8" t="n"/>
      <c r="H35" s="8" t="inlineStr">
        <is>
          <t>پذیرایی غرفه انجمن</t>
        </is>
      </c>
      <c r="I35" s="8" t="inlineStr">
        <is>
          <t>هزینه / عملیاتی</t>
        </is>
      </c>
      <c r="J35" s="8" t="inlineStr">
        <is>
          <t>تاییدشده</t>
        </is>
      </c>
      <c r="K35" s="8" t="inlineStr">
        <is>
          <t>دفتر قبلی</t>
        </is>
      </c>
      <c r="L35" s="8" t="inlineStr">
        <is>
          <t>LEDGER-MAJMOO-033</t>
        </is>
      </c>
      <c r="M35" s="8" t="inlineStr">
        <is>
          <t>مبلغ از دفتر قبلی خوانده شد؛ نیازمند تطبیق نهایی با شواهد پرداخت.</t>
        </is>
      </c>
    </row>
    <row r="36">
      <c r="A36" s="8" t="inlineStr">
        <is>
          <t>TX-00033</t>
        </is>
      </c>
      <c r="B36" s="8" t="inlineStr">
        <is>
          <t>هزینه</t>
        </is>
      </c>
      <c r="C36" s="8" t="inlineStr">
        <is>
          <t>آبان</t>
        </is>
      </c>
      <c r="D36" s="9" t="n">
        <v>1226100</v>
      </c>
      <c r="E36" s="8" t="inlineStr">
        <is>
          <t>تومان</t>
        </is>
      </c>
      <c r="F36" s="9" t="n">
        <v>1226100</v>
      </c>
      <c r="G36" s="8" t="n"/>
      <c r="H36" s="8" t="inlineStr">
        <is>
          <t>خرید دارو برای کمک های اولیه در انجمن</t>
        </is>
      </c>
      <c r="I36" s="8" t="inlineStr">
        <is>
          <t>هزینه / عملیاتی</t>
        </is>
      </c>
      <c r="J36" s="8" t="inlineStr">
        <is>
          <t>تاییدشده</t>
        </is>
      </c>
      <c r="K36" s="8" t="inlineStr">
        <is>
          <t>دفتر قبلی</t>
        </is>
      </c>
      <c r="L36" s="8" t="inlineStr">
        <is>
          <t>LEDGER-MAJMOO-034</t>
        </is>
      </c>
      <c r="M36" s="8" t="inlineStr">
        <is>
          <t>مبلغ از دفتر قبلی خوانده شد؛ نیازمند تطبیق نهایی با شواهد پرداخت.</t>
        </is>
      </c>
    </row>
    <row r="37">
      <c r="A37" s="8" t="inlineStr">
        <is>
          <t>TX-00034</t>
        </is>
      </c>
      <c r="B37" s="8" t="inlineStr">
        <is>
          <t>هزینه</t>
        </is>
      </c>
      <c r="C37" s="8" t="inlineStr">
        <is>
          <t>آبان</t>
        </is>
      </c>
      <c r="D37" s="9" t="n">
        <v>2300</v>
      </c>
      <c r="E37" s="8" t="inlineStr">
        <is>
          <t>تومان</t>
        </is>
      </c>
      <c r="F37" s="9" t="n">
        <v>2300</v>
      </c>
      <c r="G37" s="8" t="n"/>
      <c r="H37" s="8" t="inlineStr">
        <is>
          <t>چاپ قوانین اتاق انجمن</t>
        </is>
      </c>
      <c r="I37" s="8" t="inlineStr">
        <is>
          <t>هزینه / عملیاتی</t>
        </is>
      </c>
      <c r="J37" s="8" t="inlineStr">
        <is>
          <t>تاییدشده</t>
        </is>
      </c>
      <c r="K37" s="8" t="inlineStr">
        <is>
          <t>دفتر قبلی</t>
        </is>
      </c>
      <c r="L37" s="8" t="inlineStr">
        <is>
          <t>LEDGER-MAJMOO-035</t>
        </is>
      </c>
      <c r="M37" s="8" t="inlineStr">
        <is>
          <t>مبلغ از دفتر قبلی خوانده شد؛ نیازمند تطبیق نهایی با شواهد پرداخت.</t>
        </is>
      </c>
    </row>
    <row r="38">
      <c r="A38" s="8" t="inlineStr">
        <is>
          <t>TX-00035</t>
        </is>
      </c>
      <c r="B38" s="8" t="inlineStr">
        <is>
          <t>هزینه</t>
        </is>
      </c>
      <c r="C38" s="8" t="inlineStr">
        <is>
          <t>آبان</t>
        </is>
      </c>
      <c r="D38" s="9" t="n">
        <v>1300</v>
      </c>
      <c r="E38" s="8" t="inlineStr">
        <is>
          <t>تومان</t>
        </is>
      </c>
      <c r="F38" s="9" t="n">
        <v>1300</v>
      </c>
      <c r="G38" s="8" t="n"/>
      <c r="H38" s="8" t="inlineStr">
        <is>
          <t>چاپ قوانین اتاق انجمن</t>
        </is>
      </c>
      <c r="I38" s="8" t="inlineStr">
        <is>
          <t>هزینه / عملیاتی</t>
        </is>
      </c>
      <c r="J38" s="8" t="inlineStr">
        <is>
          <t>تاییدشده</t>
        </is>
      </c>
      <c r="K38" s="8" t="inlineStr">
        <is>
          <t>دفتر قبلی</t>
        </is>
      </c>
      <c r="L38" s="8" t="inlineStr">
        <is>
          <t>LEDGER-MAJMOO-036</t>
        </is>
      </c>
      <c r="M38" s="8" t="inlineStr">
        <is>
          <t>مبلغ از دفتر قبلی خوانده شد؛ نیازمند تطبیق نهایی با شواهد پرداخت.</t>
        </is>
      </c>
    </row>
    <row r="39">
      <c r="A39" s="8" t="inlineStr">
        <is>
          <t>TX-00036</t>
        </is>
      </c>
      <c r="B39" s="8" t="inlineStr">
        <is>
          <t>درآمد</t>
        </is>
      </c>
      <c r="C39" s="8" t="inlineStr">
        <is>
          <t>آذر</t>
        </is>
      </c>
      <c r="D39" s="9" t="n">
        <v>10000000</v>
      </c>
      <c r="E39" s="8" t="inlineStr">
        <is>
          <t>تومان</t>
        </is>
      </c>
      <c r="F39" s="9" t="n">
        <v>10000000</v>
      </c>
      <c r="G39" s="8" t="n"/>
      <c r="H39" s="8" t="inlineStr">
        <is>
          <t>واریزی دکتر مقیمی جهت کمک به انجمن</t>
        </is>
      </c>
      <c r="I39" s="8" t="inlineStr">
        <is>
          <t>درآمد / کمک / رویداد</t>
        </is>
      </c>
      <c r="J39" s="8" t="inlineStr">
        <is>
          <t>تاییدشده</t>
        </is>
      </c>
      <c r="K39" s="8" t="inlineStr">
        <is>
          <t>دفتر قبلی</t>
        </is>
      </c>
      <c r="L39" s="8" t="inlineStr">
        <is>
          <t>LEDGER-MAJMOO-038</t>
        </is>
      </c>
      <c r="M39" s="8" t="inlineStr">
        <is>
          <t>مبلغ از دفتر قبلی خوانده شد؛ نیازمند تطبیق نهایی با شواهد بانکی/رسید.</t>
        </is>
      </c>
    </row>
    <row r="40">
      <c r="A40" s="8" t="inlineStr">
        <is>
          <t>TX-00037</t>
        </is>
      </c>
      <c r="B40" s="8" t="inlineStr">
        <is>
          <t>درآمد</t>
        </is>
      </c>
      <c r="C40" s="8" t="inlineStr">
        <is>
          <t>آذر</t>
        </is>
      </c>
      <c r="D40" s="9" t="n">
        <v>7000000</v>
      </c>
      <c r="E40" s="8" t="inlineStr">
        <is>
          <t>تومان</t>
        </is>
      </c>
      <c r="F40" s="9" t="n">
        <v>7000000</v>
      </c>
      <c r="G40" s="8" t="n"/>
      <c r="H40" s="8" t="inlineStr">
        <is>
          <t>واریزی دکتر مقیمی جهت کمک به انجمن</t>
        </is>
      </c>
      <c r="I40" s="8" t="inlineStr">
        <is>
          <t>درآمد / کمک / رویداد</t>
        </is>
      </c>
      <c r="J40" s="8" t="inlineStr">
        <is>
          <t>تاییدشده</t>
        </is>
      </c>
      <c r="K40" s="8" t="inlineStr">
        <is>
          <t>دفتر قبلی</t>
        </is>
      </c>
      <c r="L40" s="8" t="inlineStr">
        <is>
          <t>LEDGER-MAJMOO-039</t>
        </is>
      </c>
      <c r="M40" s="8" t="inlineStr">
        <is>
          <t>مبلغ از دفتر قبلی خوانده شد؛ نیازمند تطبیق نهایی با شواهد بانکی/رسید.</t>
        </is>
      </c>
    </row>
    <row r="41">
      <c r="A41" s="8" t="inlineStr">
        <is>
          <t>TX-00038</t>
        </is>
      </c>
      <c r="B41" s="8" t="inlineStr">
        <is>
          <t>درآمد</t>
        </is>
      </c>
      <c r="C41" s="8" t="inlineStr">
        <is>
          <t>آذر</t>
        </is>
      </c>
      <c r="D41" s="9" t="n">
        <v>6000000</v>
      </c>
      <c r="E41" s="8" t="inlineStr">
        <is>
          <t>تومان</t>
        </is>
      </c>
      <c r="F41" s="9" t="n">
        <v>6000000</v>
      </c>
      <c r="G41" s="8" t="n"/>
      <c r="H41" s="8" t="inlineStr">
        <is>
          <t>واریزی دکتر مقیمی جهت کمک به انجمن</t>
        </is>
      </c>
      <c r="I41" s="8" t="inlineStr">
        <is>
          <t>درآمد / کمک / رویداد</t>
        </is>
      </c>
      <c r="J41" s="8" t="inlineStr">
        <is>
          <t>تاییدشده</t>
        </is>
      </c>
      <c r="K41" s="8" t="inlineStr">
        <is>
          <t>دفتر قبلی</t>
        </is>
      </c>
      <c r="L41" s="8" t="inlineStr">
        <is>
          <t>LEDGER-MAJMOO-040</t>
        </is>
      </c>
      <c r="M41" s="8" t="inlineStr">
        <is>
          <t>مبلغ از دفتر قبلی خوانده شد؛ نیازمند تطبیق نهایی با شواهد بانکی/رسید.</t>
        </is>
      </c>
    </row>
    <row r="42">
      <c r="A42" s="8" t="inlineStr">
        <is>
          <t>TX-00039</t>
        </is>
      </c>
      <c r="B42" s="8" t="inlineStr">
        <is>
          <t>درآمد</t>
        </is>
      </c>
      <c r="C42" s="8" t="inlineStr">
        <is>
          <t>دی</t>
        </is>
      </c>
      <c r="D42" s="9" t="n">
        <v>15790000</v>
      </c>
      <c r="E42" s="8" t="inlineStr">
        <is>
          <t>تومان</t>
        </is>
      </c>
      <c r="F42" s="9" t="n">
        <v>15790000</v>
      </c>
      <c r="G42" s="8" t="n"/>
      <c r="H42" s="8" t="inlineStr">
        <is>
          <t>دونیشن برای جشن یلدا در حساب</t>
        </is>
      </c>
      <c r="I42" s="8" t="inlineStr">
        <is>
          <t>درآمد / کمک / رویداد</t>
        </is>
      </c>
      <c r="J42" s="8" t="inlineStr">
        <is>
          <t>تاییدشده</t>
        </is>
      </c>
      <c r="K42" s="8" t="inlineStr">
        <is>
          <t>دفتر قبلی</t>
        </is>
      </c>
      <c r="L42" s="8" t="inlineStr">
        <is>
          <t>LEDGER-MAJMOO-042</t>
        </is>
      </c>
      <c r="M42" s="8" t="inlineStr">
        <is>
          <t>مبلغ از دفتر قبلی خوانده شد؛ نیازمند تطبیق نهایی با شواهد بانکی/رسید.</t>
        </is>
      </c>
    </row>
    <row r="43">
      <c r="A43" s="8" t="inlineStr">
        <is>
          <t>TX-00040</t>
        </is>
      </c>
      <c r="B43" s="8" t="inlineStr">
        <is>
          <t>هزینه</t>
        </is>
      </c>
      <c r="C43" s="8" t="inlineStr">
        <is>
          <t>دی</t>
        </is>
      </c>
      <c r="D43" s="9" t="n">
        <v>2137000</v>
      </c>
      <c r="E43" s="8" t="inlineStr">
        <is>
          <t>تومان</t>
        </is>
      </c>
      <c r="F43" s="9" t="n">
        <v>2137000</v>
      </c>
      <c r="G43" s="8" t="n"/>
      <c r="H43" s="8" t="inlineStr">
        <is>
          <t>جایزه و پذیرایی جشن یلدا</t>
        </is>
      </c>
      <c r="I43" s="8" t="inlineStr">
        <is>
          <t>هزینه / عملیاتی</t>
        </is>
      </c>
      <c r="J43" s="8" t="inlineStr">
        <is>
          <t>تاییدشده</t>
        </is>
      </c>
      <c r="K43" s="8" t="inlineStr">
        <is>
          <t>دفتر قبلی</t>
        </is>
      </c>
      <c r="L43" s="8" t="inlineStr">
        <is>
          <t>LEDGER-MAJMOO-042</t>
        </is>
      </c>
      <c r="M43" s="8" t="inlineStr">
        <is>
          <t>مبلغ از دفتر قبلی خوانده شد؛ نیازمند تطبیق نهایی با شواهد پرداخت.</t>
        </is>
      </c>
    </row>
    <row r="44">
      <c r="A44" s="8" t="inlineStr">
        <is>
          <t>TX-00041</t>
        </is>
      </c>
      <c r="B44" s="8" t="inlineStr">
        <is>
          <t>درآمد</t>
        </is>
      </c>
      <c r="C44" s="8" t="inlineStr">
        <is>
          <t>دی</t>
        </is>
      </c>
      <c r="D44" s="9" t="n">
        <v>700000</v>
      </c>
      <c r="E44" s="8" t="inlineStr">
        <is>
          <t>تومان</t>
        </is>
      </c>
      <c r="F44" s="9" t="n">
        <v>700000</v>
      </c>
      <c r="G44" s="8" t="n"/>
      <c r="H44" s="8" t="inlineStr">
        <is>
          <t>دونیشن وجه نقد برای جشن یلدا</t>
        </is>
      </c>
      <c r="I44" s="8" t="inlineStr">
        <is>
          <t>درآمد / کمک / رویداد</t>
        </is>
      </c>
      <c r="J44" s="8" t="inlineStr">
        <is>
          <t>تاییدشده</t>
        </is>
      </c>
      <c r="K44" s="8" t="inlineStr">
        <is>
          <t>دفتر قبلی</t>
        </is>
      </c>
      <c r="L44" s="8" t="inlineStr">
        <is>
          <t>LEDGER-MAJMOO-043</t>
        </is>
      </c>
      <c r="M44" s="8" t="inlineStr">
        <is>
          <t>مبلغ از دفتر قبلی خوانده شد؛ نیازمند تطبیق نهایی با شواهد بانکی/رسید.</t>
        </is>
      </c>
    </row>
    <row r="45">
      <c r="A45" s="8" t="inlineStr">
        <is>
          <t>TX-00042</t>
        </is>
      </c>
      <c r="B45" s="8" t="inlineStr">
        <is>
          <t>درآمد</t>
        </is>
      </c>
      <c r="C45" s="8" t="inlineStr">
        <is>
          <t>مهر 05</t>
        </is>
      </c>
      <c r="D45" s="9" t="n">
        <v>23000000</v>
      </c>
      <c r="E45" s="8" t="inlineStr">
        <is>
          <t>تومان</t>
        </is>
      </c>
      <c r="F45" s="9" t="n">
        <v>23000000</v>
      </c>
      <c r="G45" s="8" t="n"/>
      <c r="H45" s="8" t="inlineStr">
        <is>
          <t>معرفی رشته</t>
        </is>
      </c>
      <c r="I45" s="8" t="inlineStr">
        <is>
          <t>درآمد / کمک / رویداد</t>
        </is>
      </c>
      <c r="J45" s="8" t="inlineStr">
        <is>
          <t>تاییدشده</t>
        </is>
      </c>
      <c r="K45" s="8" t="inlineStr">
        <is>
          <t>دفتر قبلی</t>
        </is>
      </c>
      <c r="L45" s="8" t="inlineStr">
        <is>
          <t>LEDGER-MAJMOO-045</t>
        </is>
      </c>
      <c r="M45" s="8" t="inlineStr">
        <is>
          <t>مبلغ از دفتر قبلی خوانده شد؛ نیازمند تطبیق نهایی با شواهد بانکی/رسید.</t>
        </is>
      </c>
    </row>
    <row r="46">
      <c r="A46" s="8" t="inlineStr">
        <is>
          <t>TX-00043</t>
        </is>
      </c>
      <c r="B46" s="8" t="inlineStr">
        <is>
          <t>هزینه</t>
        </is>
      </c>
      <c r="C46" s="8" t="inlineStr">
        <is>
          <t>مهر 05</t>
        </is>
      </c>
      <c r="D46" s="9" t="n">
        <v>5000000</v>
      </c>
      <c r="E46" s="8" t="inlineStr">
        <is>
          <t>تومان</t>
        </is>
      </c>
      <c r="F46" s="9" t="n">
        <v>5000000</v>
      </c>
      <c r="G46" s="8" t="n"/>
      <c r="H46" s="8" t="inlineStr">
        <is>
          <t>دورهمی بعد از رویداد معرفی رشته</t>
        </is>
      </c>
      <c r="I46" s="8" t="inlineStr">
        <is>
          <t>هزینه / عملیاتی</t>
        </is>
      </c>
      <c r="J46" s="8" t="inlineStr">
        <is>
          <t>تاییدشده</t>
        </is>
      </c>
      <c r="K46" s="8" t="inlineStr">
        <is>
          <t>دفتر قبلی</t>
        </is>
      </c>
      <c r="L46" s="8" t="inlineStr">
        <is>
          <t>LEDGER-MAJMOO-045</t>
        </is>
      </c>
      <c r="M46" s="8" t="inlineStr">
        <is>
          <t>مبلغ از دفتر قبلی خوانده شد؛ نیازمند تطبیق نهایی با شواهد پرداخت.</t>
        </is>
      </c>
    </row>
    <row r="47">
      <c r="A47" s="8" t="inlineStr">
        <is>
          <t>TX-00044</t>
        </is>
      </c>
      <c r="B47" s="8" t="inlineStr">
        <is>
          <t>هزینه</t>
        </is>
      </c>
      <c r="C47" s="8" t="inlineStr">
        <is>
          <t>1405/06/07</t>
        </is>
      </c>
      <c r="D47" s="9" t="n">
        <v>42570000</v>
      </c>
      <c r="E47" s="8" t="inlineStr">
        <is>
          <t>ریال</t>
        </is>
      </c>
      <c r="F47" s="9" t="n">
        <v>4257000</v>
      </c>
      <c r="G47" s="8" t="inlineStr">
        <is>
          <t>شرکت مه بانگ فناوری های پارس</t>
        </is>
      </c>
      <c r="H47" s="8" t="inlineStr">
        <is>
          <t>خرید اپلیکیشن اسکای روم و بسته ضبط رویداد</t>
        </is>
      </c>
      <c r="I47" s="8" t="inlineStr">
        <is>
          <t>هزینه / فناوری و رویداد</t>
        </is>
      </c>
      <c r="J47" s="8" t="inlineStr">
        <is>
          <t>تاییدشده</t>
        </is>
      </c>
      <c r="K47" s="8" t="inlineStr">
        <is>
          <t>فاکتور PDF</t>
        </is>
      </c>
      <c r="L47" s="8" t="inlineStr">
        <is>
          <t>PDF-INVOICE-61150</t>
        </is>
      </c>
      <c r="M47" s="8" t="inlineStr">
        <is>
          <t>اصل فاکتور 42,570,000 ریال است؛ در گزارش به تومان تبدیل شده. مالیات 387,000 تومان در مبلغ کل لحاظ شده.</t>
        </is>
      </c>
    </row>
    <row r="48">
      <c r="A48" s="10" t="inlineStr">
        <is>
          <t>TX-00045</t>
        </is>
      </c>
      <c r="B48" s="10" t="inlineStr">
        <is>
          <t>درآمد</t>
        </is>
      </c>
      <c r="C48" s="10" t="inlineStr">
        <is>
          <t>1405/07</t>
        </is>
      </c>
      <c r="D48" s="11" t="n">
        <v>27235000</v>
      </c>
      <c r="E48" s="10" t="inlineStr">
        <is>
          <t>تومان</t>
        </is>
      </c>
      <c r="F48" s="11" t="n">
        <v>27235000</v>
      </c>
      <c r="G48" s="10" t="inlineStr"/>
      <c r="H48" s="10" t="inlineStr">
        <is>
          <t>درآمد گزارش‌شده رویداد معرفی رشته فیزیک</t>
        </is>
      </c>
      <c r="I48" s="10" t="inlineStr">
        <is>
          <t>درآمد رویداد / فیزیک</t>
        </is>
      </c>
      <c r="J48" s="10" t="inlineStr">
        <is>
          <t>پیشنهادی - نیازمند بررسی</t>
        </is>
      </c>
      <c r="K48" s="10" t="inlineStr">
        <is>
          <t>گزارش رویداد PDF</t>
        </is>
      </c>
      <c r="L48" s="10" t="inlineStr">
        <is>
          <t>PDF-PHYSICS-INTRO</t>
        </is>
      </c>
      <c r="M48" s="10" t="inlineStr">
        <is>
          <t>مبلغ از گزارش رویداد استخراج شده و تا تطبیق با فروش بلیت/واریز بانکی در درآمد تاییدشده منظور نمی‌شود.</t>
        </is>
      </c>
    </row>
    <row r="49">
      <c r="A49" s="10" t="inlineStr">
        <is>
          <t>TX-00046</t>
        </is>
      </c>
      <c r="B49" s="10" t="inlineStr">
        <is>
          <t>درآمد</t>
        </is>
      </c>
      <c r="C49" s="10" t="inlineStr">
        <is>
          <t>نامشخص</t>
        </is>
      </c>
      <c r="D49" s="11" t="n">
        <v>11601</v>
      </c>
      <c r="E49" s="10" t="inlineStr">
        <is>
          <t>تومان</t>
        </is>
      </c>
      <c r="F49" s="11" t="n">
        <v>11601</v>
      </c>
      <c r="G49" s="10" t="inlineStr"/>
      <c r="H49" s="10" t="inlineStr">
        <is>
          <t>درآمد گزارش‌شده دوره Python</t>
        </is>
      </c>
      <c r="I49" s="10" t="inlineStr">
        <is>
          <t>درآمد دوره / Python</t>
        </is>
      </c>
      <c r="J49" s="10" t="inlineStr">
        <is>
          <t>پیشنهادی - نیازمند بررسی</t>
        </is>
      </c>
      <c r="K49" s="10" t="inlineStr">
        <is>
          <t>گزارش تلگرام</t>
        </is>
      </c>
      <c r="L49" s="10" t="inlineStr">
        <is>
          <t>TG-REPORT-PYTHON</t>
        </is>
      </c>
      <c r="M49" s="10" t="inlineStr">
        <is>
          <t>گزارش 81 دانشجو دارد؛ واحد مبلغ و ارتباط با واریز مستقل باید تایید شود.</t>
        </is>
      </c>
    </row>
    <row r="50">
      <c r="A50" s="10" t="inlineStr">
        <is>
          <t>TX-00047</t>
        </is>
      </c>
      <c r="B50" s="10" t="inlineStr">
        <is>
          <t>درآمد</t>
        </is>
      </c>
      <c r="C50" s="10" t="inlineStr">
        <is>
          <t>نامشخص</t>
        </is>
      </c>
      <c r="D50" s="11" t="n">
        <v>12261</v>
      </c>
      <c r="E50" s="10" t="inlineStr">
        <is>
          <t>تومان</t>
        </is>
      </c>
      <c r="F50" s="11" t="n">
        <v>12261</v>
      </c>
      <c r="G50" s="10" t="inlineStr"/>
      <c r="H50" s="10" t="inlineStr">
        <is>
          <t>درآمد گزارش‌شده دوره LaTeX</t>
        </is>
      </c>
      <c r="I50" s="10" t="inlineStr">
        <is>
          <t>درآمد دوره / LaTeX</t>
        </is>
      </c>
      <c r="J50" s="10" t="inlineStr">
        <is>
          <t>پیشنهادی - نیازمند بررسی</t>
        </is>
      </c>
      <c r="K50" s="10" t="inlineStr">
        <is>
          <t>گزارش تلگرام</t>
        </is>
      </c>
      <c r="L50" s="10" t="inlineStr">
        <is>
          <t>TG-REPORT-LATEX</t>
        </is>
      </c>
      <c r="M50" s="10" t="inlineStr">
        <is>
          <t>گزارش 89 دانشجو دارد؛ واحد مبلغ و ارتباط با واریز مستقل باید تایید شود.</t>
        </is>
      </c>
    </row>
    <row r="51">
      <c r="A51" s="10" t="inlineStr">
        <is>
          <t>TX-00048</t>
        </is>
      </c>
      <c r="B51" s="10" t="inlineStr">
        <is>
          <t>درآمد</t>
        </is>
      </c>
      <c r="C51" s="10" t="inlineStr">
        <is>
          <t>نامشخص</t>
        </is>
      </c>
      <c r="D51" s="11" t="n">
        <v>9781</v>
      </c>
      <c r="E51" s="10" t="inlineStr">
        <is>
          <t>تومان</t>
        </is>
      </c>
      <c r="F51" s="11" t="n">
        <v>9781</v>
      </c>
      <c r="G51" s="10" t="inlineStr"/>
      <c r="H51" s="10" t="inlineStr">
        <is>
          <t>درآمد گزارش‌شده دوره Mathematica</t>
        </is>
      </c>
      <c r="I51" s="10" t="inlineStr">
        <is>
          <t>درآمد دوره / Mathematica</t>
        </is>
      </c>
      <c r="J51" s="10" t="inlineStr">
        <is>
          <t>پیشنهادی - نیازمند بررسی</t>
        </is>
      </c>
      <c r="K51" s="10" t="inlineStr">
        <is>
          <t>گزارش تلگرام</t>
        </is>
      </c>
      <c r="L51" s="10" t="inlineStr">
        <is>
          <t>TG-REPORT-MATHEMATICA</t>
        </is>
      </c>
      <c r="M51" s="10" t="inlineStr">
        <is>
          <t>گزارش 73 دانشجو دارد؛ واحد مبلغ و ارتباط با واریز مستقل باید تایید شود.</t>
        </is>
      </c>
    </row>
  </sheetData>
  <autoFilter ref="A3:M51"/>
  <mergeCells count="1">
    <mergeCell ref="A1:M1"/>
  </mergeCells>
  <conditionalFormatting sqref="J4:J51">
    <cfRule type="expression" priority="1" dxfId="0">
      <formula>$J4="پیشنهادی - نیازمند بررسی"</formula>
    </cfRule>
  </conditionalFormatting>
  <pageMargins left="0.75" right="0.75" top="1" bottom="1" header="0.5" footer="0.5"/>
  <pageSetup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F172"/>
  <sheetViews>
    <sheetView rightToLeft="1" workbookViewId="0">
      <pane ySplit="3" topLeftCell="A4" activePane="bottomLeft" state="frozen"/>
      <selection pane="bottomLeft" activeCell="A1" sqref="A1"/>
    </sheetView>
  </sheetViews>
  <sheetFormatPr baseColWidth="8" defaultRowHeight="15"/>
  <cols>
    <col width="16" customWidth="1" min="1" max="1"/>
    <col width="62" customWidth="1" min="2" max="2"/>
    <col width="14" customWidth="1" min="3" max="3"/>
    <col width="16" customWidth="1" min="4" max="4"/>
    <col width="70" customWidth="1" min="5" max="5"/>
    <col width="75" customWidth="1" min="6" max="6"/>
  </cols>
  <sheetData>
    <row r="1" ht="28" customHeight="1">
      <c r="A1" s="5" t="inlineStr">
        <is>
          <t>فهرست اسناد و شواهد</t>
        </is>
      </c>
    </row>
    <row r="2">
      <c r="A2" s="6" t="inlineStr">
        <is>
          <t>نسخه refined | واحد گزارش: تومان | مبالغ نامطمئن در صف بررسی از جمع تاییدشده حذف می‌شوند.</t>
        </is>
      </c>
    </row>
    <row r="3" ht="34" customHeight="1">
      <c r="A3" s="7" t="inlineStr">
        <is>
          <t>شناسه مدرک</t>
        </is>
      </c>
      <c r="B3" s="7" t="inlineStr">
        <is>
          <t>مسیر نسبی</t>
        </is>
      </c>
      <c r="C3" s="7" t="inlineStr">
        <is>
          <t>نوع</t>
        </is>
      </c>
      <c r="D3" s="7" t="inlineStr">
        <is>
          <t>حجم بایت</t>
        </is>
      </c>
      <c r="E3" s="7" t="inlineStr">
        <is>
          <t>SHA-256</t>
        </is>
      </c>
      <c r="F3" s="7" t="inlineStr">
        <is>
          <t>توضیح</t>
        </is>
      </c>
    </row>
    <row r="4">
      <c r="A4" s="3" t="inlineStr">
        <is>
          <t>E-0001</t>
        </is>
      </c>
      <c r="B4" s="3" t="inlineStr">
        <is>
          <t>Anjoman accounting.xlsx</t>
        </is>
      </c>
      <c r="C4" s="3" t="inlineStr">
        <is>
          <t>xlsx</t>
        </is>
      </c>
      <c r="D4" s="3" t="n">
        <v>130028</v>
      </c>
      <c r="E4" s="3" t="inlineStr">
        <is>
          <t>5701b246ebee5bd5db7fc022de097f47c34354e420bb59f08f4f2fc74a0bfcf0</t>
        </is>
      </c>
      <c r="F4" s="3" t="inlineStr"/>
    </row>
    <row r="5">
      <c r="A5" s="3" t="inlineStr">
        <is>
          <t>E-0002</t>
        </is>
      </c>
      <c r="B5" s="3" t="inlineStr">
        <is>
          <t>invoice-61150.pdf</t>
        </is>
      </c>
      <c r="C5" s="3" t="inlineStr">
        <is>
          <t>pdf</t>
        </is>
      </c>
      <c r="D5" s="3" t="n">
        <v>153863</v>
      </c>
      <c r="E5" s="3" t="inlineStr">
        <is>
          <t>06626a709e2a23bc59d3a5185c64e0a85b64e59ccf244cbb3b0867344bc07b57</t>
        </is>
      </c>
      <c r="F5" s="3" t="inlineStr">
        <is>
          <t>PDF؛ متن استخراج‌شده در خام_اسناد نگهداری شده است.</t>
        </is>
      </c>
    </row>
    <row r="6">
      <c r="A6" s="3" t="inlineStr">
        <is>
          <t>E-0003</t>
        </is>
      </c>
      <c r="B6" s="3" t="inlineStr">
        <is>
          <t>physics_intro full report.pdf</t>
        </is>
      </c>
      <c r="C6" s="3" t="inlineStr">
        <is>
          <t>pdf</t>
        </is>
      </c>
      <c r="D6" s="3" t="n">
        <v>52198</v>
      </c>
      <c r="E6" s="3" t="inlineStr">
        <is>
          <t>993061f6f022016308bbd6585c6ae0e8a2b67575c39f21e740659cc25da7dc70</t>
        </is>
      </c>
      <c r="F6" s="3" t="inlineStr">
        <is>
          <t>PDF؛ متن استخراج‌شده در خام_اسناد نگهداری شده است.</t>
        </is>
      </c>
    </row>
    <row r="7">
      <c r="A7" s="3" t="inlineStr">
        <is>
          <t>E-0004</t>
        </is>
      </c>
      <c r="B7" s="3" t="inlineStr">
        <is>
          <t>recipts\photo_10_2026-10-10_11-09-04.jpg</t>
        </is>
      </c>
      <c r="C7" s="3" t="inlineStr">
        <is>
          <t>jpg</t>
        </is>
      </c>
      <c r="D7" s="3" t="n">
        <v>49752</v>
      </c>
      <c r="E7" s="3" t="inlineStr">
        <is>
          <t>b424f88e66186c7fdfcd19043e65ade1aef245c80f81328c53bd4c1354047ea3</t>
        </is>
      </c>
      <c r="F7" s="3" t="inlineStr">
        <is>
          <t>تصویر 1200x1224; OCR محلی در دسترس نیست؛ ورود دستی لازم است.</t>
        </is>
      </c>
    </row>
    <row r="8">
      <c r="A8" s="3" t="inlineStr">
        <is>
          <t>E-0005</t>
        </is>
      </c>
      <c r="B8" s="3" t="inlineStr">
        <is>
          <t>recipts\photo_11_2026-10-10_11-09-04.jpg</t>
        </is>
      </c>
      <c r="C8" s="3" t="inlineStr">
        <is>
          <t>jpg</t>
        </is>
      </c>
      <c r="D8" s="3" t="n">
        <v>31986</v>
      </c>
      <c r="E8" s="3" t="inlineStr">
        <is>
          <t>4b6a665eaaa0ff0a14e2f665cd7ef1480d78c90efa576fa0f1cf910698baacc6</t>
        </is>
      </c>
      <c r="F8" s="3" t="inlineStr">
        <is>
          <t>تصویر 768x1280; OCR محلی در دسترس نیست؛ ورود دستی لازم است.</t>
        </is>
      </c>
    </row>
    <row r="9">
      <c r="A9" s="3" t="inlineStr">
        <is>
          <t>E-0006</t>
        </is>
      </c>
      <c r="B9" s="3" t="inlineStr">
        <is>
          <t>recipts\photo_12_2026-10-10_11-09-04.jpg</t>
        </is>
      </c>
      <c r="C9" s="3" t="inlineStr">
        <is>
          <t>jpg</t>
        </is>
      </c>
      <c r="D9" s="3" t="n">
        <v>50026</v>
      </c>
      <c r="E9" s="3" t="inlineStr">
        <is>
          <t>77e952d643e05bc03bdd136daa677561a5610e8049fb8d8aedfc24280909d917</t>
        </is>
      </c>
      <c r="F9" s="3" t="inlineStr">
        <is>
          <t>تصویر 1200x1224; OCR محلی در دسترس نیست؛ ورود دستی لازم است.</t>
        </is>
      </c>
    </row>
    <row r="10">
      <c r="A10" s="3" t="inlineStr">
        <is>
          <t>E-0007</t>
        </is>
      </c>
      <c r="B10" s="3" t="inlineStr">
        <is>
          <t>recipts\photo_1_2026-10-10_11-09-04.jpg</t>
        </is>
      </c>
      <c r="C10" s="3" t="inlineStr">
        <is>
          <t>jpg</t>
        </is>
      </c>
      <c r="D10" s="3" t="n">
        <v>58923</v>
      </c>
      <c r="E10" s="3" t="inlineStr">
        <is>
          <t>9b398cb3fd79cacf08994828e10209d3739b9ec072ff9dbdb29e456ad1a29262</t>
        </is>
      </c>
      <c r="F10" s="3" t="inlineStr">
        <is>
          <t>تصویر 1200x1163; OCR محلی در دسترس نیست؛ ورود دستی لازم است.</t>
        </is>
      </c>
    </row>
    <row r="11">
      <c r="A11" s="3" t="inlineStr">
        <is>
          <t>E-0008</t>
        </is>
      </c>
      <c r="B11" s="3" t="inlineStr">
        <is>
          <t>recipts\photo_1_2026-10-10_14-07-27.jpg</t>
        </is>
      </c>
      <c r="C11" s="3" t="inlineStr">
        <is>
          <t>jpg</t>
        </is>
      </c>
      <c r="D11" s="3" t="n">
        <v>44693</v>
      </c>
      <c r="E11" s="3" t="inlineStr">
        <is>
          <t>a50d13d6abcf5b4aacd05fa7fa773b5c01a6d2739577691d719c1bf334433b52</t>
        </is>
      </c>
      <c r="F11" s="3" t="inlineStr">
        <is>
          <t>تصویر 1280x714; OCR محلی در دسترس نیست؛ ورود دستی لازم است.</t>
        </is>
      </c>
    </row>
    <row r="12">
      <c r="A12" s="3" t="inlineStr">
        <is>
          <t>E-0009</t>
        </is>
      </c>
      <c r="B12" s="3" t="inlineStr">
        <is>
          <t>recipts\photo_2026-10-10_12-16-28.jpg</t>
        </is>
      </c>
      <c r="C12" s="3" t="inlineStr">
        <is>
          <t>jpg</t>
        </is>
      </c>
      <c r="D12" s="3" t="n">
        <v>160143</v>
      </c>
      <c r="E12" s="3" t="inlineStr">
        <is>
          <t>99a77eab001c2f3c72a639a7ec75b0a97bb90c5e5e244a8cf575d61107bedcc9</t>
        </is>
      </c>
      <c r="F12" s="3" t="inlineStr">
        <is>
          <t>تصویر 578x1280; OCR محلی در دسترس نیست؛ ورود دستی لازم است.</t>
        </is>
      </c>
    </row>
    <row r="13">
      <c r="A13" s="3" t="inlineStr">
        <is>
          <t>E-0010</t>
        </is>
      </c>
      <c r="B13" s="3" t="inlineStr">
        <is>
          <t>recipts\photo_2_2026-10-10_11-09-04.jpg</t>
        </is>
      </c>
      <c r="C13" s="3" t="inlineStr">
        <is>
          <t>jpg</t>
        </is>
      </c>
      <c r="D13" s="3" t="n">
        <v>57944</v>
      </c>
      <c r="E13" s="3" t="inlineStr">
        <is>
          <t>5b8abe4d9a9d270a1a5cb0583fbb4ff555d551b16023d63343affe459769150f</t>
        </is>
      </c>
      <c r="F13" s="3" t="inlineStr">
        <is>
          <t>تصویر 1200x1163; OCR محلی در دسترس نیست؛ ورود دستی لازم است.</t>
        </is>
      </c>
    </row>
    <row r="14">
      <c r="A14" s="3" t="inlineStr">
        <is>
          <t>E-0011</t>
        </is>
      </c>
      <c r="B14" s="3" t="inlineStr">
        <is>
          <t>recipts\photo_2_2026-10-10_14-07-27.jpg</t>
        </is>
      </c>
      <c r="C14" s="3" t="inlineStr">
        <is>
          <t>jpg</t>
        </is>
      </c>
      <c r="D14" s="3" t="n">
        <v>39945</v>
      </c>
      <c r="E14" s="3" t="inlineStr">
        <is>
          <t>6f9a6e2d264b36faa78b41d76c6a1448122e4a243a95c361fd1281ae2bc47e4a</t>
        </is>
      </c>
      <c r="F14" s="3" t="inlineStr">
        <is>
          <t>تصویر 1280x714; OCR محلی در دسترس نیست؛ ورود دستی لازم است.</t>
        </is>
      </c>
    </row>
    <row r="15">
      <c r="A15" s="3" t="inlineStr">
        <is>
          <t>E-0012</t>
        </is>
      </c>
      <c r="B15" s="3" t="inlineStr">
        <is>
          <t>recipts\photo_3_2026-10-10_11-09-04.jpg</t>
        </is>
      </c>
      <c r="C15" s="3" t="inlineStr">
        <is>
          <t>jpg</t>
        </is>
      </c>
      <c r="D15" s="3" t="n">
        <v>48603</v>
      </c>
      <c r="E15" s="3" t="inlineStr">
        <is>
          <t>5e9f3828411eb9b655e40edf6506756897d37de7bd8a35ea38c9eee80d9742c0</t>
        </is>
      </c>
      <c r="F15" s="3" t="inlineStr">
        <is>
          <t>تصویر 1200x1078; OCR محلی در دسترس نیست؛ ورود دستی لازم است.</t>
        </is>
      </c>
    </row>
    <row r="16">
      <c r="A16" s="3" t="inlineStr">
        <is>
          <t>E-0013</t>
        </is>
      </c>
      <c r="B16" s="3" t="inlineStr">
        <is>
          <t>recipts\photo_3_2026-10-10_14-07-27.jpg</t>
        </is>
      </c>
      <c r="C16" s="3" t="inlineStr">
        <is>
          <t>jpg</t>
        </is>
      </c>
      <c r="D16" s="3" t="n">
        <v>45037</v>
      </c>
      <c r="E16" s="3" t="inlineStr">
        <is>
          <t>89cfe54d6ab70d44461da04c4318c4b7a11f78947d9a61bda0e7266fbcc3bdab</t>
        </is>
      </c>
      <c r="F16" s="3" t="inlineStr">
        <is>
          <t>تصویر 1280x714; OCR محلی در دسترس نیست؛ ورود دستی لازم است.</t>
        </is>
      </c>
    </row>
    <row r="17">
      <c r="A17" s="3" t="inlineStr">
        <is>
          <t>E-0014</t>
        </is>
      </c>
      <c r="B17" s="3" t="inlineStr">
        <is>
          <t>recipts\photo_4_2026-10-10_11-09-04.jpg</t>
        </is>
      </c>
      <c r="C17" s="3" t="inlineStr">
        <is>
          <t>jpg</t>
        </is>
      </c>
      <c r="D17" s="3" t="n">
        <v>49704</v>
      </c>
      <c r="E17" s="3" t="inlineStr">
        <is>
          <t>da2ff247cc7b5f3f295635d3052d3d599eebc0806a657613e584d1cce0639769</t>
        </is>
      </c>
      <c r="F17" s="3" t="inlineStr">
        <is>
          <t>تصویر 1200x1224; OCR محلی در دسترس نیست؛ ورود دستی لازم است.</t>
        </is>
      </c>
    </row>
    <row r="18">
      <c r="A18" s="3" t="inlineStr">
        <is>
          <t>E-0015</t>
        </is>
      </c>
      <c r="B18" s="3" t="inlineStr">
        <is>
          <t>recipts\photo_4_2026-10-10_14-07-27.jpg</t>
        </is>
      </c>
      <c r="C18" s="3" t="inlineStr">
        <is>
          <t>jpg</t>
        </is>
      </c>
      <c r="D18" s="3" t="n">
        <v>44990</v>
      </c>
      <c r="E18" s="3" t="inlineStr">
        <is>
          <t>44a438cc79650702edcbab92c8d1b6d5bc74008f068089c928f463f0657d2162</t>
        </is>
      </c>
      <c r="F18" s="3" t="inlineStr">
        <is>
          <t>تصویر 1280x714; OCR محلی در دسترس نیست؛ ورود دستی لازم است.</t>
        </is>
      </c>
    </row>
    <row r="19">
      <c r="A19" s="3" t="inlineStr">
        <is>
          <t>E-0016</t>
        </is>
      </c>
      <c r="B19" s="3" t="inlineStr">
        <is>
          <t>recipts\photo_5_2026-10-10_11-09-04.jpg</t>
        </is>
      </c>
      <c r="C19" s="3" t="inlineStr">
        <is>
          <t>jpg</t>
        </is>
      </c>
      <c r="D19" s="3" t="n">
        <v>49513</v>
      </c>
      <c r="E19" s="3" t="inlineStr">
        <is>
          <t>556c6c35f9ce9e0fb5845f3b0d5b9a1b2696d7e1377af7f4c39d6a23e4360af2</t>
        </is>
      </c>
      <c r="F19" s="3" t="inlineStr">
        <is>
          <t>تصویر 1200x1145; OCR محلی در دسترس نیست؛ ورود دستی لازم است.</t>
        </is>
      </c>
    </row>
    <row r="20">
      <c r="A20" s="3" t="inlineStr">
        <is>
          <t>E-0017</t>
        </is>
      </c>
      <c r="B20" s="3" t="inlineStr">
        <is>
          <t>recipts\photo_5_2026-10-10_14-07-27.jpg</t>
        </is>
      </c>
      <c r="C20" s="3" t="inlineStr">
        <is>
          <t>jpg</t>
        </is>
      </c>
      <c r="D20" s="3" t="n">
        <v>39739</v>
      </c>
      <c r="E20" s="3" t="inlineStr">
        <is>
          <t>63f59a169b5a2bb5dd1bc0587d75173d88da586a0b9b30cbe7effcd5b676c67c</t>
        </is>
      </c>
      <c r="F20" s="3" t="inlineStr">
        <is>
          <t>تصویر 1280x714; OCR محلی در دسترس نیست؛ ورود دستی لازم است.</t>
        </is>
      </c>
    </row>
    <row r="21">
      <c r="A21" s="3" t="inlineStr">
        <is>
          <t>E-0018</t>
        </is>
      </c>
      <c r="B21" s="3" t="inlineStr">
        <is>
          <t>recipts\photo_6_2026-10-10_11-09-04.jpg</t>
        </is>
      </c>
      <c r="C21" s="3" t="inlineStr">
        <is>
          <t>jpg</t>
        </is>
      </c>
      <c r="D21" s="3" t="n">
        <v>57246</v>
      </c>
      <c r="E21" s="3" t="inlineStr">
        <is>
          <t>3e2419ef0ccbe67c3e775ffb4f32e97152e3923bab3c3760071727253938e142</t>
        </is>
      </c>
      <c r="F21" s="3" t="inlineStr">
        <is>
          <t>تصویر 1200x1163; OCR محلی در دسترس نیست؛ ورود دستی لازم است.</t>
        </is>
      </c>
    </row>
    <row r="22">
      <c r="A22" s="3" t="inlineStr">
        <is>
          <t>E-0019</t>
        </is>
      </c>
      <c r="B22" s="3" t="inlineStr">
        <is>
          <t>recipts\photo_6_2026-10-10_14-07-27.jpg</t>
        </is>
      </c>
      <c r="C22" s="3" t="inlineStr">
        <is>
          <t>jpg</t>
        </is>
      </c>
      <c r="D22" s="3" t="n">
        <v>41211</v>
      </c>
      <c r="E22" s="3" t="inlineStr">
        <is>
          <t>2a51ef05147371b78e220f491a2c3e82578cb8a9cc8a65128cd503f3f2eaf183</t>
        </is>
      </c>
      <c r="F22" s="3" t="inlineStr">
        <is>
          <t>تصویر 1280x714; OCR محلی در دسترس نیست؛ ورود دستی لازم است.</t>
        </is>
      </c>
    </row>
    <row r="23">
      <c r="A23" s="3" t="inlineStr">
        <is>
          <t>E-0020</t>
        </is>
      </c>
      <c r="B23" s="3" t="inlineStr">
        <is>
          <t>recipts\photo_7_2026-10-10_11-09-04.jpg</t>
        </is>
      </c>
      <c r="C23" s="3" t="inlineStr">
        <is>
          <t>jpg</t>
        </is>
      </c>
      <c r="D23" s="3" t="n">
        <v>49510</v>
      </c>
      <c r="E23" s="3" t="inlineStr">
        <is>
          <t>805ebbd2b231c7cf1c2858b5a056938b59dd5c7ccaed44d74c4edc20f4b57ce2</t>
        </is>
      </c>
      <c r="F23" s="3" t="inlineStr">
        <is>
          <t>تصویر 1200x1145; OCR محلی در دسترس نیست؛ ورود دستی لازم است.</t>
        </is>
      </c>
    </row>
    <row r="24">
      <c r="A24" s="3" t="inlineStr">
        <is>
          <t>E-0021</t>
        </is>
      </c>
      <c r="B24" s="3" t="inlineStr">
        <is>
          <t>recipts\photo_7_2026-10-10_14-07-27.jpg</t>
        </is>
      </c>
      <c r="C24" s="3" t="inlineStr">
        <is>
          <t>jpg</t>
        </is>
      </c>
      <c r="D24" s="3" t="n">
        <v>44918</v>
      </c>
      <c r="E24" s="3" t="inlineStr">
        <is>
          <t>1bfe3e9b9076ece14313b068bc35b4b58c247e5b9fbf0c8ac9d9161c5a1eab10</t>
        </is>
      </c>
      <c r="F24" s="3" t="inlineStr">
        <is>
          <t>تصویر 1280x714; OCR محلی در دسترس نیست؛ ورود دستی لازم است.</t>
        </is>
      </c>
    </row>
    <row r="25">
      <c r="A25" s="3" t="inlineStr">
        <is>
          <t>E-0022</t>
        </is>
      </c>
      <c r="B25" s="3" t="inlineStr">
        <is>
          <t>recipts\photo_8_2026-10-10_11-09-04.jpg</t>
        </is>
      </c>
      <c r="C25" s="3" t="inlineStr">
        <is>
          <t>jpg</t>
        </is>
      </c>
      <c r="D25" s="3" t="n">
        <v>48893</v>
      </c>
      <c r="E25" s="3" t="inlineStr">
        <is>
          <t>75fee797d13ddb85ea935721b36fb145c6c9fe6b2ea11406f10a551c57acac32</t>
        </is>
      </c>
      <c r="F25" s="3" t="inlineStr">
        <is>
          <t>تصویر 1200x1145; OCR محلی در دسترس نیست؛ ورود دستی لازم است.</t>
        </is>
      </c>
    </row>
    <row r="26">
      <c r="A26" s="3" t="inlineStr">
        <is>
          <t>E-0023</t>
        </is>
      </c>
      <c r="B26" s="3" t="inlineStr">
        <is>
          <t>recipts\photo_8_2026-10-10_14-07-27.jpg</t>
        </is>
      </c>
      <c r="C26" s="3" t="inlineStr">
        <is>
          <t>jpg</t>
        </is>
      </c>
      <c r="D26" s="3" t="n">
        <v>39907</v>
      </c>
      <c r="E26" s="3" t="inlineStr">
        <is>
          <t>ae9fe7eccdae6bf86a1de9ecb8dc330494dec3835c76a1f55a0dd695297689b8</t>
        </is>
      </c>
      <c r="F26" s="3" t="inlineStr">
        <is>
          <t>تصویر 1280x714; OCR محلی در دسترس نیست؛ ورود دستی لازم است.</t>
        </is>
      </c>
    </row>
    <row r="27">
      <c r="A27" s="3" t="inlineStr">
        <is>
          <t>E-0024</t>
        </is>
      </c>
      <c r="B27" s="3" t="inlineStr">
        <is>
          <t>telegram export\css\style.css</t>
        </is>
      </c>
      <c r="C27" s="3" t="inlineStr">
        <is>
          <t>css</t>
        </is>
      </c>
      <c r="D27" s="3" t="n">
        <v>44158</v>
      </c>
      <c r="E27" s="3" t="inlineStr">
        <is>
          <t>1d70127586462ce7996aad2749e7994aca9dee615c3d8d38e2acd4d2a00ca611</t>
        </is>
      </c>
      <c r="F27" s="3" t="inlineStr"/>
    </row>
    <row r="28">
      <c r="A28" s="3" t="inlineStr">
        <is>
          <t>E-0025</t>
        </is>
      </c>
      <c r="B28" s="3" t="inlineStr">
        <is>
          <t>telegram export\files\CamScanner 13-05-2026 12.43 (1).pdf</t>
        </is>
      </c>
      <c r="C28" s="3" t="inlineStr">
        <is>
          <t>pdf</t>
        </is>
      </c>
      <c r="D28" s="3" t="n">
        <v>7377808</v>
      </c>
      <c r="E28" s="3" t="inlineStr">
        <is>
          <t>6710c8248b7f8f3fb3ccc8ef74c9e5f017aa69fcd6c02fb1e5e4f8d33d134b2b</t>
        </is>
      </c>
      <c r="F28" s="3" t="inlineStr">
        <is>
          <t>PDF؛ متن استخراج‌شده در خام_اسناد نگهداری شده است.</t>
        </is>
      </c>
    </row>
    <row r="29">
      <c r="A29" s="3" t="inlineStr">
        <is>
          <t>E-0026</t>
        </is>
      </c>
      <c r="B29" s="3" t="inlineStr">
        <is>
          <t>telegram export\files\dk-file-2025-10-16-14-43-08.pdf</t>
        </is>
      </c>
      <c r="C29" s="3" t="inlineStr">
        <is>
          <t>pdf</t>
        </is>
      </c>
      <c r="D29" s="3" t="n">
        <v>326283</v>
      </c>
      <c r="E29" s="3" t="inlineStr">
        <is>
          <t>6e8ce528a639e8464eeb696a426eea1e00398cec8ff5e910340153fd01552139</t>
        </is>
      </c>
      <c r="F29" s="3" t="inlineStr">
        <is>
          <t>PDF؛ متن استخراج‌شده در خام_اسناد نگهداری شده است.</t>
        </is>
      </c>
    </row>
    <row r="30">
      <c r="A30" s="3" t="inlineStr">
        <is>
          <t>E-0027</t>
        </is>
      </c>
      <c r="B30" s="3" t="inlineStr">
        <is>
          <t>telegram export\files\report_LaTeX.txt</t>
        </is>
      </c>
      <c r="C30" s="3" t="inlineStr">
        <is>
          <t>txt</t>
        </is>
      </c>
      <c r="D30" s="3" t="n">
        <v>6957</v>
      </c>
      <c r="E30" s="3" t="inlineStr">
        <is>
          <t>6f49e9daa289994ee9c5668ca7835c80fae756e783c6ea3b34f87e867ec5373e</t>
        </is>
      </c>
      <c r="F30" s="3" t="inlineStr"/>
    </row>
    <row r="31">
      <c r="A31" s="3" t="inlineStr">
        <is>
          <t>E-0028</t>
        </is>
      </c>
      <c r="B31" s="3" t="inlineStr">
        <is>
          <t>telegram export\files\report_Mathematica.txt</t>
        </is>
      </c>
      <c r="C31" s="3" t="inlineStr">
        <is>
          <t>txt</t>
        </is>
      </c>
      <c r="D31" s="3" t="n">
        <v>5794</v>
      </c>
      <c r="E31" s="3" t="inlineStr">
        <is>
          <t>d46de755d6b2fac8a5ee3f3d7ac8dbf6f95fe35527a0d65031da933e6181b1ee</t>
        </is>
      </c>
      <c r="F31" s="3" t="inlineStr"/>
    </row>
    <row r="32">
      <c r="A32" s="3" t="inlineStr">
        <is>
          <t>E-0029</t>
        </is>
      </c>
      <c r="B32" s="3" t="inlineStr">
        <is>
          <t>telegram export\files\report_Python.txt</t>
        </is>
      </c>
      <c r="C32" s="3" t="inlineStr">
        <is>
          <t>txt</t>
        </is>
      </c>
      <c r="D32" s="3" t="n">
        <v>6376</v>
      </c>
      <c r="E32" s="3" t="inlineStr">
        <is>
          <t>17ae48dee33027148ec54f2d842e17ac16032522c356342f796949ec3f3e24d4</t>
        </is>
      </c>
      <c r="F32" s="3" t="inlineStr"/>
    </row>
    <row r="33">
      <c r="A33" s="3" t="inlineStr">
        <is>
          <t>E-0030</t>
        </is>
      </c>
      <c r="B33" s="3" t="inlineStr">
        <is>
          <t>telegram export\images\back.png</t>
        </is>
      </c>
      <c r="C33" s="3" t="inlineStr">
        <is>
          <t>png</t>
        </is>
      </c>
      <c r="D33" s="3" t="n">
        <v>312</v>
      </c>
      <c r="E33" s="3" t="inlineStr">
        <is>
          <t>929933067c1d751fed025884b85804818342f7560dd9a36d3a058c36a04676eb</t>
        </is>
      </c>
      <c r="F33" s="3" t="inlineStr"/>
    </row>
    <row r="34">
      <c r="A34" s="3" t="inlineStr">
        <is>
          <t>E-0031</t>
        </is>
      </c>
      <c r="B34" s="3" t="inlineStr">
        <is>
          <t>telegram export\images\back@2x.png</t>
        </is>
      </c>
      <c r="C34" s="3" t="inlineStr">
        <is>
          <t>png</t>
        </is>
      </c>
      <c r="D34" s="3" t="n">
        <v>518</v>
      </c>
      <c r="E34" s="3" t="inlineStr">
        <is>
          <t>961cfe303deab8f2939257d1b2bb7d0ec14e4f32c3b6a4a673a9fc55ad0053bb</t>
        </is>
      </c>
      <c r="F34" s="3" t="inlineStr"/>
    </row>
    <row r="35">
      <c r="A35" s="3" t="inlineStr">
        <is>
          <t>E-0032</t>
        </is>
      </c>
      <c r="B35" s="3" t="inlineStr">
        <is>
          <t>telegram export\images\media_call.png</t>
        </is>
      </c>
      <c r="C35" s="3" t="inlineStr">
        <is>
          <t>png</t>
        </is>
      </c>
      <c r="D35" s="3" t="n">
        <v>417</v>
      </c>
      <c r="E35" s="3" t="inlineStr">
        <is>
          <t>83014bb735c810fef0c0bfb6e9dad93e5575a06db20ea0e22e45ab810868a478</t>
        </is>
      </c>
      <c r="F35" s="3" t="inlineStr"/>
    </row>
    <row r="36">
      <c r="A36" s="3" t="inlineStr">
        <is>
          <t>E-0033</t>
        </is>
      </c>
      <c r="B36" s="3" t="inlineStr">
        <is>
          <t>telegram export\images\media_call@2x.png</t>
        </is>
      </c>
      <c r="C36" s="3" t="inlineStr">
        <is>
          <t>png</t>
        </is>
      </c>
      <c r="D36" s="3" t="n">
        <v>815</v>
      </c>
      <c r="E36" s="3" t="inlineStr">
        <is>
          <t>6f23d3955f028037ac038d21adbec952537b1c7a4862dcc9478615d2977147b5</t>
        </is>
      </c>
      <c r="F36" s="3" t="inlineStr"/>
    </row>
    <row r="37">
      <c r="A37" s="3" t="inlineStr">
        <is>
          <t>E-0034</t>
        </is>
      </c>
      <c r="B37" s="3" t="inlineStr">
        <is>
          <t>telegram export\images\media_contact.png</t>
        </is>
      </c>
      <c r="C37" s="3" t="inlineStr">
        <is>
          <t>png</t>
        </is>
      </c>
      <c r="D37" s="3" t="n">
        <v>323</v>
      </c>
      <c r="E37" s="3" t="inlineStr">
        <is>
          <t>37462001aa3f02db4821532e4a62bdf5747987f9d0c479d3fddc7dc1e8e0c6a7</t>
        </is>
      </c>
      <c r="F37" s="3" t="inlineStr"/>
    </row>
    <row r="38">
      <c r="A38" s="3" t="inlineStr">
        <is>
          <t>E-0035</t>
        </is>
      </c>
      <c r="B38" s="3" t="inlineStr">
        <is>
          <t>telegram export\images\media_contact@2x.png</t>
        </is>
      </c>
      <c r="C38" s="3" t="inlineStr">
        <is>
          <t>png</t>
        </is>
      </c>
      <c r="D38" s="3" t="n">
        <v>600</v>
      </c>
      <c r="E38" s="3" t="inlineStr">
        <is>
          <t>ece7f7e5485a4b2bcf50ed758ec9748501b231b7558078d15c3e1f69b55d0cba</t>
        </is>
      </c>
      <c r="F38" s="3" t="inlineStr"/>
    </row>
    <row r="39">
      <c r="A39" s="3" t="inlineStr">
        <is>
          <t>E-0036</t>
        </is>
      </c>
      <c r="B39" s="3" t="inlineStr">
        <is>
          <t>telegram export\images\media_file.png</t>
        </is>
      </c>
      <c r="C39" s="3" t="inlineStr">
        <is>
          <t>png</t>
        </is>
      </c>
      <c r="D39" s="3" t="n">
        <v>236</v>
      </c>
      <c r="E39" s="3" t="inlineStr">
        <is>
          <t>da791938383c24ccc7ac7bba638470e53753df256609e1bfa5c3c7bb4e241f6b</t>
        </is>
      </c>
      <c r="F39" s="3" t="inlineStr"/>
    </row>
    <row r="40">
      <c r="A40" s="3" t="inlineStr">
        <is>
          <t>E-0037</t>
        </is>
      </c>
      <c r="B40" s="3" t="inlineStr">
        <is>
          <t>telegram export\images\media_file@2x.png</t>
        </is>
      </c>
      <c r="C40" s="3" t="inlineStr">
        <is>
          <t>png</t>
        </is>
      </c>
      <c r="D40" s="3" t="n">
        <v>408</v>
      </c>
      <c r="E40" s="3" t="inlineStr">
        <is>
          <t>2fc5b871d9e40d8dfbd2eacc27300c98bd7f3205d57b1b4cb59b86e6a176087e</t>
        </is>
      </c>
      <c r="F40" s="3" t="inlineStr"/>
    </row>
    <row r="41">
      <c r="A41" s="3" t="inlineStr">
        <is>
          <t>E-0038</t>
        </is>
      </c>
      <c r="B41" s="3" t="inlineStr">
        <is>
          <t>telegram export\images\media_game.png</t>
        </is>
      </c>
      <c r="C41" s="3" t="inlineStr">
        <is>
          <t>png</t>
        </is>
      </c>
      <c r="D41" s="3" t="n">
        <v>271</v>
      </c>
      <c r="E41" s="3" t="inlineStr">
        <is>
          <t>36354c347f0cad06dae45bc6451ea875714bcf33f7b3175394d16a64faa225c7</t>
        </is>
      </c>
      <c r="F41" s="3" t="inlineStr"/>
    </row>
    <row r="42">
      <c r="A42" s="3" t="inlineStr">
        <is>
          <t>E-0039</t>
        </is>
      </c>
      <c r="B42" s="3" t="inlineStr">
        <is>
          <t>telegram export\images\media_game@2x.png</t>
        </is>
      </c>
      <c r="C42" s="3" t="inlineStr">
        <is>
          <t>png</t>
        </is>
      </c>
      <c r="D42" s="3" t="n">
        <v>510</v>
      </c>
      <c r="E42" s="3" t="inlineStr">
        <is>
          <t>521b1874fd20c0c05619342d9fb11c0f24d9f7dbc6a6bbec28b5b09c17b8c12f</t>
        </is>
      </c>
      <c r="F42" s="3" t="inlineStr"/>
    </row>
    <row r="43">
      <c r="A43" s="3" t="inlineStr">
        <is>
          <t>E-0040</t>
        </is>
      </c>
      <c r="B43" s="3" t="inlineStr">
        <is>
          <t>telegram export\images\media_location.png</t>
        </is>
      </c>
      <c r="C43" s="3" t="inlineStr">
        <is>
          <t>png</t>
        </is>
      </c>
      <c r="D43" s="3" t="n">
        <v>480</v>
      </c>
      <c r="E43" s="3" t="inlineStr">
        <is>
          <t>17ac2dfdbb87f3b53010eaad731bbdf8a619eabd6df87e33e4c06df06959bdc5</t>
        </is>
      </c>
      <c r="F43" s="3" t="inlineStr"/>
    </row>
    <row r="44">
      <c r="A44" s="3" t="inlineStr">
        <is>
          <t>E-0041</t>
        </is>
      </c>
      <c r="B44" s="3" t="inlineStr">
        <is>
          <t>telegram export\images\media_location@2x.png</t>
        </is>
      </c>
      <c r="C44" s="3" t="inlineStr">
        <is>
          <t>png</t>
        </is>
      </c>
      <c r="D44" s="3" t="n">
        <v>991</v>
      </c>
      <c r="E44" s="3" t="inlineStr">
        <is>
          <t>5d67983d47374ada4eb55697a8cc2abf93743b9f22866a6a6ba26f75f28b3582</t>
        </is>
      </c>
      <c r="F44" s="3" t="inlineStr"/>
    </row>
    <row r="45">
      <c r="A45" s="3" t="inlineStr">
        <is>
          <t>E-0042</t>
        </is>
      </c>
      <c r="B45" s="3" t="inlineStr">
        <is>
          <t>telegram export\images\media_music.png</t>
        </is>
      </c>
      <c r="C45" s="3" t="inlineStr">
        <is>
          <t>png</t>
        </is>
      </c>
      <c r="D45" s="3" t="n">
        <v>275</v>
      </c>
      <c r="E45" s="3" t="inlineStr">
        <is>
          <t>6779336f0362a73da8b7ea33dce0e73fe83bce17597378445c117e07dd6020b3</t>
        </is>
      </c>
      <c r="F45" s="3" t="inlineStr"/>
    </row>
    <row r="46">
      <c r="A46" s="3" t="inlineStr">
        <is>
          <t>E-0043</t>
        </is>
      </c>
      <c r="B46" s="3" t="inlineStr">
        <is>
          <t>telegram export\images\media_music@2x.png</t>
        </is>
      </c>
      <c r="C46" s="3" t="inlineStr">
        <is>
          <t>png</t>
        </is>
      </c>
      <c r="D46" s="3" t="n">
        <v>464</v>
      </c>
      <c r="E46" s="3" t="inlineStr">
        <is>
          <t>f6b15ff44a9d49e72c1ca58ce297e514eb686a724c1792a13b877cc25647151a</t>
        </is>
      </c>
      <c r="F46" s="3" t="inlineStr"/>
    </row>
    <row r="47">
      <c r="A47" s="3" t="inlineStr">
        <is>
          <t>E-0044</t>
        </is>
      </c>
      <c r="B47" s="3" t="inlineStr">
        <is>
          <t>telegram export\images\media_photo.png</t>
        </is>
      </c>
      <c r="C47" s="3" t="inlineStr">
        <is>
          <t>png</t>
        </is>
      </c>
      <c r="D47" s="3" t="n">
        <v>243</v>
      </c>
      <c r="E47" s="3" t="inlineStr">
        <is>
          <t>68c3ad119b7f075c74fb1297ed6f81309dba5262274c98cc99da9c3a2d2accff</t>
        </is>
      </c>
      <c r="F47" s="3" t="inlineStr"/>
    </row>
    <row r="48">
      <c r="A48" s="3" t="inlineStr">
        <is>
          <t>E-0045</t>
        </is>
      </c>
      <c r="B48" s="3" t="inlineStr">
        <is>
          <t>telegram export\images\media_photo@2x.png</t>
        </is>
      </c>
      <c r="C48" s="3" t="inlineStr">
        <is>
          <t>png</t>
        </is>
      </c>
      <c r="D48" s="3" t="n">
        <v>458</v>
      </c>
      <c r="E48" s="3" t="inlineStr">
        <is>
          <t>a995f172ad5eea6fcd6d4357eec864cead122642eeef3aa86b01a9026085bdb5</t>
        </is>
      </c>
      <c r="F48" s="3" t="inlineStr"/>
    </row>
    <row r="49">
      <c r="A49" s="3" t="inlineStr">
        <is>
          <t>E-0046</t>
        </is>
      </c>
      <c r="B49" s="3" t="inlineStr">
        <is>
          <t>telegram export\images\media_shop.png</t>
        </is>
      </c>
      <c r="C49" s="3" t="inlineStr">
        <is>
          <t>png</t>
        </is>
      </c>
      <c r="D49" s="3" t="n">
        <v>377</v>
      </c>
      <c r="E49" s="3" t="inlineStr">
        <is>
          <t>950a9f3eb7e7ced0467702565e682cc8c72d9808c2a1b0c14fb585ba5e388d2f</t>
        </is>
      </c>
      <c r="F49" s="3" t="inlineStr"/>
    </row>
    <row r="50">
      <c r="A50" s="3" t="inlineStr">
        <is>
          <t>E-0047</t>
        </is>
      </c>
      <c r="B50" s="3" t="inlineStr">
        <is>
          <t>telegram export\images\media_shop@2x.png</t>
        </is>
      </c>
      <c r="C50" s="3" t="inlineStr">
        <is>
          <t>png</t>
        </is>
      </c>
      <c r="D50" s="3" t="n">
        <v>790</v>
      </c>
      <c r="E50" s="3" t="inlineStr">
        <is>
          <t>ddb88b92f1bd8f6b04f561ac52afd54ab5f4840381afd0809251d8d85b58a200</t>
        </is>
      </c>
      <c r="F50" s="3" t="inlineStr"/>
    </row>
    <row r="51">
      <c r="A51" s="3" t="inlineStr">
        <is>
          <t>E-0048</t>
        </is>
      </c>
      <c r="B51" s="3" t="inlineStr">
        <is>
          <t>telegram export\images\media_video.png</t>
        </is>
      </c>
      <c r="C51" s="3" t="inlineStr">
        <is>
          <t>png</t>
        </is>
      </c>
      <c r="D51" s="3" t="n">
        <v>235</v>
      </c>
      <c r="E51" s="3" t="inlineStr">
        <is>
          <t>6053dad4203b7c611298c91f7db337b24dd9e520f2f139ed02d6141553de12c3</t>
        </is>
      </c>
      <c r="F51" s="3" t="inlineStr"/>
    </row>
    <row r="52">
      <c r="A52" s="3" t="inlineStr">
        <is>
          <t>E-0049</t>
        </is>
      </c>
      <c r="B52" s="3" t="inlineStr">
        <is>
          <t>telegram export\images\media_video@2x.png</t>
        </is>
      </c>
      <c r="C52" s="3" t="inlineStr">
        <is>
          <t>png</t>
        </is>
      </c>
      <c r="D52" s="3" t="n">
        <v>411</v>
      </c>
      <c r="E52" s="3" t="inlineStr">
        <is>
          <t>1e67c221afa14b6ad28cb747fe919227f6b842059c65bc191269263afbc7c529</t>
        </is>
      </c>
      <c r="F52" s="3" t="inlineStr"/>
    </row>
    <row r="53">
      <c r="A53" s="3" t="inlineStr">
        <is>
          <t>E-0050</t>
        </is>
      </c>
      <c r="B53" s="3" t="inlineStr">
        <is>
          <t>telegram export\images\media_voice.png</t>
        </is>
      </c>
      <c r="C53" s="3" t="inlineStr">
        <is>
          <t>png</t>
        </is>
      </c>
      <c r="D53" s="3" t="n">
        <v>328</v>
      </c>
      <c r="E53" s="3" t="inlineStr">
        <is>
          <t>531d7e79c2ff8260f99f48e197ed4ff105fb3d395bd6e4be22dca048f698df4b</t>
        </is>
      </c>
      <c r="F53" s="3" t="inlineStr"/>
    </row>
    <row r="54">
      <c r="A54" s="3" t="inlineStr">
        <is>
          <t>E-0051</t>
        </is>
      </c>
      <c r="B54" s="3" t="inlineStr">
        <is>
          <t>telegram export\images\media_voice@2x.png</t>
        </is>
      </c>
      <c r="C54" s="3" t="inlineStr">
        <is>
          <t>png</t>
        </is>
      </c>
      <c r="D54" s="3" t="n">
        <v>660</v>
      </c>
      <c r="E54" s="3" t="inlineStr">
        <is>
          <t>b37c63673d99d3a9167bcfe7045c27dfea29970d8aa5ce4f80083646dcb59ac6</t>
        </is>
      </c>
      <c r="F54" s="3" t="inlineStr"/>
    </row>
    <row r="55">
      <c r="A55" s="3" t="inlineStr">
        <is>
          <t>E-0052</t>
        </is>
      </c>
      <c r="B55" s="3" t="inlineStr">
        <is>
          <t>telegram export\images\section_calls.png</t>
        </is>
      </c>
      <c r="C55" s="3" t="inlineStr">
        <is>
          <t>png</t>
        </is>
      </c>
      <c r="D55" s="3" t="n">
        <v>656</v>
      </c>
      <c r="E55" s="3" t="inlineStr">
        <is>
          <t>b347d0bb33954aac124506d9ce9a0e556f235cb579ab853ebfd562617ce9a7c3</t>
        </is>
      </c>
      <c r="F55" s="3" t="inlineStr"/>
    </row>
    <row r="56">
      <c r="A56" s="3" t="inlineStr">
        <is>
          <t>E-0053</t>
        </is>
      </c>
      <c r="B56" s="3" t="inlineStr">
        <is>
          <t>telegram export\images\section_calls@2x.png</t>
        </is>
      </c>
      <c r="C56" s="3" t="inlineStr">
        <is>
          <t>png</t>
        </is>
      </c>
      <c r="D56" s="3" t="n">
        <v>1300</v>
      </c>
      <c r="E56" s="3" t="inlineStr">
        <is>
          <t>decd35472a556fe7ec6a1f2dbe3a9442d125e0922854b785476227a376d02cf8</t>
        </is>
      </c>
      <c r="F56" s="3" t="inlineStr"/>
    </row>
    <row r="57">
      <c r="A57" s="3" t="inlineStr">
        <is>
          <t>E-0054</t>
        </is>
      </c>
      <c r="B57" s="3" t="inlineStr">
        <is>
          <t>telegram export\images\section_chats.png</t>
        </is>
      </c>
      <c r="C57" s="3" t="inlineStr">
        <is>
          <t>png</t>
        </is>
      </c>
      <c r="D57" s="3" t="n">
        <v>283</v>
      </c>
      <c r="E57" s="3" t="inlineStr">
        <is>
          <t>ca9e5266de6dc1c49dead1e1a1686f52c89b94c9904d0952fac607d1e3ed16b8</t>
        </is>
      </c>
      <c r="F57" s="3" t="inlineStr"/>
    </row>
    <row r="58">
      <c r="A58" s="3" t="inlineStr">
        <is>
          <t>E-0055</t>
        </is>
      </c>
      <c r="B58" s="3" t="inlineStr">
        <is>
          <t>telegram export\images\section_chats@2x.png</t>
        </is>
      </c>
      <c r="C58" s="3" t="inlineStr">
        <is>
          <t>png</t>
        </is>
      </c>
      <c r="D58" s="3" t="n">
        <v>454</v>
      </c>
      <c r="E58" s="3" t="inlineStr">
        <is>
          <t>929d283917cce08418ca2ee8f6355ca431f4877aa8804bd3819676b8343fb2a9</t>
        </is>
      </c>
      <c r="F58" s="3" t="inlineStr"/>
    </row>
    <row r="59">
      <c r="A59" s="3" t="inlineStr">
        <is>
          <t>E-0056</t>
        </is>
      </c>
      <c r="B59" s="3" t="inlineStr">
        <is>
          <t>telegram export\images\section_contacts.png</t>
        </is>
      </c>
      <c r="C59" s="3" t="inlineStr">
        <is>
          <t>png</t>
        </is>
      </c>
      <c r="D59" s="3" t="n">
        <v>508</v>
      </c>
      <c r="E59" s="3" t="inlineStr">
        <is>
          <t>47245024ccc91fad0f56df360abf699e84df2c45b3b866c3f25d0bae422752b8</t>
        </is>
      </c>
      <c r="F59" s="3" t="inlineStr"/>
    </row>
    <row r="60">
      <c r="A60" s="3" t="inlineStr">
        <is>
          <t>E-0057</t>
        </is>
      </c>
      <c r="B60" s="3" t="inlineStr">
        <is>
          <t>telegram export\images\section_contacts@2x.png</t>
        </is>
      </c>
      <c r="C60" s="3" t="inlineStr">
        <is>
          <t>png</t>
        </is>
      </c>
      <c r="D60" s="3" t="n">
        <v>1023</v>
      </c>
      <c r="E60" s="3" t="inlineStr">
        <is>
          <t>5281f4cf58c26149509e649e490a949941ac494b41e66dffc94e535cb2f57fc8</t>
        </is>
      </c>
      <c r="F60" s="3" t="inlineStr"/>
    </row>
    <row r="61">
      <c r="A61" s="3" t="inlineStr">
        <is>
          <t>E-0058</t>
        </is>
      </c>
      <c r="B61" s="3" t="inlineStr">
        <is>
          <t>telegram export\images\section_frequent.png</t>
        </is>
      </c>
      <c r="C61" s="3" t="inlineStr">
        <is>
          <t>png</t>
        </is>
      </c>
      <c r="D61" s="3" t="n">
        <v>771</v>
      </c>
      <c r="E61" s="3" t="inlineStr">
        <is>
          <t>260eee3b8cfc4169a085e4a3e22e699ad30f24fe6a4854655a27da83f6580fd4</t>
        </is>
      </c>
      <c r="F61" s="3" t="inlineStr"/>
    </row>
    <row r="62">
      <c r="A62" s="3" t="inlineStr">
        <is>
          <t>E-0059</t>
        </is>
      </c>
      <c r="B62" s="3" t="inlineStr">
        <is>
          <t>telegram export\images\section_frequent@2x.png</t>
        </is>
      </c>
      <c r="C62" s="3" t="inlineStr">
        <is>
          <t>png</t>
        </is>
      </c>
      <c r="D62" s="3" t="n">
        <v>1696</v>
      </c>
      <c r="E62" s="3" t="inlineStr">
        <is>
          <t>dd4b5697712bbe2adce7cfc56ca8af2498c07d072b8b7d3fd01bbba30b316101</t>
        </is>
      </c>
      <c r="F62" s="3" t="inlineStr"/>
    </row>
    <row r="63">
      <c r="A63" s="3" t="inlineStr">
        <is>
          <t>E-0060</t>
        </is>
      </c>
      <c r="B63" s="3" t="inlineStr">
        <is>
          <t>telegram export\images\section_music.png</t>
        </is>
      </c>
      <c r="C63" s="3" t="inlineStr">
        <is>
          <t>png</t>
        </is>
      </c>
      <c r="D63" s="3" t="n">
        <v>446</v>
      </c>
      <c r="E63" s="3" t="inlineStr">
        <is>
          <t>5006eab0a00fb29115c10ff2f5e3d06c1d498bcce18ab42c45b1de1467679a50</t>
        </is>
      </c>
      <c r="F63" s="3" t="inlineStr"/>
    </row>
    <row r="64">
      <c r="A64" s="3" t="inlineStr">
        <is>
          <t>E-0061</t>
        </is>
      </c>
      <c r="B64" s="3" t="inlineStr">
        <is>
          <t>telegram export\images\section_music@2x.png</t>
        </is>
      </c>
      <c r="C64" s="3" t="inlineStr">
        <is>
          <t>png</t>
        </is>
      </c>
      <c r="D64" s="3" t="n">
        <v>777</v>
      </c>
      <c r="E64" s="3" t="inlineStr">
        <is>
          <t>73fae04760c427ef863edeb1bbe450e2c62a6b03e1ea4562236cb9e12fee13a1</t>
        </is>
      </c>
      <c r="F64" s="3" t="inlineStr"/>
    </row>
    <row r="65">
      <c r="A65" s="3" t="inlineStr">
        <is>
          <t>E-0062</t>
        </is>
      </c>
      <c r="B65" s="3" t="inlineStr">
        <is>
          <t>telegram export\images\section_other.png</t>
        </is>
      </c>
      <c r="C65" s="3" t="inlineStr">
        <is>
          <t>png</t>
        </is>
      </c>
      <c r="D65" s="3" t="n">
        <v>155</v>
      </c>
      <c r="E65" s="3" t="inlineStr">
        <is>
          <t>3b294027c2b4ac851bdef44311abff17273cae69b2b58aa663fa7ec1ff2d0f53</t>
        </is>
      </c>
      <c r="F65" s="3" t="inlineStr"/>
    </row>
    <row r="66">
      <c r="A66" s="3" t="inlineStr">
        <is>
          <t>E-0063</t>
        </is>
      </c>
      <c r="B66" s="3" t="inlineStr">
        <is>
          <t>telegram export\images\section_other@2x.png</t>
        </is>
      </c>
      <c r="C66" s="3" t="inlineStr">
        <is>
          <t>png</t>
        </is>
      </c>
      <c r="D66" s="3" t="n">
        <v>269</v>
      </c>
      <c r="E66" s="3" t="inlineStr">
        <is>
          <t>44c9a8fffb338c7d9b8d55a9af0d51dbe2ec0551d0f518126b8f9993034e4c61</t>
        </is>
      </c>
      <c r="F66" s="3" t="inlineStr"/>
    </row>
    <row r="67">
      <c r="A67" s="3" t="inlineStr">
        <is>
          <t>E-0064</t>
        </is>
      </c>
      <c r="B67" s="3" t="inlineStr">
        <is>
          <t>telegram export\images\section_photos.png</t>
        </is>
      </c>
      <c r="C67" s="3" t="inlineStr">
        <is>
          <t>png</t>
        </is>
      </c>
      <c r="D67" s="3" t="n">
        <v>415</v>
      </c>
      <c r="E67" s="3" t="inlineStr">
        <is>
          <t>c71b8548036a5765377680d679a8f7d422dee5de03caf3580e1faca3ea9e06e5</t>
        </is>
      </c>
      <c r="F67" s="3" t="inlineStr"/>
    </row>
    <row r="68">
      <c r="A68" s="3" t="inlineStr">
        <is>
          <t>E-0065</t>
        </is>
      </c>
      <c r="B68" s="3" t="inlineStr">
        <is>
          <t>telegram export\images\section_photos@2x.png</t>
        </is>
      </c>
      <c r="C68" s="3" t="inlineStr">
        <is>
          <t>png</t>
        </is>
      </c>
      <c r="D68" s="3" t="n">
        <v>750</v>
      </c>
      <c r="E68" s="3" t="inlineStr">
        <is>
          <t>eea894213dc76077cffdd94155250b7a17562bffe0bfb9ee38651e325468ab33</t>
        </is>
      </c>
      <c r="F68" s="3" t="inlineStr"/>
    </row>
    <row r="69">
      <c r="A69" s="3" t="inlineStr">
        <is>
          <t>E-0066</t>
        </is>
      </c>
      <c r="B69" s="3" t="inlineStr">
        <is>
          <t>telegram export\images\section_sessions.png</t>
        </is>
      </c>
      <c r="C69" s="3" t="inlineStr">
        <is>
          <t>png</t>
        </is>
      </c>
      <c r="D69" s="3" t="n">
        <v>134</v>
      </c>
      <c r="E69" s="3" t="inlineStr">
        <is>
          <t>16aae7c60f3f52fad87c6483d3af62a01fca63457e06661aa460749e336781de</t>
        </is>
      </c>
      <c r="F69" s="3" t="inlineStr"/>
    </row>
    <row r="70">
      <c r="A70" s="3" t="inlineStr">
        <is>
          <t>E-0067</t>
        </is>
      </c>
      <c r="B70" s="3" t="inlineStr">
        <is>
          <t>telegram export\images\section_sessions@2x.png</t>
        </is>
      </c>
      <c r="C70" s="3" t="inlineStr">
        <is>
          <t>png</t>
        </is>
      </c>
      <c r="D70" s="3" t="n">
        <v>216</v>
      </c>
      <c r="E70" s="3" t="inlineStr">
        <is>
          <t>ed6f50d210cc6663b8ae3684537de8209dc4115918f7ab7eb6c9abb5d974438f</t>
        </is>
      </c>
      <c r="F70" s="3" t="inlineStr"/>
    </row>
    <row r="71">
      <c r="A71" s="3" t="inlineStr">
        <is>
          <t>E-0068</t>
        </is>
      </c>
      <c r="B71" s="3" t="inlineStr">
        <is>
          <t>telegram export\images\section_stories.png</t>
        </is>
      </c>
      <c r="C71" s="3" t="inlineStr">
        <is>
          <t>png</t>
        </is>
      </c>
      <c r="D71" s="3" t="n">
        <v>605</v>
      </c>
      <c r="E71" s="3" t="inlineStr">
        <is>
          <t>eb121c176f732f5b41043291044fe594e1760c04d30d029da54af069fd0eef95</t>
        </is>
      </c>
      <c r="F71" s="3" t="inlineStr"/>
    </row>
    <row r="72">
      <c r="A72" s="3" t="inlineStr">
        <is>
          <t>E-0069</t>
        </is>
      </c>
      <c r="B72" s="3" t="inlineStr">
        <is>
          <t>telegram export\images\section_stories@2x.png</t>
        </is>
      </c>
      <c r="C72" s="3" t="inlineStr">
        <is>
          <t>png</t>
        </is>
      </c>
      <c r="D72" s="3" t="n">
        <v>1120</v>
      </c>
      <c r="E72" s="3" t="inlineStr">
        <is>
          <t>6a17c90b58fd18511e4389422189f7ea860a35ce9bb84e0e4be21a2749718aff</t>
        </is>
      </c>
      <c r="F72" s="3" t="inlineStr"/>
    </row>
    <row r="73">
      <c r="A73" s="3" t="inlineStr">
        <is>
          <t>E-0070</t>
        </is>
      </c>
      <c r="B73" s="3" t="inlineStr">
        <is>
          <t>telegram export\images\section_web.png</t>
        </is>
      </c>
      <c r="C73" s="3" t="inlineStr">
        <is>
          <t>png</t>
        </is>
      </c>
      <c r="D73" s="3" t="n">
        <v>266</v>
      </c>
      <c r="E73" s="3" t="inlineStr">
        <is>
          <t>7216e849566eecc3ba8830ee80b1a0bda9aa21bad1ab65b204e353d63dbdccd6</t>
        </is>
      </c>
      <c r="F73" s="3" t="inlineStr"/>
    </row>
    <row r="74">
      <c r="A74" s="3" t="inlineStr">
        <is>
          <t>E-0071</t>
        </is>
      </c>
      <c r="B74" s="3" t="inlineStr">
        <is>
          <t>telegram export\images\section_web@2x.png</t>
        </is>
      </c>
      <c r="C74" s="3" t="inlineStr">
        <is>
          <t>png</t>
        </is>
      </c>
      <c r="D74" s="3" t="n">
        <v>447</v>
      </c>
      <c r="E74" s="3" t="inlineStr">
        <is>
          <t>8eb4e4f0952b60ad6305a46d5580ce4767522bc958cd5847eeec626f2d27d6ff</t>
        </is>
      </c>
      <c r="F74" s="3" t="inlineStr"/>
    </row>
    <row r="75">
      <c r="A75" s="3" t="inlineStr">
        <is>
          <t>E-0072</t>
        </is>
      </c>
      <c r="B75" s="3" t="inlineStr">
        <is>
          <t>telegram export\js\script.js</t>
        </is>
      </c>
      <c r="C75" s="3" t="inlineStr">
        <is>
          <t>js</t>
        </is>
      </c>
      <c r="D75" s="3" t="n">
        <v>7495</v>
      </c>
      <c r="E75" s="3" t="inlineStr">
        <is>
          <t>93beb620191fcb10db4d129446970d710db08d8c2f1883f6282ead49753b1ce4</t>
        </is>
      </c>
      <c r="F75" s="3" t="inlineStr"/>
    </row>
    <row r="76">
      <c r="A76" s="3" t="inlineStr">
        <is>
          <t>E-0073</t>
        </is>
      </c>
      <c r="B76" s="3" t="inlineStr">
        <is>
          <t>telegram export\messages.html</t>
        </is>
      </c>
      <c r="C76" s="3" t="inlineStr">
        <is>
          <t>html</t>
        </is>
      </c>
      <c r="D76" s="3" t="n">
        <v>116651</v>
      </c>
      <c r="E76" s="3" t="inlineStr">
        <is>
          <t>4ac19a5c1db97672da0893539fa00e862d2f986c2b12a577bfe816891b24e7e4</t>
        </is>
      </c>
      <c r="F76" s="3" t="inlineStr">
        <is>
          <t>آرشیو HTML تلگرام؛ 188 پیام.</t>
        </is>
      </c>
    </row>
    <row r="77">
      <c r="A77" s="3" t="inlineStr">
        <is>
          <t>E-0074</t>
        </is>
      </c>
      <c r="B77" s="3" t="inlineStr">
        <is>
          <t>telegram export\photos\photo_10@15-08-2025_18-28-22.jpg</t>
        </is>
      </c>
      <c r="C77" s="3" t="inlineStr">
        <is>
          <t>jpg</t>
        </is>
      </c>
      <c r="D77" s="3" t="n">
        <v>74672</v>
      </c>
      <c r="E77" s="3" t="inlineStr">
        <is>
          <t>28455c00bd0229cddc0b8874a8b025fc25700f4e553b6c67bdfc9082b2cad0b7</t>
        </is>
      </c>
      <c r="F77" s="3" t="inlineStr"/>
    </row>
    <row r="78">
      <c r="A78" s="3" t="inlineStr">
        <is>
          <t>E-0075</t>
        </is>
      </c>
      <c r="B78" s="3" t="inlineStr">
        <is>
          <t>telegram export\photos\photo_10@15-08-2025_18-28-22_thumb.jpg</t>
        </is>
      </c>
      <c r="C78" s="3" t="inlineStr">
        <is>
          <t>jpg</t>
        </is>
      </c>
      <c r="D78" s="3" t="n">
        <v>19340</v>
      </c>
      <c r="E78" s="3" t="inlineStr">
        <is>
          <t>a58bc000f93a895581fe1d589a7b9a591f161334aac4868bebfcb5d07dbae70e</t>
        </is>
      </c>
      <c r="F78" s="3" t="inlineStr"/>
    </row>
    <row r="79">
      <c r="A79" s="3" t="inlineStr">
        <is>
          <t>E-0076</t>
        </is>
      </c>
      <c r="B79" s="3" t="inlineStr">
        <is>
          <t>telegram export\photos\photo_11@04-09-2025_14-05-56.jpg</t>
        </is>
      </c>
      <c r="C79" s="3" t="inlineStr">
        <is>
          <t>jpg</t>
        </is>
      </c>
      <c r="D79" s="3" t="n">
        <v>56585</v>
      </c>
      <c r="E79" s="3" t="inlineStr">
        <is>
          <t>dba6c9549b471a9a2d016b29b57970c53eedf21a4f80e3a841478cf04784555e</t>
        </is>
      </c>
      <c r="F79" s="3" t="inlineStr"/>
    </row>
    <row r="80">
      <c r="A80" s="3" t="inlineStr">
        <is>
          <t>E-0077</t>
        </is>
      </c>
      <c r="B80" s="3" t="inlineStr">
        <is>
          <t>telegram export\photos\photo_11@04-09-2025_14-05-56_thumb.jpg</t>
        </is>
      </c>
      <c r="C80" s="3" t="inlineStr">
        <is>
          <t>jpg</t>
        </is>
      </c>
      <c r="D80" s="3" t="n">
        <v>11956</v>
      </c>
      <c r="E80" s="3" t="inlineStr">
        <is>
          <t>9f8106459480bbb120b614b9d92d4f3c0c1627a89706ac860e23d53fa2179cb5</t>
        </is>
      </c>
      <c r="F80" s="3" t="inlineStr"/>
    </row>
    <row r="81">
      <c r="A81" s="3" t="inlineStr">
        <is>
          <t>E-0078</t>
        </is>
      </c>
      <c r="B81" s="3" t="inlineStr">
        <is>
          <t>telegram export\photos\photo_12@01-10-2025_18-02-44.jpg</t>
        </is>
      </c>
      <c r="C81" s="3" t="inlineStr">
        <is>
          <t>jpg</t>
        </is>
      </c>
      <c r="D81" s="3" t="n">
        <v>48640</v>
      </c>
      <c r="E81" s="3" t="inlineStr">
        <is>
          <t>6295ac27d8bc4463d51132d3a86a8e01dc37946b107ee50d0c77ceffe9470b4c</t>
        </is>
      </c>
      <c r="F81" s="3" t="inlineStr"/>
    </row>
    <row r="82">
      <c r="A82" s="3" t="inlineStr">
        <is>
          <t>E-0079</t>
        </is>
      </c>
      <c r="B82" s="3" t="inlineStr">
        <is>
          <t>telegram export\photos\photo_12@01-10-2025_18-02-44_thumb.jpg</t>
        </is>
      </c>
      <c r="C82" s="3" t="inlineStr">
        <is>
          <t>jpg</t>
        </is>
      </c>
      <c r="D82" s="3" t="n">
        <v>12829</v>
      </c>
      <c r="E82" s="3" t="inlineStr">
        <is>
          <t>7a3dab5ba89236fe2f1d060e1ff1e30d19943ed70b11df61e58ac0013d5c0848</t>
        </is>
      </c>
      <c r="F82" s="3" t="inlineStr"/>
    </row>
    <row r="83">
      <c r="A83" s="3" t="inlineStr">
        <is>
          <t>E-0080</t>
        </is>
      </c>
      <c r="B83" s="3" t="inlineStr">
        <is>
          <t>telegram export\photos\photo_13@12-10-2025_10-24-38.jpg</t>
        </is>
      </c>
      <c r="C83" s="3" t="inlineStr">
        <is>
          <t>jpg</t>
        </is>
      </c>
      <c r="D83" s="3" t="n">
        <v>66592</v>
      </c>
      <c r="E83" s="3" t="inlineStr">
        <is>
          <t>6d79bcdee6b1e2fb274811a327e44deb472e519ef16ca2cb2633fddb9da7e083</t>
        </is>
      </c>
      <c r="F83" s="3" t="inlineStr"/>
    </row>
    <row r="84">
      <c r="A84" s="3" t="inlineStr">
        <is>
          <t>E-0081</t>
        </is>
      </c>
      <c r="B84" s="3" t="inlineStr">
        <is>
          <t>telegram export\photos\photo_13@12-10-2025_10-24-38_thumb.jpg</t>
        </is>
      </c>
      <c r="C84" s="3" t="inlineStr">
        <is>
          <t>jpg</t>
        </is>
      </c>
      <c r="D84" s="3" t="n">
        <v>16419</v>
      </c>
      <c r="E84" s="3" t="inlineStr">
        <is>
          <t>ca78629b1c33be06e039ea82af1ee7c3c83c93d8b32bb6d934df0e15ecd6bf96</t>
        </is>
      </c>
      <c r="F84" s="3" t="inlineStr"/>
    </row>
    <row r="85">
      <c r="A85" s="3" t="inlineStr">
        <is>
          <t>E-0082</t>
        </is>
      </c>
      <c r="B85" s="3" t="inlineStr">
        <is>
          <t>telegram export\photos\photo_14@15-10-2025_14-18-25.jpg</t>
        </is>
      </c>
      <c r="C85" s="3" t="inlineStr">
        <is>
          <t>jpg</t>
        </is>
      </c>
      <c r="D85" s="3" t="n">
        <v>69226</v>
      </c>
      <c r="E85" s="3" t="inlineStr">
        <is>
          <t>b214b33a77c58bb0428ba09719496e21696b82ae4055292c9711694e4e16fd3b</t>
        </is>
      </c>
      <c r="F85" s="3" t="inlineStr"/>
    </row>
    <row r="86">
      <c r="A86" s="3" t="inlineStr">
        <is>
          <t>E-0083</t>
        </is>
      </c>
      <c r="B86" s="3" t="inlineStr">
        <is>
          <t>telegram export\photos\photo_14@15-10-2025_14-18-25_thumb.jpg</t>
        </is>
      </c>
      <c r="C86" s="3" t="inlineStr">
        <is>
          <t>jpg</t>
        </is>
      </c>
      <c r="D86" s="3" t="n">
        <v>16784</v>
      </c>
      <c r="E86" s="3" t="inlineStr">
        <is>
          <t>3de324a0cbce4cd86687c8ce373a2a362b257aedc756937245498853e088c631</t>
        </is>
      </c>
      <c r="F86" s="3" t="inlineStr"/>
    </row>
    <row r="87">
      <c r="A87" s="3" t="inlineStr">
        <is>
          <t>E-0084</t>
        </is>
      </c>
      <c r="B87" s="3" t="inlineStr">
        <is>
          <t>telegram export\photos\photo_15@15-10-2025_14-18-25.jpg</t>
        </is>
      </c>
      <c r="C87" s="3" t="inlineStr">
        <is>
          <t>jpg</t>
        </is>
      </c>
      <c r="D87" s="3" t="n">
        <v>64998</v>
      </c>
      <c r="E87" s="3" t="inlineStr">
        <is>
          <t>f31ffa6bdd2395d18e073911daffc69b21952eaef6f5b1d6bcf7beacb8193f96</t>
        </is>
      </c>
      <c r="F87" s="3" t="inlineStr"/>
    </row>
    <row r="88">
      <c r="A88" s="3" t="inlineStr">
        <is>
          <t>E-0085</t>
        </is>
      </c>
      <c r="B88" s="3" t="inlineStr">
        <is>
          <t>telegram export\photos\photo_15@15-10-2025_14-18-25_thumb.jpg</t>
        </is>
      </c>
      <c r="C88" s="3" t="inlineStr">
        <is>
          <t>jpg</t>
        </is>
      </c>
      <c r="D88" s="3" t="n">
        <v>15789</v>
      </c>
      <c r="E88" s="3" t="inlineStr">
        <is>
          <t>84fb83569f92c36bf2e3c51ac122373c4e7a8a5d504aea145cb17e75890c355f</t>
        </is>
      </c>
      <c r="F88" s="3" t="inlineStr"/>
    </row>
    <row r="89">
      <c r="A89" s="3" t="inlineStr">
        <is>
          <t>E-0086</t>
        </is>
      </c>
      <c r="B89" s="3" t="inlineStr">
        <is>
          <t>telegram export\photos\photo_16@15-10-2025_14-18-26.jpg</t>
        </is>
      </c>
      <c r="C89" s="3" t="inlineStr">
        <is>
          <t>jpg</t>
        </is>
      </c>
      <c r="D89" s="3" t="n">
        <v>68536</v>
      </c>
      <c r="E89" s="3" t="inlineStr">
        <is>
          <t>28db8e201da1e5584cadcf90b8a007d7293f769983b96c5cee2f7e2e3fd3fa83</t>
        </is>
      </c>
      <c r="F89" s="3" t="inlineStr"/>
    </row>
    <row r="90">
      <c r="A90" s="3" t="inlineStr">
        <is>
          <t>E-0087</t>
        </is>
      </c>
      <c r="B90" s="3" t="inlineStr">
        <is>
          <t>telegram export\photos\photo_16@15-10-2025_14-18-26_thumb.jpg</t>
        </is>
      </c>
      <c r="C90" s="3" t="inlineStr">
        <is>
          <t>jpg</t>
        </is>
      </c>
      <c r="D90" s="3" t="n">
        <v>16693</v>
      </c>
      <c r="E90" s="3" t="inlineStr">
        <is>
          <t>c7bd027fc6bd99deb502d1822fd56939c697dda1833cfd10a129ee0bd2105649</t>
        </is>
      </c>
      <c r="F90" s="3" t="inlineStr"/>
    </row>
    <row r="91">
      <c r="A91" s="3" t="inlineStr">
        <is>
          <t>E-0088</t>
        </is>
      </c>
      <c r="B91" s="3" t="inlineStr">
        <is>
          <t>telegram export\photos\photo_17@15-10-2025_14-18-26.jpg</t>
        </is>
      </c>
      <c r="C91" s="3" t="inlineStr">
        <is>
          <t>jpg</t>
        </is>
      </c>
      <c r="D91" s="3" t="n">
        <v>68859</v>
      </c>
      <c r="E91" s="3" t="inlineStr">
        <is>
          <t>ed8841b0f4a343d505b7aecc8f250fbe6f41fbcf2dcf64ca77e75a72fcf51b2b</t>
        </is>
      </c>
      <c r="F91" s="3" t="inlineStr"/>
    </row>
    <row r="92">
      <c r="A92" s="3" t="inlineStr">
        <is>
          <t>E-0089</t>
        </is>
      </c>
      <c r="B92" s="3" t="inlineStr">
        <is>
          <t>telegram export\photos\photo_17@15-10-2025_14-18-26_thumb.jpg</t>
        </is>
      </c>
      <c r="C92" s="3" t="inlineStr">
        <is>
          <t>jpg</t>
        </is>
      </c>
      <c r="D92" s="3" t="n">
        <v>16713</v>
      </c>
      <c r="E92" s="3" t="inlineStr">
        <is>
          <t>af6afb8ea0aded3da55da30c939ceaea95050ffdb0cfdbb8f68bf9d88193eec4</t>
        </is>
      </c>
      <c r="F92" s="3" t="inlineStr"/>
    </row>
    <row r="93">
      <c r="A93" s="3" t="inlineStr">
        <is>
          <t>E-0090</t>
        </is>
      </c>
      <c r="B93" s="3" t="inlineStr">
        <is>
          <t>telegram export\photos\photo_18@28-10-2025_01-53-01.jpg</t>
        </is>
      </c>
      <c r="C93" s="3" t="inlineStr">
        <is>
          <t>jpg</t>
        </is>
      </c>
      <c r="D93" s="3" t="n">
        <v>69491</v>
      </c>
      <c r="E93" s="3" t="inlineStr">
        <is>
          <t>52872081d1c4fc01e8f48c9cae4df8a96c78c269d03384ab89a398a382fda9e2</t>
        </is>
      </c>
      <c r="F93" s="3" t="inlineStr"/>
    </row>
    <row r="94">
      <c r="A94" s="3" t="inlineStr">
        <is>
          <t>E-0091</t>
        </is>
      </c>
      <c r="B94" s="3" t="inlineStr">
        <is>
          <t>telegram export\photos\photo_18@28-10-2025_01-53-01_thumb.jpg</t>
        </is>
      </c>
      <c r="C94" s="3" t="inlineStr">
        <is>
          <t>jpg</t>
        </is>
      </c>
      <c r="D94" s="3" t="n">
        <v>16622</v>
      </c>
      <c r="E94" s="3" t="inlineStr">
        <is>
          <t>ba9400987c4ce862652ea4cdc5a2749ef5eb964dd21ee34afeed9d767f11135b</t>
        </is>
      </c>
      <c r="F94" s="3" t="inlineStr"/>
    </row>
    <row r="95">
      <c r="A95" s="3" t="inlineStr">
        <is>
          <t>E-0092</t>
        </is>
      </c>
      <c r="B95" s="3" t="inlineStr">
        <is>
          <t>telegram export\photos\photo_19@28-10-2025_01-58-07.jpg</t>
        </is>
      </c>
      <c r="C95" s="3" t="inlineStr">
        <is>
          <t>jpg</t>
        </is>
      </c>
      <c r="D95" s="3" t="n">
        <v>65290</v>
      </c>
      <c r="E95" s="3" t="inlineStr">
        <is>
          <t>6406d711ff22151beab2efc5ad32dff29634b42c4df6d6c1de3e76cff738b2ca</t>
        </is>
      </c>
      <c r="F95" s="3" t="inlineStr"/>
    </row>
    <row r="96">
      <c r="A96" s="3" t="inlineStr">
        <is>
          <t>E-0093</t>
        </is>
      </c>
      <c r="B96" s="3" t="inlineStr">
        <is>
          <t>telegram export\photos\photo_19@28-10-2025_01-58-07_thumb.jpg</t>
        </is>
      </c>
      <c r="C96" s="3" t="inlineStr">
        <is>
          <t>jpg</t>
        </is>
      </c>
      <c r="D96" s="3" t="n">
        <v>15953</v>
      </c>
      <c r="E96" s="3" t="inlineStr">
        <is>
          <t>d73cf6078c5dd5fe790c237a9ee677dbe5c77af8936bd6999dd20e61d97cab6b</t>
        </is>
      </c>
      <c r="F96" s="3" t="inlineStr"/>
    </row>
    <row r="97">
      <c r="A97" s="3" t="inlineStr">
        <is>
          <t>E-0094</t>
        </is>
      </c>
      <c r="B97" s="3" t="inlineStr">
        <is>
          <t>telegram export\photos\photo_1@24-07-2025_21-00-16.jpg</t>
        </is>
      </c>
      <c r="C97" s="3" t="inlineStr">
        <is>
          <t>jpg</t>
        </is>
      </c>
      <c r="D97" s="3" t="n">
        <v>73477</v>
      </c>
      <c r="E97" s="3" t="inlineStr">
        <is>
          <t>79265bb04e6428f336712238ba43edcc9065f4a4313a8b75c7f937a113c99ce2</t>
        </is>
      </c>
      <c r="F97" s="3" t="inlineStr"/>
    </row>
    <row r="98">
      <c r="A98" s="3" t="inlineStr">
        <is>
          <t>E-0095</t>
        </is>
      </c>
      <c r="B98" s="3" t="inlineStr">
        <is>
          <t>telegram export\photos\photo_1@24-07-2025_21-00-16_thumb.jpg</t>
        </is>
      </c>
      <c r="C98" s="3" t="inlineStr">
        <is>
          <t>jpg</t>
        </is>
      </c>
      <c r="D98" s="3" t="n">
        <v>19181</v>
      </c>
      <c r="E98" s="3" t="inlineStr">
        <is>
          <t>9a3f8444cbf313e927f97d5afc0d168e2a4505602b7fe6440e05c446a15a32dc</t>
        </is>
      </c>
      <c r="F98" s="3" t="inlineStr"/>
    </row>
    <row r="99">
      <c r="A99" s="3" t="inlineStr">
        <is>
          <t>E-0096</t>
        </is>
      </c>
      <c r="B99" s="3" t="inlineStr">
        <is>
          <t>telegram export\photos\photo_20@28-10-2025_22-07-57.jpg</t>
        </is>
      </c>
      <c r="C99" s="3" t="inlineStr">
        <is>
          <t>jpg</t>
        </is>
      </c>
      <c r="D99" s="3" t="n">
        <v>145202</v>
      </c>
      <c r="E99" s="3" t="inlineStr">
        <is>
          <t>18a41c8ef151421d6a8438c0c292c313bd9d69817efed89507abf1bb0e852e6b</t>
        </is>
      </c>
      <c r="F99" s="3" t="inlineStr"/>
    </row>
    <row r="100">
      <c r="A100" s="3" t="inlineStr">
        <is>
          <t>E-0097</t>
        </is>
      </c>
      <c r="B100" s="3" t="inlineStr">
        <is>
          <t>telegram export\photos\photo_20@28-10-2025_22-07-57_thumb.jpg</t>
        </is>
      </c>
      <c r="C100" s="3" t="inlineStr">
        <is>
          <t>jpg</t>
        </is>
      </c>
      <c r="D100" s="3" t="n">
        <v>20871</v>
      </c>
      <c r="E100" s="3" t="inlineStr">
        <is>
          <t>0d0db25211669ae89444ea3dc5a9fdc934c48b9e200db0615285f3b128c3edfc</t>
        </is>
      </c>
      <c r="F100" s="3" t="inlineStr"/>
    </row>
    <row r="101">
      <c r="A101" s="3" t="inlineStr">
        <is>
          <t>E-0098</t>
        </is>
      </c>
      <c r="B101" s="3" t="inlineStr">
        <is>
          <t>telegram export\photos\photo_21@09-11-2025_23-16-09.jpg</t>
        </is>
      </c>
      <c r="C101" s="3" t="inlineStr">
        <is>
          <t>jpg</t>
        </is>
      </c>
      <c r="D101" s="3" t="n">
        <v>89073</v>
      </c>
      <c r="E101" s="3" t="inlineStr">
        <is>
          <t>430d605cb4bf4e4aaaf901e209b69c43c2d82946451612543b40ef112ba1fe22</t>
        </is>
      </c>
      <c r="F101" s="3" t="inlineStr"/>
    </row>
    <row r="102">
      <c r="A102" s="3" t="inlineStr">
        <is>
          <t>E-0099</t>
        </is>
      </c>
      <c r="B102" s="3" t="inlineStr">
        <is>
          <t>telegram export\photos\photo_21@09-11-2025_23-16-09_thumb.jpg</t>
        </is>
      </c>
      <c r="C102" s="3" t="inlineStr">
        <is>
          <t>jpg</t>
        </is>
      </c>
      <c r="D102" s="3" t="n">
        <v>18519</v>
      </c>
      <c r="E102" s="3" t="inlineStr">
        <is>
          <t>3c9a1b7b10dfae82193793e9a2520ff1b984bf12c5ab6ae262d88acb5b2a985b</t>
        </is>
      </c>
      <c r="F102" s="3" t="inlineStr"/>
    </row>
    <row r="103">
      <c r="A103" s="3" t="inlineStr">
        <is>
          <t>E-0100</t>
        </is>
      </c>
      <c r="B103" s="3" t="inlineStr">
        <is>
          <t>telegram export\photos\photo_22@09-11-2025_23-16-15.jpg</t>
        </is>
      </c>
      <c r="C103" s="3" t="inlineStr">
        <is>
          <t>jpg</t>
        </is>
      </c>
      <c r="D103" s="3" t="n">
        <v>84952</v>
      </c>
      <c r="E103" s="3" t="inlineStr">
        <is>
          <t>64e9c8107140b08a348e146533350e8bd264e2f59b1f09ade0e80ba76639f360</t>
        </is>
      </c>
      <c r="F103" s="3" t="inlineStr"/>
    </row>
    <row r="104">
      <c r="A104" s="3" t="inlineStr">
        <is>
          <t>E-0101</t>
        </is>
      </c>
      <c r="B104" s="3" t="inlineStr">
        <is>
          <t>telegram export\photos\photo_22@09-11-2025_23-16-15_thumb.jpg</t>
        </is>
      </c>
      <c r="C104" s="3" t="inlineStr">
        <is>
          <t>jpg</t>
        </is>
      </c>
      <c r="D104" s="3" t="n">
        <v>17127</v>
      </c>
      <c r="E104" s="3" t="inlineStr">
        <is>
          <t>223fb06780f3e800faa594cac7eec7de79fccb5ab7a14b63a200dc0606164f71</t>
        </is>
      </c>
      <c r="F104" s="3" t="inlineStr"/>
    </row>
    <row r="105">
      <c r="A105" s="3" t="inlineStr">
        <is>
          <t>E-0102</t>
        </is>
      </c>
      <c r="B105" s="3" t="inlineStr">
        <is>
          <t>telegram export\photos\photo_23@14-11-2025_04-07-19.jpg</t>
        </is>
      </c>
      <c r="C105" s="3" t="inlineStr">
        <is>
          <t>jpg</t>
        </is>
      </c>
      <c r="D105" s="3" t="n">
        <v>65632</v>
      </c>
      <c r="E105" s="3" t="inlineStr">
        <is>
          <t>7003f7a94da98c211e78490a0c98ad1e5681266cb40708889b8d9b8cb66f3455</t>
        </is>
      </c>
      <c r="F105" s="3" t="inlineStr"/>
    </row>
    <row r="106">
      <c r="A106" s="3" t="inlineStr">
        <is>
          <t>E-0103</t>
        </is>
      </c>
      <c r="B106" s="3" t="inlineStr">
        <is>
          <t>telegram export\photos\photo_23@14-11-2025_04-07-19_thumb.jpg</t>
        </is>
      </c>
      <c r="C106" s="3" t="inlineStr">
        <is>
          <t>jpg</t>
        </is>
      </c>
      <c r="D106" s="3" t="n">
        <v>16038</v>
      </c>
      <c r="E106" s="3" t="inlineStr">
        <is>
          <t>3d731a87bf9b4b2bbc8b8859bb6e1bb59b5fec3ccf7c9e0e97703cc31be5827f</t>
        </is>
      </c>
      <c r="F106" s="3" t="inlineStr"/>
    </row>
    <row r="107">
      <c r="A107" s="3" t="inlineStr">
        <is>
          <t>E-0104</t>
        </is>
      </c>
      <c r="B107" s="3" t="inlineStr">
        <is>
          <t>telegram export\photos\photo_24@14-11-2025_04-07-19.jpg</t>
        </is>
      </c>
      <c r="C107" s="3" t="inlineStr">
        <is>
          <t>jpg</t>
        </is>
      </c>
      <c r="D107" s="3" t="n">
        <v>66823</v>
      </c>
      <c r="E107" s="3" t="inlineStr">
        <is>
          <t>2944f175b5256a669c1a6407a09eecb566d715c37dd54b80eed0cee2ae943f0c</t>
        </is>
      </c>
      <c r="F107" s="3" t="inlineStr"/>
    </row>
    <row r="108">
      <c r="A108" s="3" t="inlineStr">
        <is>
          <t>E-0105</t>
        </is>
      </c>
      <c r="B108" s="3" t="inlineStr">
        <is>
          <t>telegram export\photos\photo_24@14-11-2025_04-07-19_thumb.jpg</t>
        </is>
      </c>
      <c r="C108" s="3" t="inlineStr">
        <is>
          <t>jpg</t>
        </is>
      </c>
      <c r="D108" s="3" t="n">
        <v>16187</v>
      </c>
      <c r="E108" s="3" t="inlineStr">
        <is>
          <t>8689affcc732f6f63089395e2c599659665d09295b88f7c2fcdd5196f50a49b2</t>
        </is>
      </c>
      <c r="F108" s="3" t="inlineStr"/>
    </row>
    <row r="109">
      <c r="A109" s="3" t="inlineStr">
        <is>
          <t>E-0106</t>
        </is>
      </c>
      <c r="B109" s="3" t="inlineStr">
        <is>
          <t>telegram export\photos\photo_25@19-11-2025_11-46-31.jpg</t>
        </is>
      </c>
      <c r="C109" s="3" t="inlineStr">
        <is>
          <t>jpg</t>
        </is>
      </c>
      <c r="D109" s="3" t="n">
        <v>18253</v>
      </c>
      <c r="E109" s="3" t="inlineStr">
        <is>
          <t>5c7d3623f81cfec1c847235a9e6124fc4d7090687911db318684c83dc455de7f</t>
        </is>
      </c>
      <c r="F109" s="3" t="inlineStr"/>
    </row>
    <row r="110">
      <c r="A110" s="3" t="inlineStr">
        <is>
          <t>E-0107</t>
        </is>
      </c>
      <c r="B110" s="3" t="inlineStr">
        <is>
          <t>telegram export\photos\photo_25@19-11-2025_11-46-31_thumb.jpg</t>
        </is>
      </c>
      <c r="C110" s="3" t="inlineStr">
        <is>
          <t>jpg</t>
        </is>
      </c>
      <c r="D110" s="3" t="n">
        <v>6086</v>
      </c>
      <c r="E110" s="3" t="inlineStr">
        <is>
          <t>c99b032b5b6a845901bffb603d6a8f66b3d147201080bcfad77adbf014d6013d</t>
        </is>
      </c>
      <c r="F110" s="3" t="inlineStr"/>
    </row>
    <row r="111">
      <c r="A111" s="3" t="inlineStr">
        <is>
          <t>E-0108</t>
        </is>
      </c>
      <c r="B111" s="3" t="inlineStr">
        <is>
          <t>telegram export\photos\photo_26@21-12-2025_05-36-21.jpg</t>
        </is>
      </c>
      <c r="C111" s="3" t="inlineStr">
        <is>
          <t>jpg</t>
        </is>
      </c>
      <c r="D111" s="3" t="n">
        <v>35321</v>
      </c>
      <c r="E111" s="3" t="inlineStr">
        <is>
          <t>a7ff8727fc0c461dc0be5e4bbc9c6c1409720229eae30931e3ae85f417819512</t>
        </is>
      </c>
      <c r="F111" s="3" t="inlineStr"/>
    </row>
    <row r="112">
      <c r="A112" s="3" t="inlineStr">
        <is>
          <t>E-0109</t>
        </is>
      </c>
      <c r="B112" s="3" t="inlineStr">
        <is>
          <t>telegram export\photos\photo_26@21-12-2025_05-36-21_thumb.jpg</t>
        </is>
      </c>
      <c r="C112" s="3" t="inlineStr">
        <is>
          <t>jpg</t>
        </is>
      </c>
      <c r="D112" s="3" t="n">
        <v>12147</v>
      </c>
      <c r="E112" s="3" t="inlineStr">
        <is>
          <t>f8859f2d098ab865f32aa9561a2a7fb2438915a66e4942adcea3c50e8b70f9a4</t>
        </is>
      </c>
      <c r="F112" s="3" t="inlineStr"/>
    </row>
    <row r="113">
      <c r="A113" s="3" t="inlineStr">
        <is>
          <t>E-0110</t>
        </is>
      </c>
      <c r="B113" s="3" t="inlineStr">
        <is>
          <t>telegram export\photos\photo_27@17-05-2026_19-45-07.jpg</t>
        </is>
      </c>
      <c r="C113" s="3" t="inlineStr">
        <is>
          <t>jpg</t>
        </is>
      </c>
      <c r="D113" s="3" t="n">
        <v>71982</v>
      </c>
      <c r="E113" s="3" t="inlineStr">
        <is>
          <t>e0e7050e5e9b2018e96723ae4831b7cdcbf4f3d79406e74efb72a47e928fe9e5</t>
        </is>
      </c>
      <c r="F113" s="3" t="inlineStr"/>
    </row>
    <row r="114">
      <c r="A114" s="3" t="inlineStr">
        <is>
          <t>E-0111</t>
        </is>
      </c>
      <c r="B114" s="3" t="inlineStr">
        <is>
          <t>telegram export\photos\photo_27@17-05-2026_19-45-07_thumb.jpg</t>
        </is>
      </c>
      <c r="C114" s="3" t="inlineStr">
        <is>
          <t>jpg</t>
        </is>
      </c>
      <c r="D114" s="3" t="n">
        <v>17099</v>
      </c>
      <c r="E114" s="3" t="inlineStr">
        <is>
          <t>2c720d92b1c24e952486a187e5286d924ef609e598a88124d9f02bc6cdb1f93d</t>
        </is>
      </c>
      <c r="F114" s="3" t="inlineStr"/>
    </row>
    <row r="115">
      <c r="A115" s="3" t="inlineStr">
        <is>
          <t>E-0112</t>
        </is>
      </c>
      <c r="B115" s="3" t="inlineStr">
        <is>
          <t>telegram export\photos\photo_28@17-05-2026_19-45-07.jpg</t>
        </is>
      </c>
      <c r="C115" s="3" t="inlineStr">
        <is>
          <t>jpg</t>
        </is>
      </c>
      <c r="D115" s="3" t="n">
        <v>72527</v>
      </c>
      <c r="E115" s="3" t="inlineStr">
        <is>
          <t>a79a95c1f0e5d599fc42a26df85ffafea142c9cc7caa622a0a1b3e9d5b7dae31</t>
        </is>
      </c>
      <c r="F115" s="3" t="inlineStr"/>
    </row>
    <row r="116">
      <c r="A116" s="3" t="inlineStr">
        <is>
          <t>E-0113</t>
        </is>
      </c>
      <c r="B116" s="3" t="inlineStr">
        <is>
          <t>telegram export\photos\photo_28@17-05-2026_19-45-07_thumb.jpg</t>
        </is>
      </c>
      <c r="C116" s="3" t="inlineStr">
        <is>
          <t>jpg</t>
        </is>
      </c>
      <c r="D116" s="3" t="n">
        <v>17136</v>
      </c>
      <c r="E116" s="3" t="inlineStr">
        <is>
          <t>14ac73af1f9c0b1dd324ff300546cf56a8259e2d3ced8cc746b8f76cdd4ab95b</t>
        </is>
      </c>
      <c r="F116" s="3" t="inlineStr"/>
    </row>
    <row r="117">
      <c r="A117" s="3" t="inlineStr">
        <is>
          <t>E-0114</t>
        </is>
      </c>
      <c r="B117" s="3" t="inlineStr">
        <is>
          <t>telegram export\photos\photo_29@27-06-2026_18-24-14.jpg</t>
        </is>
      </c>
      <c r="C117" s="3" t="inlineStr">
        <is>
          <t>jpg</t>
        </is>
      </c>
      <c r="D117" s="3" t="n">
        <v>89975</v>
      </c>
      <c r="E117" s="3" t="inlineStr">
        <is>
          <t>fdfebe75ba5891f2dbc84e11ef7625558452b73f3ce3b50b63d9c1745a4385b5</t>
        </is>
      </c>
      <c r="F117" s="3" t="inlineStr"/>
    </row>
    <row r="118">
      <c r="A118" s="3" t="inlineStr">
        <is>
          <t>E-0115</t>
        </is>
      </c>
      <c r="B118" s="3" t="inlineStr">
        <is>
          <t>telegram export\photos\photo_29@27-06-2026_18-24-14_thumb.jpg</t>
        </is>
      </c>
      <c r="C118" s="3" t="inlineStr">
        <is>
          <t>jpg</t>
        </is>
      </c>
      <c r="D118" s="3" t="n">
        <v>15819</v>
      </c>
      <c r="E118" s="3" t="inlineStr">
        <is>
          <t>046059439c0d12a22219ee7878d8708118c77740f13c2e92dda4664fdeb23719</t>
        </is>
      </c>
      <c r="F118" s="3" t="inlineStr"/>
    </row>
    <row r="119">
      <c r="A119" s="3" t="inlineStr">
        <is>
          <t>E-0116</t>
        </is>
      </c>
      <c r="B119" s="3" t="inlineStr">
        <is>
          <t>telegram export\photos\photo_2@24-07-2025_21-00-17.jpg</t>
        </is>
      </c>
      <c r="C119" s="3" t="inlineStr">
        <is>
          <t>jpg</t>
        </is>
      </c>
      <c r="D119" s="3" t="n">
        <v>74772</v>
      </c>
      <c r="E119" s="3" t="inlineStr">
        <is>
          <t>9d1cc7913277237d5bf999452661d8ab00c1add42d2751e54bfa96521f756b17</t>
        </is>
      </c>
      <c r="F119" s="3" t="inlineStr"/>
    </row>
    <row r="120">
      <c r="A120" s="3" t="inlineStr">
        <is>
          <t>E-0117</t>
        </is>
      </c>
      <c r="B120" s="3" t="inlineStr">
        <is>
          <t>telegram export\photos\photo_2@24-07-2025_21-00-17_thumb.jpg</t>
        </is>
      </c>
      <c r="C120" s="3" t="inlineStr">
        <is>
          <t>jpg</t>
        </is>
      </c>
      <c r="D120" s="3" t="n">
        <v>19380</v>
      </c>
      <c r="E120" s="3" t="inlineStr">
        <is>
          <t>45b4c54bf0c938724ba5f4456740260bf193c754914788523bcf8b428fa416ba</t>
        </is>
      </c>
      <c r="F120" s="3" t="inlineStr"/>
    </row>
    <row r="121">
      <c r="A121" s="3" t="inlineStr">
        <is>
          <t>E-0118</t>
        </is>
      </c>
      <c r="B121" s="3" t="inlineStr">
        <is>
          <t>telegram export\photos\photo_30@27-06-2026_18-24-31.jpg</t>
        </is>
      </c>
      <c r="C121" s="3" t="inlineStr">
        <is>
          <t>jpg</t>
        </is>
      </c>
      <c r="D121" s="3" t="n">
        <v>114397</v>
      </c>
      <c r="E121" s="3" t="inlineStr">
        <is>
          <t>f5569b998adf63c1cebcb144277502c32db8088ce75d731cd3a7d98be3b2c669</t>
        </is>
      </c>
      <c r="F121" s="3" t="inlineStr"/>
    </row>
    <row r="122">
      <c r="A122" s="3" t="inlineStr">
        <is>
          <t>E-0119</t>
        </is>
      </c>
      <c r="B122" s="3" t="inlineStr">
        <is>
          <t>telegram export\photos\photo_30@27-06-2026_18-24-31_thumb.jpg</t>
        </is>
      </c>
      <c r="C122" s="3" t="inlineStr">
        <is>
          <t>jpg</t>
        </is>
      </c>
      <c r="D122" s="3" t="n">
        <v>16871</v>
      </c>
      <c r="E122" s="3" t="inlineStr">
        <is>
          <t>3d4bb8e1a8ed40fa8cfbfd9cd4bc1ac477eac08927e477324b3b32668df4eb8a</t>
        </is>
      </c>
      <c r="F122" s="3" t="inlineStr"/>
    </row>
    <row r="123">
      <c r="A123" s="3" t="inlineStr">
        <is>
          <t>E-0120</t>
        </is>
      </c>
      <c r="B123" s="3" t="inlineStr">
        <is>
          <t>telegram export\photos\photo_31@27-06-2026_18-24-39.jpg</t>
        </is>
      </c>
      <c r="C123" s="3" t="inlineStr">
        <is>
          <t>jpg</t>
        </is>
      </c>
      <c r="D123" s="3" t="n">
        <v>51950</v>
      </c>
      <c r="E123" s="3" t="inlineStr">
        <is>
          <t>5e693fc6f8303f5ee512c9ec9b3eadec3f3d7319b2c2f969e9875baca06d790b</t>
        </is>
      </c>
      <c r="F123" s="3" t="inlineStr"/>
    </row>
    <row r="124">
      <c r="A124" s="3" t="inlineStr">
        <is>
          <t>E-0121</t>
        </is>
      </c>
      <c r="B124" s="3" t="inlineStr">
        <is>
          <t>telegram export\photos\photo_31@27-06-2026_18-24-39_thumb.jpg</t>
        </is>
      </c>
      <c r="C124" s="3" t="inlineStr">
        <is>
          <t>jpg</t>
        </is>
      </c>
      <c r="D124" s="3" t="n">
        <v>9380</v>
      </c>
      <c r="E124" s="3" t="inlineStr">
        <is>
          <t>0f2017a922c55b1e7f525431e0f8285cdee7af85ab4ff1d874a36af21a227132</t>
        </is>
      </c>
      <c r="F124" s="3" t="inlineStr"/>
    </row>
    <row r="125">
      <c r="A125" s="3" t="inlineStr">
        <is>
          <t>E-0122</t>
        </is>
      </c>
      <c r="B125" s="3" t="inlineStr">
        <is>
          <t>telegram export\photos\photo_32@27-06-2026_18-24-52.jpg</t>
        </is>
      </c>
      <c r="C125" s="3" t="inlineStr">
        <is>
          <t>jpg</t>
        </is>
      </c>
      <c r="D125" s="3" t="n">
        <v>66516</v>
      </c>
      <c r="E125" s="3" t="inlineStr">
        <is>
          <t>7628c00e8636b2fb53053ed1feaab9c04fbc27a578e143dd6f1f16a64d6e00e3</t>
        </is>
      </c>
      <c r="F125" s="3" t="inlineStr"/>
    </row>
    <row r="126">
      <c r="A126" s="3" t="inlineStr">
        <is>
          <t>E-0123</t>
        </is>
      </c>
      <c r="B126" s="3" t="inlineStr">
        <is>
          <t>telegram export\photos\photo_32@27-06-2026_18-24-52_thumb.jpg</t>
        </is>
      </c>
      <c r="C126" s="3" t="inlineStr">
        <is>
          <t>jpg</t>
        </is>
      </c>
      <c r="D126" s="3" t="n">
        <v>9906</v>
      </c>
      <c r="E126" s="3" t="inlineStr">
        <is>
          <t>f3417f5c4c6b508edbcdb5e4d6c4ad08873e4591d56ca71be71dbd36ca10f329</t>
        </is>
      </c>
      <c r="F126" s="3" t="inlineStr"/>
    </row>
    <row r="127">
      <c r="A127" s="3" t="inlineStr">
        <is>
          <t>E-0124</t>
        </is>
      </c>
      <c r="B127" s="3" t="inlineStr">
        <is>
          <t>telegram export\photos\photo_33@27-06-2026_18-25-49.jpg</t>
        </is>
      </c>
      <c r="C127" s="3" t="inlineStr">
        <is>
          <t>jpg</t>
        </is>
      </c>
      <c r="D127" s="3" t="n">
        <v>69981</v>
      </c>
      <c r="E127" s="3" t="inlineStr">
        <is>
          <t>a0ebad23be285a1e51b629326f6f3a8dab9f52662632f4ef6194fea9855b2267</t>
        </is>
      </c>
      <c r="F127" s="3" t="inlineStr"/>
    </row>
    <row r="128">
      <c r="A128" s="3" t="inlineStr">
        <is>
          <t>E-0125</t>
        </is>
      </c>
      <c r="B128" s="3" t="inlineStr">
        <is>
          <t>telegram export\photos\photo_33@27-06-2026_18-25-49_thumb.jpg</t>
        </is>
      </c>
      <c r="C128" s="3" t="inlineStr">
        <is>
          <t>jpg</t>
        </is>
      </c>
      <c r="D128" s="3" t="n">
        <v>9675</v>
      </c>
      <c r="E128" s="3" t="inlineStr">
        <is>
          <t>2ebea433dc4355467fb9a74277e86d37e59f8fefb1964cdb320fb2b97daf236f</t>
        </is>
      </c>
      <c r="F128" s="3" t="inlineStr"/>
    </row>
    <row r="129">
      <c r="A129" s="3" t="inlineStr">
        <is>
          <t>E-0126</t>
        </is>
      </c>
      <c r="B129" s="3" t="inlineStr">
        <is>
          <t>telegram export\photos\photo_34@27-06-2026_18-26-03.jpg</t>
        </is>
      </c>
      <c r="C129" s="3" t="inlineStr">
        <is>
          <t>jpg</t>
        </is>
      </c>
      <c r="D129" s="3" t="n">
        <v>162060</v>
      </c>
      <c r="E129" s="3" t="inlineStr">
        <is>
          <t>d7091b678efb3e0f2e1da6270bff602fc8d5dd14fd758484945206f09aec6835</t>
        </is>
      </c>
      <c r="F129" s="3" t="inlineStr"/>
    </row>
    <row r="130">
      <c r="A130" s="3" t="inlineStr">
        <is>
          <t>E-0127</t>
        </is>
      </c>
      <c r="B130" s="3" t="inlineStr">
        <is>
          <t>telegram export\photos\photo_34@27-06-2026_18-26-03_thumb.jpg</t>
        </is>
      </c>
      <c r="C130" s="3" t="inlineStr">
        <is>
          <t>jpg</t>
        </is>
      </c>
      <c r="D130" s="3" t="n">
        <v>29527</v>
      </c>
      <c r="E130" s="3" t="inlineStr">
        <is>
          <t>41fdf3595a7babfdde9bb4b9cf77b8ef8301535fbaca4dc080ce855ff83bcbcf</t>
        </is>
      </c>
      <c r="F130" s="3" t="inlineStr"/>
    </row>
    <row r="131">
      <c r="A131" s="3" t="inlineStr">
        <is>
          <t>E-0128</t>
        </is>
      </c>
      <c r="B131" s="3" t="inlineStr">
        <is>
          <t>telegram export\photos\photo_35@27-06-2026_18-26-22.jpg</t>
        </is>
      </c>
      <c r="C131" s="3" t="inlineStr">
        <is>
          <t>jpg</t>
        </is>
      </c>
      <c r="D131" s="3" t="n">
        <v>168669</v>
      </c>
      <c r="E131" s="3" t="inlineStr">
        <is>
          <t>df1dad972da0ba8c3da2b76b90ccdd5c9ae6c42488b2b0f50e3eb232ab177028</t>
        </is>
      </c>
      <c r="F131" s="3" t="inlineStr"/>
    </row>
    <row r="132">
      <c r="A132" s="3" t="inlineStr">
        <is>
          <t>E-0129</t>
        </is>
      </c>
      <c r="B132" s="3" t="inlineStr">
        <is>
          <t>telegram export\photos\photo_35@27-06-2026_18-26-22_thumb.jpg</t>
        </is>
      </c>
      <c r="C132" s="3" t="inlineStr">
        <is>
          <t>jpg</t>
        </is>
      </c>
      <c r="D132" s="3" t="n">
        <v>28996</v>
      </c>
      <c r="E132" s="3" t="inlineStr">
        <is>
          <t>23bb674dfebc8ce7097075a01dda8eeb430a026eb23b1dc2385042c4d25ba1b0</t>
        </is>
      </c>
      <c r="F132" s="3" t="inlineStr"/>
    </row>
    <row r="133">
      <c r="A133" s="3" t="inlineStr">
        <is>
          <t>E-0130</t>
        </is>
      </c>
      <c r="B133" s="3" t="inlineStr">
        <is>
          <t>telegram export\photos\photo_36@27-06-2026_18-26-45.jpg</t>
        </is>
      </c>
      <c r="C133" s="3" t="inlineStr">
        <is>
          <t>jpg</t>
        </is>
      </c>
      <c r="D133" s="3" t="n">
        <v>56182</v>
      </c>
      <c r="E133" s="3" t="inlineStr">
        <is>
          <t>c76783f3ab2aa8dfafe81fe1d3273e3a70b017cbb8e04ee0aebf20c7896fd8a6</t>
        </is>
      </c>
      <c r="F133" s="3" t="inlineStr"/>
    </row>
    <row r="134">
      <c r="A134" s="3" t="inlineStr">
        <is>
          <t>E-0131</t>
        </is>
      </c>
      <c r="B134" s="3" t="inlineStr">
        <is>
          <t>telegram export\photos\photo_36@27-06-2026_18-26-45_thumb.jpg</t>
        </is>
      </c>
      <c r="C134" s="3" t="inlineStr">
        <is>
          <t>jpg</t>
        </is>
      </c>
      <c r="D134" s="3" t="n">
        <v>10919</v>
      </c>
      <c r="E134" s="3" t="inlineStr">
        <is>
          <t>10a55a0a047f759345d31e92e84dea750951085596fa8da5be73a539df4b1289</t>
        </is>
      </c>
      <c r="F134" s="3" t="inlineStr"/>
    </row>
    <row r="135">
      <c r="A135" s="3" t="inlineStr">
        <is>
          <t>E-0132</t>
        </is>
      </c>
      <c r="B135" s="3" t="inlineStr">
        <is>
          <t>telegram export\photos\photo_37@27-06-2026_18-27-12.jpg</t>
        </is>
      </c>
      <c r="C135" s="3" t="inlineStr">
        <is>
          <t>jpg</t>
        </is>
      </c>
      <c r="D135" s="3" t="n">
        <v>45970</v>
      </c>
      <c r="E135" s="3" t="inlineStr">
        <is>
          <t>9a1f8890689207a4000e3fe0fc271e522bb56ace944c1646ccf84577b88f9405</t>
        </is>
      </c>
      <c r="F135" s="3" t="inlineStr"/>
    </row>
    <row r="136">
      <c r="A136" s="3" t="inlineStr">
        <is>
          <t>E-0133</t>
        </is>
      </c>
      <c r="B136" s="3" t="inlineStr">
        <is>
          <t>telegram export\photos\photo_37@27-06-2026_18-27-12_thumb.jpg</t>
        </is>
      </c>
      <c r="C136" s="3" t="inlineStr">
        <is>
          <t>jpg</t>
        </is>
      </c>
      <c r="D136" s="3" t="n">
        <v>8732</v>
      </c>
      <c r="E136" s="3" t="inlineStr">
        <is>
          <t>f74b5060d7abc668787c6bb71a87496aff72298fe33dc4aff7aea83344f6a195</t>
        </is>
      </c>
      <c r="F136" s="3" t="inlineStr"/>
    </row>
    <row r="137">
      <c r="A137" s="3" t="inlineStr">
        <is>
          <t>E-0134</t>
        </is>
      </c>
      <c r="B137" s="3" t="inlineStr">
        <is>
          <t>telegram export\photos\photo_38@27-06-2026_18-27-25.jpg</t>
        </is>
      </c>
      <c r="C137" s="3" t="inlineStr">
        <is>
          <t>jpg</t>
        </is>
      </c>
      <c r="D137" s="3" t="n">
        <v>41070</v>
      </c>
      <c r="E137" s="3" t="inlineStr">
        <is>
          <t>e8a6c9ba9556546fa4abbc8e152e35df08dcc2c6669884f9dc12679882029c3e</t>
        </is>
      </c>
      <c r="F137" s="3" t="inlineStr"/>
    </row>
    <row r="138">
      <c r="A138" s="3" t="inlineStr">
        <is>
          <t>E-0135</t>
        </is>
      </c>
      <c r="B138" s="3" t="inlineStr">
        <is>
          <t>telegram export\photos\photo_38@27-06-2026_18-27-25_thumb.jpg</t>
        </is>
      </c>
      <c r="C138" s="3" t="inlineStr">
        <is>
          <t>jpg</t>
        </is>
      </c>
      <c r="D138" s="3" t="n">
        <v>12094</v>
      </c>
      <c r="E138" s="3" t="inlineStr">
        <is>
          <t>d08637443dc93c0eb89c08d2194ebbcf777c7042ae83f60fc559ccae164b9e5a</t>
        </is>
      </c>
      <c r="F138" s="3" t="inlineStr"/>
    </row>
    <row r="139">
      <c r="A139" s="3" t="inlineStr">
        <is>
          <t>E-0136</t>
        </is>
      </c>
      <c r="B139" s="3" t="inlineStr">
        <is>
          <t>telegram export\photos\photo_39@27-06-2026_18-29-10.jpg</t>
        </is>
      </c>
      <c r="C139" s="3" t="inlineStr">
        <is>
          <t>jpg</t>
        </is>
      </c>
      <c r="D139" s="3" t="n">
        <v>62596</v>
      </c>
      <c r="E139" s="3" t="inlineStr">
        <is>
          <t>2cc0dda007136a8eb626cca071cf976fa2faea1a3ec9461e2f9e61d426d539da</t>
        </is>
      </c>
      <c r="F139" s="3" t="inlineStr"/>
    </row>
    <row r="140">
      <c r="A140" s="3" t="inlineStr">
        <is>
          <t>E-0137</t>
        </is>
      </c>
      <c r="B140" s="3" t="inlineStr">
        <is>
          <t>telegram export\photos\photo_39@27-06-2026_18-29-10_thumb.jpg</t>
        </is>
      </c>
      <c r="C140" s="3" t="inlineStr">
        <is>
          <t>jpg</t>
        </is>
      </c>
      <c r="D140" s="3" t="n">
        <v>15163</v>
      </c>
      <c r="E140" s="3" t="inlineStr">
        <is>
          <t>5541655ae333b6bf558bbfc41eb25765066e2fe9dd69ca3a7c08f4c028441594</t>
        </is>
      </c>
      <c r="F140" s="3" t="inlineStr"/>
    </row>
    <row r="141">
      <c r="A141" s="3" t="inlineStr">
        <is>
          <t>E-0138</t>
        </is>
      </c>
      <c r="B141" s="3" t="inlineStr">
        <is>
          <t>telegram export\photos\photo_3@24-07-2025_21-02-51.jpg</t>
        </is>
      </c>
      <c r="C141" s="3" t="inlineStr">
        <is>
          <t>jpg</t>
        </is>
      </c>
      <c r="D141" s="3" t="n">
        <v>71647</v>
      </c>
      <c r="E141" s="3" t="inlineStr">
        <is>
          <t>3a30db869e1f6a6c63f03739af4268b7b0405346be7199ac5e26f23dc73806fc</t>
        </is>
      </c>
      <c r="F141" s="3" t="inlineStr"/>
    </row>
    <row r="142">
      <c r="A142" s="3" t="inlineStr">
        <is>
          <t>E-0139</t>
        </is>
      </c>
      <c r="B142" s="3" t="inlineStr">
        <is>
          <t>telegram export\photos\photo_3@24-07-2025_21-02-51_thumb.jpg</t>
        </is>
      </c>
      <c r="C142" s="3" t="inlineStr">
        <is>
          <t>jpg</t>
        </is>
      </c>
      <c r="D142" s="3" t="n">
        <v>18957</v>
      </c>
      <c r="E142" s="3" t="inlineStr">
        <is>
          <t>acce1bb5524913066e4c6891cb48b9a328f2068d9210ed87799f7dd7b6cb215c</t>
        </is>
      </c>
      <c r="F142" s="3" t="inlineStr"/>
    </row>
    <row r="143">
      <c r="A143" s="3" t="inlineStr">
        <is>
          <t>E-0140</t>
        </is>
      </c>
      <c r="B143" s="3" t="inlineStr">
        <is>
          <t>telegram export\photos\photo_40@27-06-2026_18-31-08.jpg</t>
        </is>
      </c>
      <c r="C143" s="3" t="inlineStr">
        <is>
          <t>jpg</t>
        </is>
      </c>
      <c r="D143" s="3" t="n">
        <v>59578</v>
      </c>
      <c r="E143" s="3" t="inlineStr">
        <is>
          <t>8e9cb970ead01179e35ef3181ee0017987b3e8de78c03c3bb37fc20f4f3ef402</t>
        </is>
      </c>
      <c r="F143" s="3" t="inlineStr"/>
    </row>
    <row r="144">
      <c r="A144" s="3" t="inlineStr">
        <is>
          <t>E-0141</t>
        </is>
      </c>
      <c r="B144" s="3" t="inlineStr">
        <is>
          <t>telegram export\photos\photo_40@27-06-2026_18-31-08_thumb.jpg</t>
        </is>
      </c>
      <c r="C144" s="3" t="inlineStr">
        <is>
          <t>jpg</t>
        </is>
      </c>
      <c r="D144" s="3" t="n">
        <v>10736</v>
      </c>
      <c r="E144" s="3" t="inlineStr">
        <is>
          <t>475b8f9e9d6d7857a536fd51c97eefbff25a0d15a46706933b616e52e9820b87</t>
        </is>
      </c>
      <c r="F144" s="3" t="inlineStr"/>
    </row>
    <row r="145">
      <c r="A145" s="3" t="inlineStr">
        <is>
          <t>E-0142</t>
        </is>
      </c>
      <c r="B145" s="3" t="inlineStr">
        <is>
          <t>telegram export\photos\photo_41@27-06-2026_18-36-09.jpg</t>
        </is>
      </c>
      <c r="C145" s="3" t="inlineStr">
        <is>
          <t>jpg</t>
        </is>
      </c>
      <c r="D145" s="3" t="n">
        <v>77996</v>
      </c>
      <c r="E145" s="3" t="inlineStr">
        <is>
          <t>78ad7571d728263883b5dc1bb9cd22848b5c2e67370643caa12c8c8935da2b20</t>
        </is>
      </c>
      <c r="F145" s="3" t="inlineStr"/>
    </row>
    <row r="146">
      <c r="A146" s="3" t="inlineStr">
        <is>
          <t>E-0143</t>
        </is>
      </c>
      <c r="B146" s="3" t="inlineStr">
        <is>
          <t>telegram export\photos\photo_41@27-06-2026_18-36-09_thumb.jpg</t>
        </is>
      </c>
      <c r="C146" s="3" t="inlineStr">
        <is>
          <t>jpg</t>
        </is>
      </c>
      <c r="D146" s="3" t="n">
        <v>20997</v>
      </c>
      <c r="E146" s="3" t="inlineStr">
        <is>
          <t>d7cfde7a096842521a7335b5d5d76d2114dc2c56e92caedad0f5667a0fef805a</t>
        </is>
      </c>
      <c r="F146" s="3" t="inlineStr"/>
    </row>
    <row r="147">
      <c r="A147" s="3" t="inlineStr">
        <is>
          <t>E-0144</t>
        </is>
      </c>
      <c r="B147" s="3" t="inlineStr">
        <is>
          <t>telegram export\photos\photo_42@27-06-2026_18-36-09.jpg</t>
        </is>
      </c>
      <c r="C147" s="3" t="inlineStr">
        <is>
          <t>jpg</t>
        </is>
      </c>
      <c r="D147" s="3" t="n">
        <v>77238</v>
      </c>
      <c r="E147" s="3" t="inlineStr">
        <is>
          <t>94ca1e41dc1aa15b41dd5ec0b9bb664d54733c8559fe9e348d1adc782f316712</t>
        </is>
      </c>
      <c r="F147" s="3" t="inlineStr"/>
    </row>
    <row r="148">
      <c r="A148" s="3" t="inlineStr">
        <is>
          <t>E-0145</t>
        </is>
      </c>
      <c r="B148" s="3" t="inlineStr">
        <is>
          <t>telegram export\photos\photo_42@27-06-2026_18-36-09_thumb.jpg</t>
        </is>
      </c>
      <c r="C148" s="3" t="inlineStr">
        <is>
          <t>jpg</t>
        </is>
      </c>
      <c r="D148" s="3" t="n">
        <v>20873</v>
      </c>
      <c r="E148" s="3" t="inlineStr">
        <is>
          <t>a5ffa1f6734f1697a7561713efd62e907ddce39c216df02c3f5d3b8c205a7fd6</t>
        </is>
      </c>
      <c r="F148" s="3" t="inlineStr"/>
    </row>
    <row r="149">
      <c r="A149" s="3" t="inlineStr">
        <is>
          <t>E-0146</t>
        </is>
      </c>
      <c r="B149" s="3" t="inlineStr">
        <is>
          <t>telegram export\photos\photo_43@27-06-2026_18-36-09.jpg</t>
        </is>
      </c>
      <c r="C149" s="3" t="inlineStr">
        <is>
          <t>jpg</t>
        </is>
      </c>
      <c r="D149" s="3" t="n">
        <v>85618</v>
      </c>
      <c r="E149" s="3" t="inlineStr">
        <is>
          <t>35428512edee92243496c3104d792d4fd07c6d43257d697c19937ccfa0a98517</t>
        </is>
      </c>
      <c r="F149" s="3" t="inlineStr"/>
    </row>
    <row r="150">
      <c r="A150" s="3" t="inlineStr">
        <is>
          <t>E-0147</t>
        </is>
      </c>
      <c r="B150" s="3" t="inlineStr">
        <is>
          <t>telegram export\photos\photo_43@27-06-2026_18-36-09_thumb.jpg</t>
        </is>
      </c>
      <c r="C150" s="3" t="inlineStr">
        <is>
          <t>jpg</t>
        </is>
      </c>
      <c r="D150" s="3" t="n">
        <v>23016</v>
      </c>
      <c r="E150" s="3" t="inlineStr">
        <is>
          <t>e41e56f083a0e7e83869ec1f74b77a894e4df8073df193ae1673883f1c94ed70</t>
        </is>
      </c>
      <c r="F150" s="3" t="inlineStr"/>
    </row>
    <row r="151">
      <c r="A151" s="3" t="inlineStr">
        <is>
          <t>E-0148</t>
        </is>
      </c>
      <c r="B151" s="3" t="inlineStr">
        <is>
          <t>telegram export\photos\photo_44@27-06-2026_18-36-09.jpg</t>
        </is>
      </c>
      <c r="C151" s="3" t="inlineStr">
        <is>
          <t>jpg</t>
        </is>
      </c>
      <c r="D151" s="3" t="n">
        <v>85772</v>
      </c>
      <c r="E151" s="3" t="inlineStr">
        <is>
          <t>552ed592df76565fdf834836abf1da6c4b9784e66039b1efaa36e162e69d855b</t>
        </is>
      </c>
      <c r="F151" s="3" t="inlineStr"/>
    </row>
    <row r="152">
      <c r="A152" s="3" t="inlineStr">
        <is>
          <t>E-0149</t>
        </is>
      </c>
      <c r="B152" s="3" t="inlineStr">
        <is>
          <t>telegram export\photos\photo_44@27-06-2026_18-36-09_thumb.jpg</t>
        </is>
      </c>
      <c r="C152" s="3" t="inlineStr">
        <is>
          <t>jpg</t>
        </is>
      </c>
      <c r="D152" s="3" t="n">
        <v>23156</v>
      </c>
      <c r="E152" s="3" t="inlineStr">
        <is>
          <t>08693d24e4fe7d93d4d5367bd7374b7a67a119e4d81e269c19e01394a86afa6d</t>
        </is>
      </c>
      <c r="F152" s="3" t="inlineStr"/>
    </row>
    <row r="153">
      <c r="A153" s="3" t="inlineStr">
        <is>
          <t>E-0150</t>
        </is>
      </c>
      <c r="B153" s="3" t="inlineStr">
        <is>
          <t>telegram export\photos\photo_45@27-06-2026_18-36-09.jpg</t>
        </is>
      </c>
      <c r="C153" s="3" t="inlineStr">
        <is>
          <t>jpg</t>
        </is>
      </c>
      <c r="D153" s="3" t="n">
        <v>65390</v>
      </c>
      <c r="E153" s="3" t="inlineStr">
        <is>
          <t>d3cd5d400ad26b008c54a467ede8e780c9606b0a9a460d51c2e11bf69ede9a39</t>
        </is>
      </c>
      <c r="F153" s="3" t="inlineStr"/>
    </row>
    <row r="154">
      <c r="A154" s="3" t="inlineStr">
        <is>
          <t>E-0151</t>
        </is>
      </c>
      <c r="B154" s="3" t="inlineStr">
        <is>
          <t>telegram export\photos\photo_45@27-06-2026_18-36-09_thumb.jpg</t>
        </is>
      </c>
      <c r="C154" s="3" t="inlineStr">
        <is>
          <t>jpg</t>
        </is>
      </c>
      <c r="D154" s="3" t="n">
        <v>15934</v>
      </c>
      <c r="E154" s="3" t="inlineStr">
        <is>
          <t>191eb597892e591a2f4e631dda89c8c46217cf567623a308bf5d67467c6e8c9b</t>
        </is>
      </c>
      <c r="F154" s="3" t="inlineStr"/>
    </row>
    <row r="155">
      <c r="A155" s="3" t="inlineStr">
        <is>
          <t>E-0152</t>
        </is>
      </c>
      <c r="B155" s="3" t="inlineStr">
        <is>
          <t>telegram export\photos\photo_46@27-06-2026_18-38-52.jpg</t>
        </is>
      </c>
      <c r="C155" s="3" t="inlineStr">
        <is>
          <t>jpg</t>
        </is>
      </c>
      <c r="D155" s="3" t="n">
        <v>145310</v>
      </c>
      <c r="E155" s="3" t="inlineStr">
        <is>
          <t>22c0f55d35b72f746c979bd91c0f23f9862ff7f5a4851ab2293686a796fab727</t>
        </is>
      </c>
      <c r="F155" s="3" t="inlineStr"/>
    </row>
    <row r="156">
      <c r="A156" s="3" t="inlineStr">
        <is>
          <t>E-0153</t>
        </is>
      </c>
      <c r="B156" s="3" t="inlineStr">
        <is>
          <t>telegram export\photos\photo_46@27-06-2026_18-38-52_thumb.jpg</t>
        </is>
      </c>
      <c r="C156" s="3" t="inlineStr">
        <is>
          <t>jpg</t>
        </is>
      </c>
      <c r="D156" s="3" t="n">
        <v>21027</v>
      </c>
      <c r="E156" s="3" t="inlineStr">
        <is>
          <t>70d5b7f1a70653de2322b22d6ecec86cab00add70221b3b888143f568da1ed9e</t>
        </is>
      </c>
      <c r="F156" s="3" t="inlineStr"/>
    </row>
    <row r="157">
      <c r="A157" s="3" t="inlineStr">
        <is>
          <t>E-0154</t>
        </is>
      </c>
      <c r="B157" s="3" t="inlineStr">
        <is>
          <t>telegram export\photos\photo_47@27-06-2026_18-43-30.jpg</t>
        </is>
      </c>
      <c r="C157" s="3" t="inlineStr">
        <is>
          <t>jpg</t>
        </is>
      </c>
      <c r="D157" s="3" t="n">
        <v>145095</v>
      </c>
      <c r="E157" s="3" t="inlineStr">
        <is>
          <t>65c4560d70bc56c79da398701f9c98c8ae2ffada8d71d2c3e111e2e24ae1cd86</t>
        </is>
      </c>
      <c r="F157" s="3" t="inlineStr"/>
    </row>
    <row r="158">
      <c r="A158" s="3" t="inlineStr">
        <is>
          <t>E-0155</t>
        </is>
      </c>
      <c r="B158" s="3" t="inlineStr">
        <is>
          <t>telegram export\photos\photo_47@27-06-2026_18-43-30_thumb.jpg</t>
        </is>
      </c>
      <c r="C158" s="3" t="inlineStr">
        <is>
          <t>jpg</t>
        </is>
      </c>
      <c r="D158" s="3" t="n">
        <v>20791</v>
      </c>
      <c r="E158" s="3" t="inlineStr">
        <is>
          <t>7c11d25d710870120c0c37637a411db4d2139333005c9016a759163a20208b85</t>
        </is>
      </c>
      <c r="F158" s="3" t="inlineStr"/>
    </row>
    <row r="159">
      <c r="A159" s="3" t="inlineStr">
        <is>
          <t>E-0156</t>
        </is>
      </c>
      <c r="B159" s="3" t="inlineStr">
        <is>
          <t>telegram export\photos\photo_48@27-06-2026_18-43-30.jpg</t>
        </is>
      </c>
      <c r="C159" s="3" t="inlineStr">
        <is>
          <t>jpg</t>
        </is>
      </c>
      <c r="D159" s="3" t="n">
        <v>64244</v>
      </c>
      <c r="E159" s="3" t="inlineStr">
        <is>
          <t>20df96b527f0c957a11188d14f66f9281587d18e0b3e31457b0db70daf899449</t>
        </is>
      </c>
      <c r="F159" s="3" t="inlineStr"/>
    </row>
    <row r="160">
      <c r="A160" s="3" t="inlineStr">
        <is>
          <t>E-0157</t>
        </is>
      </c>
      <c r="B160" s="3" t="inlineStr">
        <is>
          <t>telegram export\photos\photo_48@27-06-2026_18-43-30_thumb.jpg</t>
        </is>
      </c>
      <c r="C160" s="3" t="inlineStr">
        <is>
          <t>jpg</t>
        </is>
      </c>
      <c r="D160" s="3" t="n">
        <v>15509</v>
      </c>
      <c r="E160" s="3" t="inlineStr">
        <is>
          <t>270396b2616979116ecbbee3b2ca949a6b25412af041fbeb0d9b336dff52e09f</t>
        </is>
      </c>
      <c r="F160" s="3" t="inlineStr"/>
    </row>
    <row r="161">
      <c r="A161" s="3" t="inlineStr">
        <is>
          <t>E-0158</t>
        </is>
      </c>
      <c r="B161" s="3" t="inlineStr">
        <is>
          <t>telegram export\photos\photo_4@25-07-2025_04-04-24.jpg</t>
        </is>
      </c>
      <c r="C161" s="3" t="inlineStr">
        <is>
          <t>jpg</t>
        </is>
      </c>
      <c r="D161" s="3" t="n">
        <v>74199</v>
      </c>
      <c r="E161" s="3" t="inlineStr">
        <is>
          <t>5034c1ebaa4bd3c07a59eaf0de3840e0ed1486387ba2b1e9c2832c748b3979a7</t>
        </is>
      </c>
      <c r="F161" s="3" t="inlineStr"/>
    </row>
    <row r="162">
      <c r="A162" s="3" t="inlineStr">
        <is>
          <t>E-0159</t>
        </is>
      </c>
      <c r="B162" s="3" t="inlineStr">
        <is>
          <t>telegram export\photos\photo_4@25-07-2025_04-04-24_thumb.jpg</t>
        </is>
      </c>
      <c r="C162" s="3" t="inlineStr">
        <is>
          <t>jpg</t>
        </is>
      </c>
      <c r="D162" s="3" t="n">
        <v>19318</v>
      </c>
      <c r="E162" s="3" t="inlineStr">
        <is>
          <t>f03a08592292f2fc18197c3c438f580cf024dee8350589d169cf4a5c90361459</t>
        </is>
      </c>
      <c r="F162" s="3" t="inlineStr"/>
    </row>
    <row r="163">
      <c r="A163" s="3" t="inlineStr">
        <is>
          <t>E-0160</t>
        </is>
      </c>
      <c r="B163" s="3" t="inlineStr">
        <is>
          <t>telegram export\photos\photo_5@25-07-2025_04-08-41.jpg</t>
        </is>
      </c>
      <c r="C163" s="3" t="inlineStr">
        <is>
          <t>jpg</t>
        </is>
      </c>
      <c r="D163" s="3" t="n">
        <v>74870</v>
      </c>
      <c r="E163" s="3" t="inlineStr">
        <is>
          <t>097c6be0efefe88b7e213d3f6aba5f4dc6a9e813bd3aed9162a991d6f68aeb4b</t>
        </is>
      </c>
      <c r="F163" s="3" t="inlineStr"/>
    </row>
    <row r="164">
      <c r="A164" s="3" t="inlineStr">
        <is>
          <t>E-0161</t>
        </is>
      </c>
      <c r="B164" s="3" t="inlineStr">
        <is>
          <t>telegram export\photos\photo_5@25-07-2025_04-08-41_thumb.jpg</t>
        </is>
      </c>
      <c r="C164" s="3" t="inlineStr">
        <is>
          <t>jpg</t>
        </is>
      </c>
      <c r="D164" s="3" t="n">
        <v>19278</v>
      </c>
      <c r="E164" s="3" t="inlineStr">
        <is>
          <t>5e653d24385bd9edbb47c15db50821bd58697aa6e250a91803c71373f447cca2</t>
        </is>
      </c>
      <c r="F164" s="3" t="inlineStr"/>
    </row>
    <row r="165">
      <c r="A165" s="3" t="inlineStr">
        <is>
          <t>E-0162</t>
        </is>
      </c>
      <c r="B165" s="3" t="inlineStr">
        <is>
          <t>telegram export\photos\photo_6@25-07-2025_15-53-39.jpg</t>
        </is>
      </c>
      <c r="C165" s="3" t="inlineStr">
        <is>
          <t>jpg</t>
        </is>
      </c>
      <c r="D165" s="3" t="n">
        <v>74748</v>
      </c>
      <c r="E165" s="3" t="inlineStr">
        <is>
          <t>26c18dafda65ecb48d670d908ff9a6c650df2905684e12dc23e64ef7a00a2547</t>
        </is>
      </c>
      <c r="F165" s="3" t="inlineStr"/>
    </row>
    <row r="166">
      <c r="A166" s="3" t="inlineStr">
        <is>
          <t>E-0163</t>
        </is>
      </c>
      <c r="B166" s="3" t="inlineStr">
        <is>
          <t>telegram export\photos\photo_6@25-07-2025_15-53-39_thumb.jpg</t>
        </is>
      </c>
      <c r="C166" s="3" t="inlineStr">
        <is>
          <t>jpg</t>
        </is>
      </c>
      <c r="D166" s="3" t="n">
        <v>19480</v>
      </c>
      <c r="E166" s="3" t="inlineStr">
        <is>
          <t>100e3db11d7786876ae628e80e2fb5ddb7e0986e4336370623edc21199862537</t>
        </is>
      </c>
      <c r="F166" s="3" t="inlineStr"/>
    </row>
    <row r="167">
      <c r="A167" s="3" t="inlineStr">
        <is>
          <t>E-0164</t>
        </is>
      </c>
      <c r="B167" s="3" t="inlineStr">
        <is>
          <t>telegram export\photos\photo_7@11-08-2025_15-51-55.jpg</t>
        </is>
      </c>
      <c r="C167" s="3" t="inlineStr">
        <is>
          <t>jpg</t>
        </is>
      </c>
      <c r="D167" s="3" t="n">
        <v>71573</v>
      </c>
      <c r="E167" s="3" t="inlineStr">
        <is>
          <t>7cea1f63bcc0623f6f084e71e2aeea383f1f5648bfcdf5e8b6785cc5a6ec980d</t>
        </is>
      </c>
      <c r="F167" s="3" t="inlineStr"/>
    </row>
    <row r="168">
      <c r="A168" s="3" t="inlineStr">
        <is>
          <t>E-0165</t>
        </is>
      </c>
      <c r="B168" s="3" t="inlineStr">
        <is>
          <t>telegram export\photos\photo_7@11-08-2025_15-51-55_thumb.jpg</t>
        </is>
      </c>
      <c r="C168" s="3" t="inlineStr">
        <is>
          <t>jpg</t>
        </is>
      </c>
      <c r="D168" s="3" t="n">
        <v>19015</v>
      </c>
      <c r="E168" s="3" t="inlineStr">
        <is>
          <t>2fbcc98f948489160d0596359b251e10988b71fa0c13c20fc4a3969559d15c9f</t>
        </is>
      </c>
      <c r="F168" s="3" t="inlineStr"/>
    </row>
    <row r="169">
      <c r="A169" s="3" t="inlineStr">
        <is>
          <t>E-0166</t>
        </is>
      </c>
      <c r="B169" s="3" t="inlineStr">
        <is>
          <t>telegram export\photos\photo_8@12-08-2025_09-58-34.jpg</t>
        </is>
      </c>
      <c r="C169" s="3" t="inlineStr">
        <is>
          <t>jpg</t>
        </is>
      </c>
      <c r="D169" s="3" t="n">
        <v>74246</v>
      </c>
      <c r="E169" s="3" t="inlineStr">
        <is>
          <t>644eada63dc0f6deb5768ffcb5bf455d0cda0ea15dd20247a08aedaf6a6c2863</t>
        </is>
      </c>
      <c r="F169" s="3" t="inlineStr"/>
    </row>
    <row r="170">
      <c r="A170" s="3" t="inlineStr">
        <is>
          <t>E-0167</t>
        </is>
      </c>
      <c r="B170" s="3" t="inlineStr">
        <is>
          <t>telegram export\photos\photo_8@12-08-2025_09-58-34_thumb.jpg</t>
        </is>
      </c>
      <c r="C170" s="3" t="inlineStr">
        <is>
          <t>jpg</t>
        </is>
      </c>
      <c r="D170" s="3" t="n">
        <v>19315</v>
      </c>
      <c r="E170" s="3" t="inlineStr">
        <is>
          <t>dd98cf87499f0b7b62ab6d318825970115fe092461464a390ae20edceb4d0d13</t>
        </is>
      </c>
      <c r="F170" s="3" t="inlineStr"/>
    </row>
    <row r="171">
      <c r="A171" s="3" t="inlineStr">
        <is>
          <t>E-0168</t>
        </is>
      </c>
      <c r="B171" s="3" t="inlineStr">
        <is>
          <t>telegram export\photos\photo_9@12-08-2025_09-58-34.jpg</t>
        </is>
      </c>
      <c r="C171" s="3" t="inlineStr">
        <is>
          <t>jpg</t>
        </is>
      </c>
      <c r="D171" s="3" t="n">
        <v>254809</v>
      </c>
      <c r="E171" s="3" t="inlineStr">
        <is>
          <t>5c47322f7a512fb80b48f0044a38ac5a9222176efd200637dbdac21211145ca5</t>
        </is>
      </c>
      <c r="F171" s="3" t="inlineStr"/>
    </row>
    <row r="172">
      <c r="A172" s="3" t="inlineStr">
        <is>
          <t>E-0169</t>
        </is>
      </c>
      <c r="B172" s="3" t="inlineStr">
        <is>
          <t>telegram export\photos\photo_9@12-08-2025_09-58-34_thumb.jpg</t>
        </is>
      </c>
      <c r="C172" s="3" t="inlineStr">
        <is>
          <t>jpg</t>
        </is>
      </c>
      <c r="D172" s="3" t="n">
        <v>13467</v>
      </c>
      <c r="E172" s="3" t="inlineStr">
        <is>
          <t>4dc62e7e22fa80a04cabd493748d0fc35496fbfd0af31082e80682e9d85dc277</t>
        </is>
      </c>
      <c r="F172" s="3" t="inlineStr"/>
    </row>
  </sheetData>
  <mergeCells count="1">
    <mergeCell ref="A1:F1"/>
  </mergeCells>
  <pageMargins left="0.75" right="0.75" top="1" bottom="1"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K23"/>
  <sheetViews>
    <sheetView rightToLeft="1" workbookViewId="0">
      <pane ySplit="3" topLeftCell="A4" activePane="bottomLeft" state="frozen"/>
      <selection pane="bottomLeft" activeCell="A1" sqref="A1"/>
    </sheetView>
  </sheetViews>
  <sheetFormatPr baseColWidth="8" defaultRowHeight="15"/>
  <cols>
    <col width="18" customWidth="1" min="1" max="1"/>
    <col width="52" customWidth="1" min="2" max="2"/>
    <col width="14" customWidth="1" min="3" max="3"/>
    <col width="70" customWidth="1" min="4" max="4"/>
    <col width="18" customWidth="1" min="5" max="5"/>
    <col width="24" customWidth="1" min="6" max="6"/>
    <col width="16" customWidth="1" min="7" max="7"/>
    <col width="16" customWidth="1" min="8" max="8"/>
    <col width="25" customWidth="1" min="9" max="9"/>
    <col width="40" customWidth="1" min="10" max="10"/>
    <col width="55" customWidth="1" min="11" max="11"/>
  </cols>
  <sheetData>
    <row r="1" ht="28" customHeight="1">
      <c r="A1" s="5" t="inlineStr">
        <is>
          <t>صف بررسی دستی رسیدها</t>
        </is>
      </c>
    </row>
    <row r="2">
      <c r="A2" s="6" t="inlineStr">
        <is>
          <t>نسخه refined | واحد گزارش: تومان | مبالغ نامطمئن در صف بررسی از جمع تاییدشده حذف می‌شوند.</t>
        </is>
      </c>
    </row>
    <row r="3" ht="34" customHeight="1">
      <c r="A3" s="7" t="inlineStr">
        <is>
          <t>شناسه بررسی</t>
        </is>
      </c>
      <c r="B3" s="7" t="inlineStr">
        <is>
          <t>فایل رسید</t>
        </is>
      </c>
      <c r="C3" s="7" t="inlineStr">
        <is>
          <t>حجم</t>
        </is>
      </c>
      <c r="D3" s="7" t="inlineStr">
        <is>
          <t>SHA-256</t>
        </is>
      </c>
      <c r="E3" s="7" t="inlineStr">
        <is>
          <t>ابعاد</t>
        </is>
      </c>
      <c r="F3" s="7" t="inlineStr">
        <is>
          <t>وضعیت</t>
        </is>
      </c>
      <c r="G3" s="7" t="inlineStr">
        <is>
          <t>مبلغ تومان</t>
        </is>
      </c>
      <c r="H3" s="7" t="inlineStr">
        <is>
          <t>تاریخ</t>
        </is>
      </c>
      <c r="I3" s="7" t="inlineStr">
        <is>
          <t>طرف حساب</t>
        </is>
      </c>
      <c r="J3" s="7" t="inlineStr">
        <is>
          <t>شرح/دسته‌بندی</t>
        </is>
      </c>
      <c r="K3" s="7" t="inlineStr">
        <is>
          <t>اقدام بعدی</t>
        </is>
      </c>
    </row>
    <row r="4">
      <c r="A4" s="12" t="inlineStr">
        <is>
          <t>RV-001</t>
        </is>
      </c>
      <c r="B4" s="12" t="inlineStr">
        <is>
          <t>recipts\photo_10_2026-10-10_11-09-04.jpg</t>
        </is>
      </c>
      <c r="C4" s="12" t="n">
        <v>49752</v>
      </c>
      <c r="D4" s="12" t="inlineStr">
        <is>
          <t>b424f88e66186c7fdfcd19043e65ade1aef245c80f81328c53bd4c1354047ea3</t>
        </is>
      </c>
      <c r="E4" s="12" t="inlineStr">
        <is>
          <t>1200x1224</t>
        </is>
      </c>
      <c r="F4" s="12" t="inlineStr">
        <is>
          <t>نیازمند ورود دستی</t>
        </is>
      </c>
      <c r="G4" s="12" t="inlineStr"/>
      <c r="H4" s="12" t="inlineStr"/>
      <c r="I4" s="12" t="inlineStr"/>
      <c r="J4" s="12" t="inlineStr"/>
      <c r="K4" s="12" t="inlineStr">
        <is>
          <t>ثبت مبلغ/تاریخ/طرف حساب و بررسی تکراری بودن</t>
        </is>
      </c>
    </row>
    <row r="5">
      <c r="A5" s="12" t="inlineStr">
        <is>
          <t>RV-002</t>
        </is>
      </c>
      <c r="B5" s="12" t="inlineStr">
        <is>
          <t>recipts\photo_11_2026-10-10_11-09-04.jpg</t>
        </is>
      </c>
      <c r="C5" s="12" t="n">
        <v>31986</v>
      </c>
      <c r="D5" s="12" t="inlineStr">
        <is>
          <t>4b6a665eaaa0ff0a14e2f665cd7ef1480d78c90efa576fa0f1cf910698baacc6</t>
        </is>
      </c>
      <c r="E5" s="12" t="inlineStr">
        <is>
          <t>768x1280</t>
        </is>
      </c>
      <c r="F5" s="12" t="inlineStr">
        <is>
          <t>نیازمند ورود دستی</t>
        </is>
      </c>
      <c r="G5" s="12" t="inlineStr"/>
      <c r="H5" s="12" t="inlineStr"/>
      <c r="I5" s="12" t="inlineStr"/>
      <c r="J5" s="12" t="inlineStr"/>
      <c r="K5" s="12" t="inlineStr">
        <is>
          <t>ثبت مبلغ/تاریخ/طرف حساب و بررسی تکراری بودن</t>
        </is>
      </c>
    </row>
    <row r="6">
      <c r="A6" s="12" t="inlineStr">
        <is>
          <t>RV-003</t>
        </is>
      </c>
      <c r="B6" s="12" t="inlineStr">
        <is>
          <t>recipts\photo_12_2026-10-10_11-09-04.jpg</t>
        </is>
      </c>
      <c r="C6" s="12" t="n">
        <v>50026</v>
      </c>
      <c r="D6" s="12" t="inlineStr">
        <is>
          <t>77e952d643e05bc03bdd136daa677561a5610e8049fb8d8aedfc24280909d917</t>
        </is>
      </c>
      <c r="E6" s="12" t="inlineStr">
        <is>
          <t>1200x1224</t>
        </is>
      </c>
      <c r="F6" s="12" t="inlineStr">
        <is>
          <t>نیازمند ورود دستی</t>
        </is>
      </c>
      <c r="G6" s="12" t="inlineStr"/>
      <c r="H6" s="12" t="inlineStr"/>
      <c r="I6" s="12" t="inlineStr"/>
      <c r="J6" s="12" t="inlineStr"/>
      <c r="K6" s="12" t="inlineStr">
        <is>
          <t>ثبت مبلغ/تاریخ/طرف حساب و بررسی تکراری بودن</t>
        </is>
      </c>
    </row>
    <row r="7">
      <c r="A7" s="12" t="inlineStr">
        <is>
          <t>RV-004</t>
        </is>
      </c>
      <c r="B7" s="12" t="inlineStr">
        <is>
          <t>recipts\photo_1_2026-10-10_11-09-04.jpg</t>
        </is>
      </c>
      <c r="C7" s="12" t="n">
        <v>58923</v>
      </c>
      <c r="D7" s="12" t="inlineStr">
        <is>
          <t>9b398cb3fd79cacf08994828e10209d3739b9ec072ff9dbdb29e456ad1a29262</t>
        </is>
      </c>
      <c r="E7" s="12" t="inlineStr">
        <is>
          <t>1200x1163</t>
        </is>
      </c>
      <c r="F7" s="12" t="inlineStr">
        <is>
          <t>نیازمند ورود دستی</t>
        </is>
      </c>
      <c r="G7" s="12" t="inlineStr"/>
      <c r="H7" s="12" t="inlineStr"/>
      <c r="I7" s="12" t="inlineStr"/>
      <c r="J7" s="12" t="inlineStr"/>
      <c r="K7" s="12" t="inlineStr">
        <is>
          <t>ثبت مبلغ/تاریخ/طرف حساب و بررسی تکراری بودن</t>
        </is>
      </c>
    </row>
    <row r="8">
      <c r="A8" s="12" t="inlineStr">
        <is>
          <t>RV-005</t>
        </is>
      </c>
      <c r="B8" s="12" t="inlineStr">
        <is>
          <t>recipts\photo_1_2026-10-10_14-07-27.jpg</t>
        </is>
      </c>
      <c r="C8" s="12" t="n">
        <v>44693</v>
      </c>
      <c r="D8" s="12" t="inlineStr">
        <is>
          <t>a50d13d6abcf5b4aacd05fa7fa773b5c01a6d2739577691d719c1bf334433b52</t>
        </is>
      </c>
      <c r="E8" s="12" t="inlineStr">
        <is>
          <t>1280x714</t>
        </is>
      </c>
      <c r="F8" s="12" t="inlineStr">
        <is>
          <t>نیازمند ورود دستی</t>
        </is>
      </c>
      <c r="G8" s="12" t="inlineStr"/>
      <c r="H8" s="12" t="inlineStr"/>
      <c r="I8" s="12" t="inlineStr"/>
      <c r="J8" s="12" t="inlineStr"/>
      <c r="K8" s="12" t="inlineStr">
        <is>
          <t>ثبت مبلغ/تاریخ/طرف حساب و بررسی تکراری بودن</t>
        </is>
      </c>
    </row>
    <row r="9">
      <c r="A9" s="12" t="inlineStr">
        <is>
          <t>RV-006</t>
        </is>
      </c>
      <c r="B9" s="12" t="inlineStr">
        <is>
          <t>recipts\photo_2026-10-10_12-16-28.jpg</t>
        </is>
      </c>
      <c r="C9" s="12" t="n">
        <v>160143</v>
      </c>
      <c r="D9" s="12" t="inlineStr">
        <is>
          <t>99a77eab001c2f3c72a639a7ec75b0a97bb90c5e5e244a8cf575d61107bedcc9</t>
        </is>
      </c>
      <c r="E9" s="12" t="inlineStr">
        <is>
          <t>578x1280</t>
        </is>
      </c>
      <c r="F9" s="12" t="inlineStr">
        <is>
          <t>نیازمند ورود دستی</t>
        </is>
      </c>
      <c r="G9" s="12" t="inlineStr"/>
      <c r="H9" s="12" t="inlineStr"/>
      <c r="I9" s="12" t="inlineStr"/>
      <c r="J9" s="12" t="inlineStr"/>
      <c r="K9" s="12" t="inlineStr">
        <is>
          <t>ثبت مبلغ/تاریخ/طرف حساب و بررسی تکراری بودن</t>
        </is>
      </c>
    </row>
    <row r="10">
      <c r="A10" s="12" t="inlineStr">
        <is>
          <t>RV-007</t>
        </is>
      </c>
      <c r="B10" s="12" t="inlineStr">
        <is>
          <t>recipts\photo_2_2026-10-10_11-09-04.jpg</t>
        </is>
      </c>
      <c r="C10" s="12" t="n">
        <v>57944</v>
      </c>
      <c r="D10" s="12" t="inlineStr">
        <is>
          <t>5b8abe4d9a9d270a1a5cb0583fbb4ff555d551b16023d63343affe459769150f</t>
        </is>
      </c>
      <c r="E10" s="12" t="inlineStr">
        <is>
          <t>1200x1163</t>
        </is>
      </c>
      <c r="F10" s="12" t="inlineStr">
        <is>
          <t>نیازمند ورود دستی</t>
        </is>
      </c>
      <c r="G10" s="12" t="inlineStr"/>
      <c r="H10" s="12" t="inlineStr"/>
      <c r="I10" s="12" t="inlineStr"/>
      <c r="J10" s="12" t="inlineStr"/>
      <c r="K10" s="12" t="inlineStr">
        <is>
          <t>ثبت مبلغ/تاریخ/طرف حساب و بررسی تکراری بودن</t>
        </is>
      </c>
    </row>
    <row r="11">
      <c r="A11" s="12" t="inlineStr">
        <is>
          <t>RV-008</t>
        </is>
      </c>
      <c r="B11" s="12" t="inlineStr">
        <is>
          <t>recipts\photo_2_2026-10-10_14-07-27.jpg</t>
        </is>
      </c>
      <c r="C11" s="12" t="n">
        <v>39945</v>
      </c>
      <c r="D11" s="12" t="inlineStr">
        <is>
          <t>6f9a6e2d264b36faa78b41d76c6a1448122e4a243a95c361fd1281ae2bc47e4a</t>
        </is>
      </c>
      <c r="E11" s="12" t="inlineStr">
        <is>
          <t>1280x714</t>
        </is>
      </c>
      <c r="F11" s="12" t="inlineStr">
        <is>
          <t>نیازمند ورود دستی</t>
        </is>
      </c>
      <c r="G11" s="12" t="inlineStr"/>
      <c r="H11" s="12" t="inlineStr"/>
      <c r="I11" s="12" t="inlineStr"/>
      <c r="J11" s="12" t="inlineStr"/>
      <c r="K11" s="12" t="inlineStr">
        <is>
          <t>ثبت مبلغ/تاریخ/طرف حساب و بررسی تکراری بودن</t>
        </is>
      </c>
    </row>
    <row r="12">
      <c r="A12" s="12" t="inlineStr">
        <is>
          <t>RV-009</t>
        </is>
      </c>
      <c r="B12" s="12" t="inlineStr">
        <is>
          <t>recipts\photo_3_2026-10-10_11-09-04.jpg</t>
        </is>
      </c>
      <c r="C12" s="12" t="n">
        <v>48603</v>
      </c>
      <c r="D12" s="12" t="inlineStr">
        <is>
          <t>5e9f3828411eb9b655e40edf6506756897d37de7bd8a35ea38c9eee80d9742c0</t>
        </is>
      </c>
      <c r="E12" s="12" t="inlineStr">
        <is>
          <t>1200x1078</t>
        </is>
      </c>
      <c r="F12" s="12" t="inlineStr">
        <is>
          <t>نیازمند ورود دستی</t>
        </is>
      </c>
      <c r="G12" s="12" t="inlineStr"/>
      <c r="H12" s="12" t="inlineStr"/>
      <c r="I12" s="12" t="inlineStr"/>
      <c r="J12" s="12" t="inlineStr"/>
      <c r="K12" s="12" t="inlineStr">
        <is>
          <t>ثبت مبلغ/تاریخ/طرف حساب و بررسی تکراری بودن</t>
        </is>
      </c>
    </row>
    <row r="13">
      <c r="A13" s="12" t="inlineStr">
        <is>
          <t>RV-010</t>
        </is>
      </c>
      <c r="B13" s="12" t="inlineStr">
        <is>
          <t>recipts\photo_3_2026-10-10_14-07-27.jpg</t>
        </is>
      </c>
      <c r="C13" s="12" t="n">
        <v>45037</v>
      </c>
      <c r="D13" s="12" t="inlineStr">
        <is>
          <t>89cfe54d6ab70d44461da04c4318c4b7a11f78947d9a61bda0e7266fbcc3bdab</t>
        </is>
      </c>
      <c r="E13" s="12" t="inlineStr">
        <is>
          <t>1280x714</t>
        </is>
      </c>
      <c r="F13" s="12" t="inlineStr">
        <is>
          <t>نیازمند ورود دستی</t>
        </is>
      </c>
      <c r="G13" s="12" t="inlineStr"/>
      <c r="H13" s="12" t="inlineStr"/>
      <c r="I13" s="12" t="inlineStr"/>
      <c r="J13" s="12" t="inlineStr"/>
      <c r="K13" s="12" t="inlineStr">
        <is>
          <t>ثبت مبلغ/تاریخ/طرف حساب و بررسی تکراری بودن</t>
        </is>
      </c>
    </row>
    <row r="14">
      <c r="A14" s="12" t="inlineStr">
        <is>
          <t>RV-011</t>
        </is>
      </c>
      <c r="B14" s="12" t="inlineStr">
        <is>
          <t>recipts\photo_4_2026-10-10_11-09-04.jpg</t>
        </is>
      </c>
      <c r="C14" s="12" t="n">
        <v>49704</v>
      </c>
      <c r="D14" s="12" t="inlineStr">
        <is>
          <t>da2ff247cc7b5f3f295635d3052d3d599eebc0806a657613e584d1cce0639769</t>
        </is>
      </c>
      <c r="E14" s="12" t="inlineStr">
        <is>
          <t>1200x1224</t>
        </is>
      </c>
      <c r="F14" s="12" t="inlineStr">
        <is>
          <t>نیازمند ورود دستی</t>
        </is>
      </c>
      <c r="G14" s="12" t="inlineStr"/>
      <c r="H14" s="12" t="inlineStr"/>
      <c r="I14" s="12" t="inlineStr"/>
      <c r="J14" s="12" t="inlineStr"/>
      <c r="K14" s="12" t="inlineStr">
        <is>
          <t>ثبت مبلغ/تاریخ/طرف حساب و بررسی تکراری بودن</t>
        </is>
      </c>
    </row>
    <row r="15">
      <c r="A15" s="12" t="inlineStr">
        <is>
          <t>RV-012</t>
        </is>
      </c>
      <c r="B15" s="12" t="inlineStr">
        <is>
          <t>recipts\photo_4_2026-10-10_14-07-27.jpg</t>
        </is>
      </c>
      <c r="C15" s="12" t="n">
        <v>44990</v>
      </c>
      <c r="D15" s="12" t="inlineStr">
        <is>
          <t>44a438cc79650702edcbab92c8d1b6d5bc74008f068089c928f463f0657d2162</t>
        </is>
      </c>
      <c r="E15" s="12" t="inlineStr">
        <is>
          <t>1280x714</t>
        </is>
      </c>
      <c r="F15" s="12" t="inlineStr">
        <is>
          <t>نیازمند ورود دستی</t>
        </is>
      </c>
      <c r="G15" s="12" t="inlineStr"/>
      <c r="H15" s="12" t="inlineStr"/>
      <c r="I15" s="12" t="inlineStr"/>
      <c r="J15" s="12" t="inlineStr"/>
      <c r="K15" s="12" t="inlineStr">
        <is>
          <t>ثبت مبلغ/تاریخ/طرف حساب و بررسی تکراری بودن</t>
        </is>
      </c>
    </row>
    <row r="16">
      <c r="A16" s="12" t="inlineStr">
        <is>
          <t>RV-013</t>
        </is>
      </c>
      <c r="B16" s="12" t="inlineStr">
        <is>
          <t>recipts\photo_5_2026-10-10_11-09-04.jpg</t>
        </is>
      </c>
      <c r="C16" s="12" t="n">
        <v>49513</v>
      </c>
      <c r="D16" s="12" t="inlineStr">
        <is>
          <t>556c6c35f9ce9e0fb5845f3b0d5b9a1b2696d7e1377af7f4c39d6a23e4360af2</t>
        </is>
      </c>
      <c r="E16" s="12" t="inlineStr">
        <is>
          <t>1200x1145</t>
        </is>
      </c>
      <c r="F16" s="12" t="inlineStr">
        <is>
          <t>نیازمند ورود دستی</t>
        </is>
      </c>
      <c r="G16" s="12" t="inlineStr"/>
      <c r="H16" s="12" t="inlineStr"/>
      <c r="I16" s="12" t="inlineStr"/>
      <c r="J16" s="12" t="inlineStr"/>
      <c r="K16" s="12" t="inlineStr">
        <is>
          <t>ثبت مبلغ/تاریخ/طرف حساب و بررسی تکراری بودن</t>
        </is>
      </c>
    </row>
    <row r="17">
      <c r="A17" s="12" t="inlineStr">
        <is>
          <t>RV-014</t>
        </is>
      </c>
      <c r="B17" s="12" t="inlineStr">
        <is>
          <t>recipts\photo_5_2026-10-10_14-07-27.jpg</t>
        </is>
      </c>
      <c r="C17" s="12" t="n">
        <v>39739</v>
      </c>
      <c r="D17" s="12" t="inlineStr">
        <is>
          <t>63f59a169b5a2bb5dd1bc0587d75173d88da586a0b9b30cbe7effcd5b676c67c</t>
        </is>
      </c>
      <c r="E17" s="12" t="inlineStr">
        <is>
          <t>1280x714</t>
        </is>
      </c>
      <c r="F17" s="12" t="inlineStr">
        <is>
          <t>نیازمند ورود دستی</t>
        </is>
      </c>
      <c r="G17" s="12" t="inlineStr"/>
      <c r="H17" s="12" t="inlineStr"/>
      <c r="I17" s="12" t="inlineStr"/>
      <c r="J17" s="12" t="inlineStr"/>
      <c r="K17" s="12" t="inlineStr">
        <is>
          <t>ثبت مبلغ/تاریخ/طرف حساب و بررسی تکراری بودن</t>
        </is>
      </c>
    </row>
    <row r="18">
      <c r="A18" s="12" t="inlineStr">
        <is>
          <t>RV-015</t>
        </is>
      </c>
      <c r="B18" s="12" t="inlineStr">
        <is>
          <t>recipts\photo_6_2026-10-10_11-09-04.jpg</t>
        </is>
      </c>
      <c r="C18" s="12" t="n">
        <v>57246</v>
      </c>
      <c r="D18" s="12" t="inlineStr">
        <is>
          <t>3e2419ef0ccbe67c3e775ffb4f32e97152e3923bab3c3760071727253938e142</t>
        </is>
      </c>
      <c r="E18" s="12" t="inlineStr">
        <is>
          <t>1200x1163</t>
        </is>
      </c>
      <c r="F18" s="12" t="inlineStr">
        <is>
          <t>نیازمند ورود دستی</t>
        </is>
      </c>
      <c r="G18" s="12" t="inlineStr"/>
      <c r="H18" s="12" t="inlineStr"/>
      <c r="I18" s="12" t="inlineStr"/>
      <c r="J18" s="12" t="inlineStr"/>
      <c r="K18" s="12" t="inlineStr">
        <is>
          <t>ثبت مبلغ/تاریخ/طرف حساب و بررسی تکراری بودن</t>
        </is>
      </c>
    </row>
    <row r="19">
      <c r="A19" s="12" t="inlineStr">
        <is>
          <t>RV-016</t>
        </is>
      </c>
      <c r="B19" s="12" t="inlineStr">
        <is>
          <t>recipts\photo_6_2026-10-10_14-07-27.jpg</t>
        </is>
      </c>
      <c r="C19" s="12" t="n">
        <v>41211</v>
      </c>
      <c r="D19" s="12" t="inlineStr">
        <is>
          <t>2a51ef05147371b78e220f491a2c3e82578cb8a9cc8a65128cd503f3f2eaf183</t>
        </is>
      </c>
      <c r="E19" s="12" t="inlineStr">
        <is>
          <t>1280x714</t>
        </is>
      </c>
      <c r="F19" s="12" t="inlineStr">
        <is>
          <t>نیازمند ورود دستی</t>
        </is>
      </c>
      <c r="G19" s="12" t="inlineStr"/>
      <c r="H19" s="12" t="inlineStr"/>
      <c r="I19" s="12" t="inlineStr"/>
      <c r="J19" s="12" t="inlineStr"/>
      <c r="K19" s="12" t="inlineStr">
        <is>
          <t>ثبت مبلغ/تاریخ/طرف حساب و بررسی تکراری بودن</t>
        </is>
      </c>
    </row>
    <row r="20">
      <c r="A20" s="12" t="inlineStr">
        <is>
          <t>RV-017</t>
        </is>
      </c>
      <c r="B20" s="12" t="inlineStr">
        <is>
          <t>recipts\photo_7_2026-10-10_11-09-04.jpg</t>
        </is>
      </c>
      <c r="C20" s="12" t="n">
        <v>49510</v>
      </c>
      <c r="D20" s="12" t="inlineStr">
        <is>
          <t>805ebbd2b231c7cf1c2858b5a056938b59dd5c7ccaed44d74c4edc20f4b57ce2</t>
        </is>
      </c>
      <c r="E20" s="12" t="inlineStr">
        <is>
          <t>1200x1145</t>
        </is>
      </c>
      <c r="F20" s="12" t="inlineStr">
        <is>
          <t>نیازمند ورود دستی</t>
        </is>
      </c>
      <c r="G20" s="12" t="inlineStr"/>
      <c r="H20" s="12" t="inlineStr"/>
      <c r="I20" s="12" t="inlineStr"/>
      <c r="J20" s="12" t="inlineStr"/>
      <c r="K20" s="12" t="inlineStr">
        <is>
          <t>ثبت مبلغ/تاریخ/طرف حساب و بررسی تکراری بودن</t>
        </is>
      </c>
    </row>
    <row r="21">
      <c r="A21" s="12" t="inlineStr">
        <is>
          <t>RV-018</t>
        </is>
      </c>
      <c r="B21" s="12" t="inlineStr">
        <is>
          <t>recipts\photo_7_2026-10-10_14-07-27.jpg</t>
        </is>
      </c>
      <c r="C21" s="12" t="n">
        <v>44918</v>
      </c>
      <c r="D21" s="12" t="inlineStr">
        <is>
          <t>1bfe3e9b9076ece14313b068bc35b4b58c247e5b9fbf0c8ac9d9161c5a1eab10</t>
        </is>
      </c>
      <c r="E21" s="12" t="inlineStr">
        <is>
          <t>1280x714</t>
        </is>
      </c>
      <c r="F21" s="12" t="inlineStr">
        <is>
          <t>نیازمند ورود دستی</t>
        </is>
      </c>
      <c r="G21" s="12" t="inlineStr"/>
      <c r="H21" s="12" t="inlineStr"/>
      <c r="I21" s="12" t="inlineStr"/>
      <c r="J21" s="12" t="inlineStr"/>
      <c r="K21" s="12" t="inlineStr">
        <is>
          <t>ثبت مبلغ/تاریخ/طرف حساب و بررسی تکراری بودن</t>
        </is>
      </c>
    </row>
    <row r="22">
      <c r="A22" s="12" t="inlineStr">
        <is>
          <t>RV-019</t>
        </is>
      </c>
      <c r="B22" s="12" t="inlineStr">
        <is>
          <t>recipts\photo_8_2026-10-10_11-09-04.jpg</t>
        </is>
      </c>
      <c r="C22" s="12" t="n">
        <v>48893</v>
      </c>
      <c r="D22" s="12" t="inlineStr">
        <is>
          <t>75fee797d13ddb85ea935721b36fb145c6c9fe6b2ea11406f10a551c57acac32</t>
        </is>
      </c>
      <c r="E22" s="12" t="inlineStr">
        <is>
          <t>1200x1145</t>
        </is>
      </c>
      <c r="F22" s="12" t="inlineStr">
        <is>
          <t>نیازمند ورود دستی</t>
        </is>
      </c>
      <c r="G22" s="12" t="inlineStr"/>
      <c r="H22" s="12" t="inlineStr"/>
      <c r="I22" s="12" t="inlineStr"/>
      <c r="J22" s="12" t="inlineStr"/>
      <c r="K22" s="12" t="inlineStr">
        <is>
          <t>ثبت مبلغ/تاریخ/طرف حساب و بررسی تکراری بودن</t>
        </is>
      </c>
    </row>
    <row r="23">
      <c r="A23" s="12" t="inlineStr">
        <is>
          <t>RV-020</t>
        </is>
      </c>
      <c r="B23" s="12" t="inlineStr">
        <is>
          <t>recipts\photo_8_2026-10-10_14-07-27.jpg</t>
        </is>
      </c>
      <c r="C23" s="12" t="n">
        <v>39907</v>
      </c>
      <c r="D23" s="12" t="inlineStr">
        <is>
          <t>ae9fe7eccdae6bf86a1de9ecb8dc330494dec3835c76a1f55a0dd695297689b8</t>
        </is>
      </c>
      <c r="E23" s="12" t="inlineStr">
        <is>
          <t>1280x714</t>
        </is>
      </c>
      <c r="F23" s="12" t="inlineStr">
        <is>
          <t>نیازمند ورود دستی</t>
        </is>
      </c>
      <c r="G23" s="12" t="inlineStr"/>
      <c r="H23" s="12" t="inlineStr"/>
      <c r="I23" s="12" t="inlineStr"/>
      <c r="J23" s="12" t="inlineStr"/>
      <c r="K23" s="12" t="inlineStr">
        <is>
          <t>ثبت مبلغ/تاریخ/طرف حساب و بررسی تکراری بودن</t>
        </is>
      </c>
    </row>
  </sheetData>
  <mergeCells count="1">
    <mergeCell ref="A1:K1"/>
  </mergeCells>
  <pageMargins left="0.75" right="0.75" top="1" bottom="1" header="0.5" footer="0.5"/>
  <pageSetup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E191"/>
  <sheetViews>
    <sheetView rightToLeft="1" workbookViewId="0">
      <pane ySplit="3" topLeftCell="A4" activePane="bottomLeft" state="frozen"/>
      <selection pane="bottomLeft" activeCell="A1" sqref="A1"/>
    </sheetView>
  </sheetViews>
  <sheetFormatPr baseColWidth="8" defaultRowHeight="15"/>
  <cols>
    <col width="18" customWidth="1" min="1" max="1"/>
    <col width="30" customWidth="1" min="2" max="2"/>
    <col width="24" customWidth="1" min="3" max="3"/>
    <col width="100" customWidth="1" min="4" max="4"/>
    <col width="50" customWidth="1" min="5" max="5"/>
  </cols>
  <sheetData>
    <row r="1" ht="28" customHeight="1">
      <c r="A1" s="5" t="inlineStr">
        <is>
          <t>خام پیام‌های تلگرام</t>
        </is>
      </c>
    </row>
    <row r="2">
      <c r="A2" s="6" t="inlineStr">
        <is>
          <t>نسخه refined | واحد گزارش: تومان | مبالغ نامطمئن در صف بررسی از جمع تاییدشده حذف می‌شوند.</t>
        </is>
      </c>
    </row>
    <row r="3" ht="34" customHeight="1">
      <c r="A3" s="7" t="inlineStr">
        <is>
          <t>شناسه پیام</t>
        </is>
      </c>
      <c r="B3" s="7" t="inlineStr">
        <is>
          <t>تاریخ منبع</t>
        </is>
      </c>
      <c r="C3" s="7" t="inlineStr">
        <is>
          <t>فرستنده</t>
        </is>
      </c>
      <c r="D3" s="7" t="inlineStr">
        <is>
          <t>متن</t>
        </is>
      </c>
      <c r="E3" s="7" t="inlineStr">
        <is>
          <t>پیوندها</t>
        </is>
      </c>
    </row>
    <row r="4">
      <c r="A4" s="3" t="inlineStr">
        <is>
          <t>message-1</t>
        </is>
      </c>
      <c r="B4" s="3" t="inlineStr"/>
      <c r="C4" s="3" t="inlineStr"/>
      <c r="D4" s="3" t="inlineStr">
        <is>
          <t>24 July 2025</t>
        </is>
      </c>
      <c r="E4" s="3" t="inlineStr"/>
    </row>
    <row r="5">
      <c r="A5" s="3" t="inlineStr">
        <is>
          <t>message1</t>
        </is>
      </c>
      <c r="B5" s="3" t="inlineStr"/>
      <c r="C5" s="3" t="inlineStr"/>
      <c r="D5" s="3" t="inlineStr">
        <is>
          <t>Anjoman 404_accounting converted a basic group to this supergroup «Anjoman 404_accounting»</t>
        </is>
      </c>
      <c r="E5" s="3" t="inlineStr"/>
    </row>
    <row r="6">
      <c r="A6" s="3" t="inlineStr">
        <is>
          <t>message5</t>
        </is>
      </c>
      <c r="B6" s="3" t="inlineStr">
        <is>
          <t>24.07.2025 20:46:34 UTC+03:30</t>
        </is>
      </c>
      <c r="C6" s="3" t="inlineStr">
        <is>
          <t>امین عزیزی</t>
        </is>
      </c>
      <c r="D6" s="3" t="inlineStr">
        <is>
          <t>ا 20:46 امین عزیزی Animation Not included, change data exporting settings to download. 198.3 KB</t>
        </is>
      </c>
      <c r="E6" s="3" t="inlineStr"/>
    </row>
    <row r="7">
      <c r="A7" s="3" t="inlineStr">
        <is>
          <t>message6</t>
        </is>
      </c>
      <c r="B7" s="3" t="inlineStr">
        <is>
          <t>24.07.2025 20:47:03 UTC+03:30</t>
        </is>
      </c>
      <c r="C7" s="3" t="inlineStr">
        <is>
          <t>Deleted Account</t>
        </is>
      </c>
      <c r="D7" s="3" t="inlineStr">
        <is>
          <t>20:47 Deleted Account report_Python.txt 6.2 KB</t>
        </is>
      </c>
      <c r="E7" s="3" t="inlineStr">
        <is>
          <t>files/report_Python.txt</t>
        </is>
      </c>
    </row>
    <row r="8">
      <c r="A8" s="3" t="inlineStr">
        <is>
          <t>message7</t>
        </is>
      </c>
      <c r="B8" s="3" t="inlineStr">
        <is>
          <t>24.07.2025 20:47:03 UTC+03:30</t>
        </is>
      </c>
      <c r="C8" s="3" t="inlineStr"/>
      <c r="D8" s="3" t="inlineStr">
        <is>
          <t>20:47 report_LaTeX.txt 6.7 KB</t>
        </is>
      </c>
      <c r="E8" s="3" t="inlineStr">
        <is>
          <t>files/report_LaTeX.txt</t>
        </is>
      </c>
    </row>
    <row r="9">
      <c r="A9" s="3" t="inlineStr">
        <is>
          <t>message8</t>
        </is>
      </c>
      <c r="B9" s="3" t="inlineStr">
        <is>
          <t>24.07.2025 20:47:03 UTC+03:30</t>
        </is>
      </c>
      <c r="C9" s="3" t="inlineStr"/>
      <c r="D9" s="3" t="inlineStr">
        <is>
          <t>20:47 report_Mathematica.txt 5.6 KB</t>
        </is>
      </c>
      <c r="E9" s="3" t="inlineStr">
        <is>
          <t>files/report_Mathematica.txt</t>
        </is>
      </c>
    </row>
    <row r="10">
      <c r="A10" s="3" t="inlineStr">
        <is>
          <t>message9</t>
        </is>
      </c>
      <c r="B10" s="3" t="inlineStr">
        <is>
          <t>24.07.2025 20:47:07 UTC+03:30</t>
        </is>
      </c>
      <c r="C10" s="3" t="inlineStr"/>
      <c r="D10" s="3" t="inlineStr">
        <is>
          <t>بنازم روحیه</t>
        </is>
      </c>
      <c r="E10" s="3" t="inlineStr"/>
    </row>
    <row r="11">
      <c r="A11" s="3" t="inlineStr">
        <is>
          <t>message10</t>
        </is>
      </c>
      <c r="B11" s="3" t="inlineStr">
        <is>
          <t>24.07.2025 20:47:12 UTC+03:30</t>
        </is>
      </c>
      <c r="C11" s="3" t="inlineStr"/>
      <c r="D11" s="3" t="inlineStr">
        <is>
          <t>3480 جو</t>
        </is>
      </c>
      <c r="E11" s="3" t="inlineStr"/>
    </row>
    <row r="12">
      <c r="A12" s="3" t="inlineStr">
        <is>
          <t>message11</t>
        </is>
      </c>
      <c r="B12" s="3" t="inlineStr">
        <is>
          <t>24.07.2025 20:47:34 UTC+03:30</t>
        </is>
      </c>
      <c r="C12" s="3" t="inlineStr">
        <is>
          <t>امین عزیزی</t>
        </is>
      </c>
      <c r="D12" s="3" t="inlineStr">
        <is>
          <t>به هر مدرس چقدر میدیم؟</t>
        </is>
      </c>
      <c r="E12" s="3" t="inlineStr"/>
    </row>
    <row r="13">
      <c r="A13" s="3" t="inlineStr">
        <is>
          <t>message12</t>
        </is>
      </c>
      <c r="B13" s="3" t="inlineStr">
        <is>
          <t>24.07.2025 20:47:42 UTC+03:30</t>
        </is>
      </c>
      <c r="C13" s="3" t="inlineStr">
        <is>
          <t>Deleted Account</t>
        </is>
      </c>
      <c r="D13" s="3" t="inlineStr">
        <is>
          <t>2934 سهراب</t>
        </is>
      </c>
      <c r="E13" s="3" t="inlineStr"/>
    </row>
    <row r="14">
      <c r="A14" s="3" t="inlineStr">
        <is>
          <t>message13</t>
        </is>
      </c>
      <c r="B14" s="3" t="inlineStr">
        <is>
          <t>24.07.2025 20:48:09 UTC+03:30</t>
        </is>
      </c>
      <c r="C14" s="3" t="inlineStr"/>
      <c r="D14" s="3" t="inlineStr">
        <is>
          <t>3678 متین</t>
        </is>
      </c>
      <c r="E14" s="3" t="inlineStr"/>
    </row>
    <row r="15">
      <c r="A15" s="3" t="inlineStr">
        <is>
          <t>message14</t>
        </is>
      </c>
      <c r="B15" s="3" t="inlineStr">
        <is>
          <t>24.07.2025 20:48:20 UTC+03:30</t>
        </is>
      </c>
      <c r="C15" s="3" t="inlineStr"/>
      <c r="D15" s="3" t="inlineStr">
        <is>
          <t>همرو تا صد تومن گرد میکنیم</t>
        </is>
      </c>
      <c r="E15" s="3" t="inlineStr"/>
    </row>
    <row r="16">
      <c r="A16" s="3" t="inlineStr">
        <is>
          <t>message15</t>
        </is>
      </c>
      <c r="B16" s="3" t="inlineStr">
        <is>
          <t>24.07.2025 20:48:50 UTC+03:30</t>
        </is>
      </c>
      <c r="C16" s="3" t="inlineStr"/>
      <c r="D16" s="3" t="inlineStr">
        <is>
          <t>از همین الان یه شیت تراز مالی با یه شیت حساب پرداختنی دریافتنی</t>
        </is>
      </c>
      <c r="E16" s="3" t="inlineStr"/>
    </row>
    <row r="17">
      <c r="A17" s="3" t="inlineStr">
        <is>
          <t>message16</t>
        </is>
      </c>
      <c r="B17" s="3" t="inlineStr">
        <is>
          <t>24.07.2025 20:48:53 UTC+03:30</t>
        </is>
      </c>
      <c r="C17" s="3" t="inlineStr"/>
      <c r="D17" s="3" t="inlineStr">
        <is>
          <t>بزن تو کارش</t>
        </is>
      </c>
      <c r="E17" s="3" t="inlineStr"/>
    </row>
    <row r="18">
      <c r="A18" s="3" t="inlineStr">
        <is>
          <t>message17</t>
        </is>
      </c>
      <c r="B18" s="3" t="inlineStr">
        <is>
          <t>24.07.2025 20:49:04 UTC+03:30</t>
        </is>
      </c>
      <c r="C18" s="3" t="inlineStr"/>
      <c r="D18" s="3" t="inlineStr">
        <is>
          <t>اینا رو بلدی</t>
        </is>
      </c>
      <c r="E18" s="3" t="inlineStr"/>
    </row>
    <row r="19">
      <c r="A19" s="3" t="inlineStr">
        <is>
          <t>message18</t>
        </is>
      </c>
      <c r="B19" s="3" t="inlineStr">
        <is>
          <t>24.07.2025 20:49:04 UTC+03:30</t>
        </is>
      </c>
      <c r="C19" s="3" t="inlineStr">
        <is>
          <t>امین عزیزی</t>
        </is>
      </c>
      <c r="D19" s="3" t="inlineStr">
        <is>
          <t>حله من برسم تهران که نت خوب داشته باشم(قبلاً اینجایی که هستم نت خوب بود) شیت درست میکنم</t>
        </is>
      </c>
      <c r="E19" s="3" t="inlineStr"/>
    </row>
    <row r="20">
      <c r="A20" s="3" t="inlineStr">
        <is>
          <t>message19</t>
        </is>
      </c>
      <c r="B20" s="3" t="inlineStr">
        <is>
          <t>24.07.2025 20:49:19 UTC+03:30</t>
        </is>
      </c>
      <c r="C20" s="3" t="inlineStr">
        <is>
          <t>Deleted Account</t>
        </is>
      </c>
      <c r="D20" s="3" t="inlineStr">
        <is>
          <t>اگه هم بلد نیستی باید به عنوان بیزنس من آینده یاد بگیری</t>
        </is>
      </c>
      <c r="E20" s="3" t="inlineStr"/>
    </row>
    <row r="21">
      <c r="A21" s="3" t="inlineStr">
        <is>
          <t>message20</t>
        </is>
      </c>
      <c r="B21" s="3" t="inlineStr">
        <is>
          <t>24.07.2025 20:49:23 UTC+03:30</t>
        </is>
      </c>
      <c r="C21" s="3" t="inlineStr"/>
      <c r="D21" s="3" t="inlineStr">
        <is>
          <t>بنازم</t>
        </is>
      </c>
      <c r="E21" s="3" t="inlineStr"/>
    </row>
    <row r="22">
      <c r="A22" s="3" t="inlineStr">
        <is>
          <t>message21</t>
        </is>
      </c>
      <c r="B22" s="3" t="inlineStr">
        <is>
          <t>24.07.2025 20:49:47 UTC+03:30</t>
        </is>
      </c>
      <c r="C22" s="3" t="inlineStr">
        <is>
          <t>امین عزیزی</t>
        </is>
      </c>
      <c r="D22" s="3" t="inlineStr">
        <is>
          <t>یاد گرفتنش کار سی چهل ثانیه‌ست 👌👌</t>
        </is>
      </c>
      <c r="E22" s="3" t="inlineStr"/>
    </row>
    <row r="23">
      <c r="A23" s="3" t="inlineStr">
        <is>
          <t>message22</t>
        </is>
      </c>
      <c r="B23" s="3" t="inlineStr">
        <is>
          <t>24.07.2025 20:49:56 UTC+03:30</t>
        </is>
      </c>
      <c r="C23" s="3" t="inlineStr"/>
      <c r="D23" s="3" t="inlineStr">
        <is>
          <t>دوتا دکمه میزنم یاد میگیرم</t>
        </is>
      </c>
      <c r="E23" s="3" t="inlineStr"/>
    </row>
    <row r="24">
      <c r="A24" s="3" t="inlineStr">
        <is>
          <t>message23</t>
        </is>
      </c>
      <c r="B24" s="3" t="inlineStr">
        <is>
          <t>24.07.2025 20:50:53 UTC+03:30</t>
        </is>
      </c>
      <c r="C24" s="3" t="inlineStr">
        <is>
          <t>Deleted Account</t>
        </is>
      </c>
      <c r="D24" s="3" t="inlineStr">
        <is>
          <t>بنازم</t>
        </is>
      </c>
      <c r="E24" s="3" t="inlineStr"/>
    </row>
    <row r="25">
      <c r="A25" s="3" t="inlineStr">
        <is>
          <t>message24</t>
        </is>
      </c>
      <c r="B25" s="3" t="inlineStr">
        <is>
          <t>24.07.2025 20:51:00 UTC+03:30</t>
        </is>
      </c>
      <c r="C25" s="3" t="inlineStr"/>
      <c r="D25" s="3" t="inlineStr">
        <is>
          <t>20:51 Animation Not included, change data exporting settings to download. 217.2 KB</t>
        </is>
      </c>
      <c r="E25" s="3" t="inlineStr"/>
    </row>
    <row r="26">
      <c r="A26" s="3" t="inlineStr">
        <is>
          <t>message25</t>
        </is>
      </c>
      <c r="B26" s="3" t="inlineStr">
        <is>
          <t>24.07.2025 21:00:16 UTC+03:30</t>
        </is>
      </c>
      <c r="C26" s="3" t="inlineStr"/>
      <c r="D26" s="3" t="inlineStr">
        <is>
          <t>واریزی کامل حق‌الزحمه مدرس متمتیکا مدرسه تابستانه</t>
        </is>
      </c>
      <c r="E26" s="3" t="inlineStr">
        <is>
          <t>photos/photo_1@24-07-2025_21-00-16.jpg</t>
        </is>
      </c>
    </row>
    <row r="27">
      <c r="A27" s="3" t="inlineStr">
        <is>
          <t>message26</t>
        </is>
      </c>
      <c r="B27" s="3" t="inlineStr">
        <is>
          <t>24.07.2025 21:00:17 UTC+03:30</t>
        </is>
      </c>
      <c r="C27" s="3" t="inlineStr"/>
      <c r="D27" s="3" t="inlineStr">
        <is>
          <t>واریزی و تسویه کامل حق‌الزحمه مدرس پایتون مدرسه تابستانه</t>
        </is>
      </c>
      <c r="E27" s="3" t="inlineStr">
        <is>
          <t>photos/photo_2@24-07-2025_21-00-17.jpg</t>
        </is>
      </c>
    </row>
    <row r="28">
      <c r="A28" s="3" t="inlineStr">
        <is>
          <t>message27</t>
        </is>
      </c>
      <c r="B28" s="3" t="inlineStr">
        <is>
          <t>24.07.2025 21:02:51 UTC+03:30</t>
        </is>
      </c>
      <c r="C28" s="3" t="inlineStr"/>
      <c r="D28" s="3" t="inlineStr">
        <is>
          <t>واریزی و تسویه کامل حق‌الزحمه مدرس لتک مدرسه تابستانه</t>
        </is>
      </c>
      <c r="E28" s="3" t="inlineStr">
        <is>
          <t>photos/photo_3@24-07-2025_21-02-51.jpg</t>
        </is>
      </c>
    </row>
    <row r="29">
      <c r="A29" s="3" t="inlineStr">
        <is>
          <t>message28</t>
        </is>
      </c>
      <c r="B29" s="3" t="inlineStr">
        <is>
          <t>24.07.2025 21:02:54 UTC+03:30</t>
        </is>
      </c>
      <c r="C29" s="3" t="inlineStr"/>
      <c r="D29" s="3" t="inlineStr">
        <is>
          <t>*بانک شهر* سرويس پرداخت لحظه اي (پل) برداشت از:400816808774 مبلغ:37,000,000ريال موجودي:230,203,965 ريال 1404/05/2 21:01:41</t>
        </is>
      </c>
      <c r="E29" s="3" t="inlineStr"/>
    </row>
    <row r="30">
      <c r="A30" s="3" t="inlineStr">
        <is>
          <t>message-2</t>
        </is>
      </c>
      <c r="B30" s="3" t="inlineStr"/>
      <c r="C30" s="3" t="inlineStr"/>
      <c r="D30" s="3" t="inlineStr">
        <is>
          <t>25 July 2025</t>
        </is>
      </c>
      <c r="E30" s="3" t="inlineStr"/>
    </row>
    <row r="31">
      <c r="A31" s="3" t="inlineStr">
        <is>
          <t>message29</t>
        </is>
      </c>
      <c r="B31" s="3" t="inlineStr">
        <is>
          <t>25.07.2025 04:04:24 UTC+03:30</t>
        </is>
      </c>
      <c r="C31" s="3" t="inlineStr">
        <is>
          <t>Deleted Account</t>
        </is>
      </c>
      <c r="D31" s="3" t="inlineStr">
        <is>
          <t>واریزی حق الزحمه تی‌ای و فرم و شیت ابراهیم خسروانی مدرسه تابستانه</t>
        </is>
      </c>
      <c r="E31" s="3" t="inlineStr">
        <is>
          <t>photos/photo_4@25-07-2025_04-04-24.jpg</t>
        </is>
      </c>
    </row>
    <row r="32">
      <c r="A32" s="3" t="inlineStr">
        <is>
          <t>message30</t>
        </is>
      </c>
      <c r="B32" s="3" t="inlineStr">
        <is>
          <t>25.07.2025 04:08:41 UTC+03:30</t>
        </is>
      </c>
      <c r="C32" s="3" t="inlineStr"/>
      <c r="D32" s="3" t="inlineStr">
        <is>
          <t>واریزی حق‌الزحمه ثبت نامی و تی ای پایتون مدرسه تابستانه سپهر طلائی</t>
        </is>
      </c>
      <c r="E32" s="3" t="inlineStr">
        <is>
          <t>photos/photo_5@25-07-2025_04-08-41.jpg</t>
        </is>
      </c>
    </row>
    <row r="33">
      <c r="A33" s="3" t="inlineStr">
        <is>
          <t>message31</t>
        </is>
      </c>
      <c r="B33" s="3" t="inlineStr">
        <is>
          <t>25.07.2025 15:53:39 UTC+03:30</t>
        </is>
      </c>
      <c r="C33" s="3" t="inlineStr">
        <is>
          <t>Deleted Account</t>
        </is>
      </c>
      <c r="D33" s="3" t="inlineStr">
        <is>
          <t>واریزی حق‌الزحمه امین عزیزی فرآیند ثبت نامی حسابداری و تی ای پایتون مدرسه تابستانه</t>
        </is>
      </c>
      <c r="E33" s="3" t="inlineStr">
        <is>
          <t>photos/photo_6@25-07-2025_15-53-39.jpg</t>
        </is>
      </c>
    </row>
    <row r="34">
      <c r="A34" s="3" t="inlineStr">
        <is>
          <t>message32</t>
        </is>
      </c>
      <c r="B34" s="3" t="inlineStr">
        <is>
          <t>25.07.2025 17:26:11 UTC+03:30</t>
        </is>
      </c>
      <c r="C34" s="3" t="inlineStr">
        <is>
          <t>Deleted Account</t>
        </is>
      </c>
      <c r="D34" s="3" t="inlineStr">
        <is>
          <t>*بانک شهر* انتقال وجه کارتي برداشت از:400816808774 مبلغ:6,009,000ريال موجودي:220,589,565 ريال 1404/05/3 15:52:09</t>
        </is>
      </c>
      <c r="E34" s="3" t="inlineStr"/>
    </row>
    <row r="35">
      <c r="A35" s="3" t="inlineStr">
        <is>
          <t>message33</t>
        </is>
      </c>
      <c r="B35" s="3" t="inlineStr">
        <is>
          <t>25.07.2025 17:26:46 UTC+03:30</t>
        </is>
      </c>
      <c r="C35" s="3" t="inlineStr">
        <is>
          <t>امین عزیزی</t>
        </is>
      </c>
      <c r="D35" s="3" t="inlineStr">
        <is>
          <t>به چه شخصی؟</t>
        </is>
      </c>
      <c r="E35" s="3" t="inlineStr"/>
    </row>
    <row r="36">
      <c r="A36" s="3" t="inlineStr">
        <is>
          <t>message34</t>
        </is>
      </c>
      <c r="B36" s="3" t="inlineStr">
        <is>
          <t>25.07.2025 17:34:21 UTC+03:30</t>
        </is>
      </c>
      <c r="C36" s="3" t="inlineStr">
        <is>
          <t>Deleted Account</t>
        </is>
      </c>
      <c r="D36" s="3" t="inlineStr">
        <is>
          <t>این همین اخریه</t>
        </is>
      </c>
      <c r="E36" s="3" t="inlineStr"/>
    </row>
    <row r="37">
      <c r="A37" s="3" t="inlineStr">
        <is>
          <t>message35</t>
        </is>
      </c>
      <c r="B37" s="3" t="inlineStr">
        <is>
          <t>25.07.2025 17:34:31 UTC+03:30</t>
        </is>
      </c>
      <c r="C37" s="3" t="inlineStr"/>
      <c r="D37" s="3" t="inlineStr">
        <is>
          <t>این موجودی نهایی رو فعلا ثبت کن</t>
        </is>
      </c>
      <c r="E37" s="3" t="inlineStr"/>
    </row>
    <row r="38">
      <c r="A38" s="3" t="inlineStr">
        <is>
          <t>message-3</t>
        </is>
      </c>
      <c r="B38" s="3" t="inlineStr"/>
      <c r="C38" s="3" t="inlineStr"/>
      <c r="D38" s="3" t="inlineStr">
        <is>
          <t>26 July 2025</t>
        </is>
      </c>
      <c r="E38" s="3" t="inlineStr"/>
    </row>
    <row r="39">
      <c r="A39" s="3" t="inlineStr">
        <is>
          <t>message36</t>
        </is>
      </c>
      <c r="B39" s="3" t="inlineStr">
        <is>
          <t>26.07.2025 08:05:51 UTC+03:30</t>
        </is>
      </c>
      <c r="C39" s="3" t="inlineStr">
        <is>
          <t>امین عزیزی</t>
        </is>
      </c>
      <c r="D39" s="3" t="inlineStr">
        <is>
          <t>حسن از قبل تو کارتت پول بوده؟</t>
        </is>
      </c>
      <c r="E39" s="3" t="inlineStr"/>
    </row>
    <row r="40">
      <c r="A40" s="3" t="inlineStr">
        <is>
          <t>message37</t>
        </is>
      </c>
      <c r="B40" s="3" t="inlineStr">
        <is>
          <t>26.07.2025 08:06:15 UTC+03:30</t>
        </is>
      </c>
      <c r="C40" s="3" t="inlineStr"/>
      <c r="D40" s="3" t="inlineStr">
        <is>
          <t>موجودیش از تراز مالیمون بیشتره😂</t>
        </is>
      </c>
      <c r="E40" s="3" t="inlineStr"/>
    </row>
    <row r="41">
      <c r="A41" s="3" t="inlineStr">
        <is>
          <t>message38</t>
        </is>
      </c>
      <c r="B41" s="3" t="inlineStr">
        <is>
          <t>26.07.2025 08:07:14 UTC+03:30</t>
        </is>
      </c>
      <c r="C41" s="3" t="inlineStr"/>
      <c r="D41" s="3" t="inlineStr">
        <is>
          <t>راستی یه ایمیل هم بده بهم که اکسس شیت رو بدم بهش</t>
        </is>
      </c>
      <c r="E41" s="3" t="inlineStr"/>
    </row>
    <row r="42">
      <c r="A42" s="3" t="inlineStr">
        <is>
          <t>message39</t>
        </is>
      </c>
      <c r="B42" s="3" t="inlineStr">
        <is>
          <t>26.07.2025 09:01:17 UTC+03:30</t>
        </is>
      </c>
      <c r="C42" s="3" t="inlineStr">
        <is>
          <t>Deleted Account</t>
        </is>
      </c>
      <c r="D42" s="3" t="inlineStr">
        <is>
          <t>چهل هزارتومن😂</t>
        </is>
      </c>
      <c r="E42" s="3" t="inlineStr"/>
    </row>
    <row r="43">
      <c r="A43" s="3" t="inlineStr">
        <is>
          <t>message40</t>
        </is>
      </c>
      <c r="B43" s="3" t="inlineStr">
        <is>
          <t>26.07.2025 09:01:24 UTC+03:30</t>
        </is>
      </c>
      <c r="C43" s="3" t="inlineStr"/>
      <c r="D43" s="3" t="inlineStr">
        <is>
          <t>sandmanshiri@gmail.com</t>
        </is>
      </c>
      <c r="E43" s="3" t="inlineStr">
        <is>
          <t>mailto:sandmanshiri@gmail.com</t>
        </is>
      </c>
    </row>
    <row r="44">
      <c r="A44" s="3" t="inlineStr">
        <is>
          <t>message41</t>
        </is>
      </c>
      <c r="B44" s="3" t="inlineStr">
        <is>
          <t>26.07.2025 14:05:44 UTC+03:30</t>
        </is>
      </c>
      <c r="C44" s="3" t="inlineStr">
        <is>
          <t>امین عزیزی</t>
        </is>
      </c>
      <c r="D44" s="3" t="inlineStr">
        <is>
          <t>ایمیل زدم برات</t>
        </is>
      </c>
      <c r="E44" s="3" t="inlineStr"/>
    </row>
    <row r="45">
      <c r="A45" s="3" t="inlineStr">
        <is>
          <t>message-4</t>
        </is>
      </c>
      <c r="B45" s="3" t="inlineStr"/>
      <c r="C45" s="3" t="inlineStr"/>
      <c r="D45" s="3" t="inlineStr">
        <is>
          <t>11 August 2025</t>
        </is>
      </c>
      <c r="E45" s="3" t="inlineStr"/>
    </row>
    <row r="46">
      <c r="A46" s="3" t="inlineStr">
        <is>
          <t>message42</t>
        </is>
      </c>
      <c r="B46" s="3" t="inlineStr">
        <is>
          <t>11.08.2025 15:51:55 UTC+03:30</t>
        </is>
      </c>
      <c r="C46" s="3" t="inlineStr">
        <is>
          <t>Deleted Account</t>
        </is>
      </c>
      <c r="D46" s="3" t="inlineStr">
        <is>
          <t>بابت ضبط جبرانی جلسه ۳ لتک</t>
        </is>
      </c>
      <c r="E46" s="3" t="inlineStr">
        <is>
          <t>photos/photo_7@11-08-2025_15-51-55.jpg</t>
        </is>
      </c>
    </row>
    <row r="47">
      <c r="A47" s="3" t="inlineStr">
        <is>
          <t>message-5</t>
        </is>
      </c>
      <c r="B47" s="3" t="inlineStr"/>
      <c r="C47" s="3" t="inlineStr"/>
      <c r="D47" s="3" t="inlineStr">
        <is>
          <t>12 August 2025</t>
        </is>
      </c>
      <c r="E47" s="3" t="inlineStr"/>
    </row>
    <row r="48">
      <c r="A48" s="3" t="inlineStr">
        <is>
          <t>message43</t>
        </is>
      </c>
      <c r="B48" s="3" t="inlineStr">
        <is>
          <t>12.08.2025 09:58:34 UTC+03:30</t>
        </is>
      </c>
      <c r="C48" s="3" t="inlineStr">
        <is>
          <t>Deleted Account</t>
        </is>
      </c>
      <c r="D48" s="3" t="inlineStr">
        <is>
          <t>تبلیغات مدرسه مهمات شریف</t>
        </is>
      </c>
      <c r="E48" s="3" t="inlineStr"/>
    </row>
    <row r="49">
      <c r="A49" s="3" t="inlineStr">
        <is>
          <t>message44</t>
        </is>
      </c>
      <c r="B49" s="3" t="inlineStr">
        <is>
          <t>12.08.2025 09:58:34 UTC+03:30</t>
        </is>
      </c>
      <c r="C49" s="3" t="inlineStr">
        <is>
          <t>Deleted Account</t>
        </is>
      </c>
      <c r="D49" s="3" t="inlineStr">
        <is>
          <t>09:58 Deleted Account Deleted Account 19.07.2025 16:42:32 👍 ا</t>
        </is>
      </c>
      <c r="E49" s="3" t="inlineStr">
        <is>
          <t>photos/photo_8@12-08-2025_09-58-34.jpg</t>
        </is>
      </c>
    </row>
    <row r="50">
      <c r="A50" s="3" t="inlineStr">
        <is>
          <t>message45</t>
        </is>
      </c>
      <c r="B50" s="3" t="inlineStr">
        <is>
          <t>12.08.2025 09:58:34 UTC+03:30</t>
        </is>
      </c>
      <c r="C50" s="3" t="inlineStr">
        <is>
          <t>Deleted Account</t>
        </is>
      </c>
      <c r="D50" s="3" t="inlineStr">
        <is>
          <t>‌.سلام وقتتون بخیر خدمت شما امیدوارم موثر بوده باشه</t>
        </is>
      </c>
      <c r="E50" s="3" t="inlineStr"/>
    </row>
    <row r="51">
      <c r="A51" s="3" t="inlineStr">
        <is>
          <t>message46</t>
        </is>
      </c>
      <c r="B51" s="3" t="inlineStr">
        <is>
          <t>12.08.2025 09:58:34 UTC+03:30</t>
        </is>
      </c>
      <c r="C51" s="3" t="inlineStr"/>
      <c r="D51" s="3" t="inlineStr">
        <is>
          <t>09:58</t>
        </is>
      </c>
      <c r="E51" s="3" t="inlineStr">
        <is>
          <t>photos/photo_9@12-08-2025_09-58-34.jpg</t>
        </is>
      </c>
    </row>
    <row r="52">
      <c r="A52" s="3" t="inlineStr">
        <is>
          <t>message-6</t>
        </is>
      </c>
      <c r="B52" s="3" t="inlineStr"/>
      <c r="C52" s="3" t="inlineStr"/>
      <c r="D52" s="3" t="inlineStr">
        <is>
          <t>15 August 2025</t>
        </is>
      </c>
      <c r="E52" s="3" t="inlineStr"/>
    </row>
    <row r="53">
      <c r="A53" s="3" t="inlineStr">
        <is>
          <t>message47</t>
        </is>
      </c>
      <c r="B53" s="3" t="inlineStr">
        <is>
          <t>15.08.2025 18:28:22 UTC+03:30</t>
        </is>
      </c>
      <c r="C53" s="3" t="inlineStr">
        <is>
          <t>Deleted Account</t>
        </is>
      </c>
      <c r="D53" s="3" t="inlineStr">
        <is>
          <t>حق الزحمه ضبط جبرانی جلسه 4 پایتون</t>
        </is>
      </c>
      <c r="E53" s="3" t="inlineStr">
        <is>
          <t>photos/photo_10@15-08-2025_18-28-22.jpg</t>
        </is>
      </c>
    </row>
    <row r="54">
      <c r="A54" s="3" t="inlineStr">
        <is>
          <t>message-7</t>
        </is>
      </c>
      <c r="B54" s="3" t="inlineStr"/>
      <c r="C54" s="3" t="inlineStr"/>
      <c r="D54" s="3" t="inlineStr">
        <is>
          <t>4 September 2025</t>
        </is>
      </c>
      <c r="E54" s="3" t="inlineStr"/>
    </row>
    <row r="55">
      <c r="A55" s="3" t="inlineStr">
        <is>
          <t>message48</t>
        </is>
      </c>
      <c r="B55" s="3" t="inlineStr">
        <is>
          <t>04.09.2025 14:05:56 UTC+03:30</t>
        </is>
      </c>
      <c r="C55" s="3" t="inlineStr">
        <is>
          <t>امین عزیزی</t>
        </is>
      </c>
      <c r="D55" s="3" t="inlineStr">
        <is>
          <t>پرداخت شود به محمدامین عزیزی بابت چاپ پوستر و بارکد برای میز معرفی دانشگاه</t>
        </is>
      </c>
      <c r="E55" s="3" t="inlineStr">
        <is>
          <t>photos/photo_11@04-09-2025_14-05-56.jpg</t>
        </is>
      </c>
    </row>
    <row r="56">
      <c r="A56" s="3" t="inlineStr">
        <is>
          <t>message-8</t>
        </is>
      </c>
      <c r="B56" s="3" t="inlineStr"/>
      <c r="C56" s="3" t="inlineStr"/>
      <c r="D56" s="3" t="inlineStr">
        <is>
          <t>27 September 2025</t>
        </is>
      </c>
      <c r="E56" s="3" t="inlineStr"/>
    </row>
    <row r="57">
      <c r="A57" s="3" t="inlineStr">
        <is>
          <t>message49</t>
        </is>
      </c>
      <c r="B57" s="3" t="inlineStr">
        <is>
          <t>27.09.2025 11:43:22 UTC+03:30</t>
        </is>
      </c>
      <c r="C57" s="3" t="inlineStr">
        <is>
          <t>امین عزیزی</t>
        </is>
      </c>
      <c r="D57" s="3" t="inlineStr">
        <is>
          <t>حسن شماره این کارتی که پولهای انجمن توش هست رو بذار اینجا من باقی مونده پول رویداد رو بریزم تو اون</t>
        </is>
      </c>
      <c r="E57" s="3" t="inlineStr"/>
    </row>
    <row r="58">
      <c r="A58" s="3" t="inlineStr">
        <is>
          <t>message-9</t>
        </is>
      </c>
      <c r="B58" s="3" t="inlineStr"/>
      <c r="C58" s="3" t="inlineStr"/>
      <c r="D58" s="3" t="inlineStr">
        <is>
          <t>1 October 2025</t>
        </is>
      </c>
      <c r="E58" s="3" t="inlineStr"/>
    </row>
    <row r="59">
      <c r="A59" s="3" t="inlineStr">
        <is>
          <t>message50</t>
        </is>
      </c>
      <c r="B59" s="3" t="inlineStr">
        <is>
          <t>01.10.2025 11:51:03 UTC+03:30</t>
        </is>
      </c>
      <c r="C59" s="3" t="inlineStr">
        <is>
          <t>Deleted Account</t>
        </is>
      </c>
      <c r="D59" s="3" t="inlineStr">
        <is>
          <t>5047061055888966</t>
        </is>
      </c>
      <c r="E59" s="3" t="inlineStr"/>
    </row>
    <row r="60">
      <c r="A60" s="3" t="inlineStr">
        <is>
          <t>message51</t>
        </is>
      </c>
      <c r="B60" s="3" t="inlineStr">
        <is>
          <t>01.10.2025 18:02:44 UTC+03:30</t>
        </is>
      </c>
      <c r="C60" s="3" t="inlineStr">
        <is>
          <t>امین عزیزی</t>
        </is>
      </c>
      <c r="D60" s="3" t="inlineStr">
        <is>
          <t>انتقال درآمد خالص از همایش معرفی رشته به حساب اصلی</t>
        </is>
      </c>
      <c r="E60" s="3" t="inlineStr">
        <is>
          <t>photos/photo_12@01-10-2025_18-02-44.jpg</t>
        </is>
      </c>
    </row>
    <row r="61">
      <c r="A61" s="3" t="inlineStr">
        <is>
          <t>message52</t>
        </is>
      </c>
      <c r="B61" s="3" t="inlineStr">
        <is>
          <t>01.10.2025 22:22:43 UTC+03:30</t>
        </is>
      </c>
      <c r="C61" s="3" t="inlineStr">
        <is>
          <t>Deleted Account</t>
        </is>
      </c>
      <c r="D61" s="3" t="inlineStr">
        <is>
          <t>22,765,000 موجودی فعلی</t>
        </is>
      </c>
      <c r="E61" s="3" t="inlineStr"/>
    </row>
    <row r="62">
      <c r="A62" s="3" t="inlineStr">
        <is>
          <t>message53</t>
        </is>
      </c>
      <c r="B62" s="3" t="inlineStr">
        <is>
          <t>01.10.2025 22:22:51 UTC+03:30</t>
        </is>
      </c>
      <c r="C62" s="3" t="inlineStr"/>
      <c r="D62" s="3" t="inlineStr">
        <is>
          <t>این رو کسر کردی امین؟</t>
        </is>
      </c>
      <c r="E62" s="3" t="inlineStr"/>
    </row>
    <row r="63">
      <c r="A63" s="3" t="inlineStr">
        <is>
          <t>message54</t>
        </is>
      </c>
      <c r="B63" s="3" t="inlineStr">
        <is>
          <t>01.10.2025 23:25:53 UTC+03:30</t>
        </is>
      </c>
      <c r="C63" s="3" t="inlineStr">
        <is>
          <t>امین عزیزی</t>
        </is>
      </c>
      <c r="D63" s="3" t="inlineStr">
        <is>
          <t>آره</t>
        </is>
      </c>
      <c r="E63" s="3" t="inlineStr"/>
    </row>
    <row r="64">
      <c r="A64" s="3" t="inlineStr">
        <is>
          <t>message-10</t>
        </is>
      </c>
      <c r="B64" s="3" t="inlineStr"/>
      <c r="C64" s="3" t="inlineStr"/>
      <c r="D64" s="3" t="inlineStr">
        <is>
          <t>10 October 2025</t>
        </is>
      </c>
      <c r="E64" s="3" t="inlineStr"/>
    </row>
    <row r="65">
      <c r="A65" s="3" t="inlineStr">
        <is>
          <t>message55</t>
        </is>
      </c>
      <c r="B65" s="3" t="inlineStr">
        <is>
          <t>10.10.2025 04:08:44 UTC+03:30</t>
        </is>
      </c>
      <c r="C65" s="3" t="inlineStr">
        <is>
          <t>Deleted Account</t>
        </is>
      </c>
      <c r="D65" s="3" t="inlineStr">
        <is>
          <t>@FCS_Amzz https://docs.google.com/spreadsheets/d/12dGUWPGR8eJiLOSkOMYbIjftBJd0PxpBjG16vWOxGVo/edit?gid=696169602#gid=696169602</t>
        </is>
      </c>
      <c r="E65" s="3" t="inlineStr">
        <is>
          <t>https://t.me/FCS_Amzz; https://docs.google.com/spreadsheets/d/12dGUWPGR8eJiLOSkOMYbIjftBJd0PxpBjG16vWOxGVo/edit?gid=696169602#gid=696169602</t>
        </is>
      </c>
    </row>
    <row r="66">
      <c r="A66" s="3" t="inlineStr">
        <is>
          <t>message56</t>
        </is>
      </c>
      <c r="B66" s="3" t="inlineStr">
        <is>
          <t>10.10.2025 04:08:50 UTC+03:30</t>
        </is>
      </c>
      <c r="C66" s="3" t="inlineStr"/>
      <c r="D66" s="3" t="inlineStr">
        <is>
          <t>آپدیتش کن نازنین</t>
        </is>
      </c>
      <c r="E66" s="3" t="inlineStr"/>
    </row>
    <row r="67">
      <c r="A67" s="3" t="inlineStr">
        <is>
          <t>message57</t>
        </is>
      </c>
      <c r="B67" s="3" t="inlineStr">
        <is>
          <t>10.10.2025 04:09:43 UTC+03:30</t>
        </is>
      </c>
      <c r="C67" s="3" t="inlineStr"/>
      <c r="D67" s="3" t="inlineStr">
        <is>
          <t>اون کلید ها که من زدم با تبلیغ مهمات شریف و پوستری که تو چاپ کردی</t>
        </is>
      </c>
      <c r="E67" s="3" t="inlineStr"/>
    </row>
    <row r="68">
      <c r="A68" s="3" t="inlineStr">
        <is>
          <t>message58</t>
        </is>
      </c>
      <c r="B68" s="3" t="inlineStr">
        <is>
          <t>10.10.2025 11:50:44 UTC+03:30</t>
        </is>
      </c>
      <c r="C68" s="3" t="inlineStr">
        <is>
          <t>امین عزیزی</t>
        </is>
      </c>
      <c r="D68" s="3" t="inlineStr">
        <is>
          <t>کدوم پوستر منظورته؟</t>
        </is>
      </c>
      <c r="E68" s="3" t="inlineStr"/>
    </row>
    <row r="69">
      <c r="A69" s="3" t="inlineStr">
        <is>
          <t>message59</t>
        </is>
      </c>
      <c r="B69" s="3" t="inlineStr">
        <is>
          <t>10.10.2025 11:55:42 UTC+03:30</t>
        </is>
      </c>
      <c r="C69" s="3" t="inlineStr">
        <is>
          <t>Deleted Account</t>
        </is>
      </c>
      <c r="D69" s="3" t="inlineStr">
        <is>
          <t>این</t>
        </is>
      </c>
      <c r="E69" s="3" t="inlineStr"/>
    </row>
    <row r="70">
      <c r="A70" s="3" t="inlineStr">
        <is>
          <t>message60</t>
        </is>
      </c>
      <c r="B70" s="3" t="inlineStr">
        <is>
          <t>10.10.2025 11:57:06 UTC+03:30</t>
        </is>
      </c>
      <c r="C70" s="3" t="inlineStr">
        <is>
          <t>امین عزیزی</t>
        </is>
      </c>
      <c r="D70" s="3" t="inlineStr">
        <is>
          <t>اینو زدم</t>
        </is>
      </c>
      <c r="E70" s="3" t="inlineStr"/>
    </row>
    <row r="71">
      <c r="A71" s="3" t="inlineStr">
        <is>
          <t>message-11</t>
        </is>
      </c>
      <c r="B71" s="3" t="inlineStr"/>
      <c r="C71" s="3" t="inlineStr"/>
      <c r="D71" s="3" t="inlineStr">
        <is>
          <t>12 October 2025</t>
        </is>
      </c>
      <c r="E71" s="3" t="inlineStr"/>
    </row>
    <row r="72">
      <c r="A72" s="3" t="inlineStr">
        <is>
          <t>message61</t>
        </is>
      </c>
      <c r="B72" s="3" t="inlineStr">
        <is>
          <t>12.10.2025 10:24:38 UTC+03:30</t>
        </is>
      </c>
      <c r="C72" s="3" t="inlineStr">
        <is>
          <t>Deleted Account</t>
        </is>
      </c>
      <c r="D72" s="3" t="inlineStr">
        <is>
          <t>پوستر نشست و کوانتا</t>
        </is>
      </c>
      <c r="E72" s="3" t="inlineStr">
        <is>
          <t>photos/photo_13@12-10-2025_10-24-38.jpg</t>
        </is>
      </c>
    </row>
    <row r="73">
      <c r="A73" s="3" t="inlineStr">
        <is>
          <t>message-12</t>
        </is>
      </c>
      <c r="B73" s="3" t="inlineStr"/>
      <c r="C73" s="3" t="inlineStr"/>
      <c r="D73" s="3" t="inlineStr">
        <is>
          <t>15 October 2025</t>
        </is>
      </c>
      <c r="E73" s="3" t="inlineStr"/>
    </row>
    <row r="74">
      <c r="A74" s="3" t="inlineStr">
        <is>
          <t>message62</t>
        </is>
      </c>
      <c r="B74" s="3" t="inlineStr">
        <is>
          <t>15.10.2025 14:18:25 UTC+03:30</t>
        </is>
      </c>
      <c r="C74" s="3" t="inlineStr">
        <is>
          <t>Deleted Account</t>
        </is>
      </c>
      <c r="D74" s="3" t="inlineStr">
        <is>
          <t>شیرینی نشست عمومی مورخ 22مهرماه 2کیلو شیرینی خشک سویسی 1کیلو پای آناناس</t>
        </is>
      </c>
      <c r="E74" s="3" t="inlineStr">
        <is>
          <t>photos/photo_14@15-10-2025_14-18-25.jpg</t>
        </is>
      </c>
    </row>
    <row r="75">
      <c r="A75" s="3" t="inlineStr">
        <is>
          <t>message63</t>
        </is>
      </c>
      <c r="B75" s="3" t="inlineStr">
        <is>
          <t>15.10.2025 14:18:25 UTC+03:30</t>
        </is>
      </c>
      <c r="C75" s="3" t="inlineStr"/>
      <c r="D75" s="3" t="inlineStr">
        <is>
          <t>واریزی دکتر مقیمی جهت شیرینی نشست مورخ 22مهرماه</t>
        </is>
      </c>
      <c r="E75" s="3" t="inlineStr">
        <is>
          <t>photos/photo_15@15-10-2025_14-18-25.jpg</t>
        </is>
      </c>
    </row>
    <row r="76">
      <c r="A76" s="3" t="inlineStr">
        <is>
          <t>message64</t>
        </is>
      </c>
      <c r="B76" s="3" t="inlineStr">
        <is>
          <t>15.10.2025 14:18:26 UTC+03:30</t>
        </is>
      </c>
      <c r="C76" s="3" t="inlineStr"/>
      <c r="D76" s="3" t="inlineStr">
        <is>
          <t>دو بسته لیوان پنجاه عددی سه بسته بیسکوئیت چهل عددی یک بسته چایی 100عددی برای انجمن چایی</t>
        </is>
      </c>
      <c r="E76" s="3" t="inlineStr">
        <is>
          <t>photos/photo_16@15-10-2025_14-18-26.jpg</t>
        </is>
      </c>
    </row>
    <row r="77">
      <c r="A77" s="3" t="inlineStr">
        <is>
          <t>message65</t>
        </is>
      </c>
      <c r="B77" s="3" t="inlineStr">
        <is>
          <t>15.10.2025 14:18:26 UTC+03:30</t>
        </is>
      </c>
      <c r="C77" s="3" t="inlineStr"/>
      <c r="D77" s="3" t="inlineStr">
        <is>
          <t>شیرینی پذیرایی جلسه انجمن چایی مورخ 20مهرماه</t>
        </is>
      </c>
      <c r="E77" s="3" t="inlineStr">
        <is>
          <t>photos/photo_17@15-10-2025_14-18-26.jpg</t>
        </is>
      </c>
    </row>
    <row r="78">
      <c r="A78" s="3" t="inlineStr">
        <is>
          <t>message-13</t>
        </is>
      </c>
      <c r="B78" s="3" t="inlineStr"/>
      <c r="C78" s="3" t="inlineStr"/>
      <c r="D78" s="3" t="inlineStr">
        <is>
          <t>20 October 2025</t>
        </is>
      </c>
      <c r="E78" s="3" t="inlineStr"/>
    </row>
    <row r="79">
      <c r="A79" s="3" t="inlineStr">
        <is>
          <t>message66</t>
        </is>
      </c>
      <c r="B79" s="3" t="inlineStr">
        <is>
          <t>20.10.2025 13:05:39 UTC+03:30</t>
        </is>
      </c>
      <c r="C79" s="3" t="inlineStr">
        <is>
          <t>Deleted Account</t>
        </is>
      </c>
      <c r="D79" s="3" t="inlineStr">
        <is>
          <t>dk-file-2025-10-16-14-43-08.pdf</t>
        </is>
      </c>
      <c r="E79" s="3" t="inlineStr">
        <is>
          <t>files/dk-file-2025-10-16-14-43-08.pdf</t>
        </is>
      </c>
    </row>
    <row r="80">
      <c r="A80" s="3" t="inlineStr">
        <is>
          <t>message-14</t>
        </is>
      </c>
      <c r="B80" s="3" t="inlineStr"/>
      <c r="C80" s="3" t="inlineStr"/>
      <c r="D80" s="3" t="inlineStr">
        <is>
          <t>28 October 2025</t>
        </is>
      </c>
      <c r="E80" s="3" t="inlineStr"/>
    </row>
    <row r="81">
      <c r="A81" s="3" t="inlineStr">
        <is>
          <t>message67</t>
        </is>
      </c>
      <c r="B81" s="3" t="inlineStr">
        <is>
          <t>28.10.2025 01:53:01 UTC+03:30</t>
        </is>
      </c>
      <c r="C81" s="3" t="inlineStr">
        <is>
          <t>Deleted Account</t>
        </is>
      </c>
      <c r="D81" s="3" t="inlineStr">
        <is>
          <t>01:53 Deleted Account M Mŏ̈bina 28.10.2025 00:13:04</t>
        </is>
      </c>
      <c r="E81" s="3" t="inlineStr">
        <is>
          <t>photos/photo_18@28-10-2025_01-53-01.jpg</t>
        </is>
      </c>
    </row>
    <row r="82">
      <c r="A82" s="3" t="inlineStr">
        <is>
          <t>message68</t>
        </is>
      </c>
      <c r="B82" s="3" t="inlineStr">
        <is>
          <t>28.10.2025 01:58:06 UTC+03:30</t>
        </is>
      </c>
      <c r="C82" s="3" t="inlineStr">
        <is>
          <t>Deleted Account</t>
        </is>
      </c>
      <c r="D82" s="3" t="inlineStr">
        <is>
          <t>بابت باتری دوربین فیلم برداری</t>
        </is>
      </c>
      <c r="E82" s="3" t="inlineStr"/>
    </row>
    <row r="83">
      <c r="A83" s="3" t="inlineStr">
        <is>
          <t>message69</t>
        </is>
      </c>
      <c r="B83" s="3" t="inlineStr">
        <is>
          <t>28.10.2025 01:58:07 UTC+03:30</t>
        </is>
      </c>
      <c r="C83" s="3" t="inlineStr"/>
      <c r="D83" s="3" t="inlineStr">
        <is>
          <t>بابت باتری دوربین فیلم برداری</t>
        </is>
      </c>
      <c r="E83" s="3" t="inlineStr">
        <is>
          <t>photos/photo_19@28-10-2025_01-58-07.jpg</t>
        </is>
      </c>
    </row>
    <row r="84">
      <c r="A84" s="3" t="inlineStr">
        <is>
          <t>message71</t>
        </is>
      </c>
      <c r="B84" s="3" t="inlineStr">
        <is>
          <t>28.10.2025 22:07:57 UTC+03:30</t>
        </is>
      </c>
      <c r="C84" s="3" t="inlineStr">
        <is>
          <t>Deleted Account</t>
        </is>
      </c>
      <c r="D84" s="3" t="inlineStr">
        <is>
          <t>22:07 Deleted Account M Mŏ̈bina 28.10.2025 10:19:30</t>
        </is>
      </c>
      <c r="E84" s="3" t="inlineStr">
        <is>
          <t>photos/photo_20@28-10-2025_22-07-57.jpg</t>
        </is>
      </c>
    </row>
    <row r="85">
      <c r="A85" s="3" t="inlineStr">
        <is>
          <t>message72</t>
        </is>
      </c>
      <c r="B85" s="3" t="inlineStr">
        <is>
          <t>28.10.2025 22:08:16 UTC+03:30</t>
        </is>
      </c>
      <c r="C85" s="3" t="inlineStr">
        <is>
          <t>Deleted Account</t>
        </is>
      </c>
      <c r="D85" s="3" t="inlineStr">
        <is>
          <t>دریافتی از انجمن پیشین</t>
        </is>
      </c>
      <c r="E85" s="3" t="inlineStr"/>
    </row>
    <row r="86">
      <c r="A86" s="3" t="inlineStr">
        <is>
          <t>message73</t>
        </is>
      </c>
      <c r="B86" s="3" t="inlineStr">
        <is>
          <t>28.10.2025 22:38:17 UTC+03:30</t>
        </is>
      </c>
      <c r="C86" s="3" t="inlineStr">
        <is>
          <t>امین عزیزی</t>
        </is>
      </c>
      <c r="D86" s="3" t="inlineStr">
        <is>
          <t>اینم دریافتی از انجمن سابقه؟</t>
        </is>
      </c>
      <c r="E86" s="3" t="inlineStr"/>
    </row>
    <row r="87">
      <c r="A87" s="3" t="inlineStr">
        <is>
          <t>message74</t>
        </is>
      </c>
      <c r="B87" s="3" t="inlineStr">
        <is>
          <t>28.10.2025 22:40:32 UTC+03:30</t>
        </is>
      </c>
      <c r="C87" s="3" t="inlineStr">
        <is>
          <t>Deleted Account</t>
        </is>
      </c>
      <c r="D87" s="3" t="inlineStr">
        <is>
          <t>درسته</t>
        </is>
      </c>
      <c r="E87" s="3" t="inlineStr"/>
    </row>
    <row r="88">
      <c r="A88" s="3" t="inlineStr">
        <is>
          <t>message75</t>
        </is>
      </c>
      <c r="B88" s="3" t="inlineStr">
        <is>
          <t>28.10.2025 22:40:35 UTC+03:30</t>
        </is>
      </c>
      <c r="C88" s="3" t="inlineStr"/>
      <c r="D88" s="3" t="inlineStr">
        <is>
          <t>جمعا۱۱</t>
        </is>
      </c>
      <c r="E88" s="3" t="inlineStr"/>
    </row>
    <row r="89">
      <c r="A89" s="3" t="inlineStr">
        <is>
          <t>message76</t>
        </is>
      </c>
      <c r="B89" s="3" t="inlineStr">
        <is>
          <t>28.10.2025 22:47:57 UTC+03:30</t>
        </is>
      </c>
      <c r="C89" s="3" t="inlineStr">
        <is>
          <t>امین عزیزی</t>
        </is>
      </c>
      <c r="D89" s="3" t="inlineStr">
        <is>
          <t>حاجی ورودی پولمون از ۵۰ میلیون گذشت🔥</t>
        </is>
      </c>
      <c r="E89" s="3" t="inlineStr"/>
    </row>
    <row r="90">
      <c r="A90" s="3" t="inlineStr">
        <is>
          <t>message77</t>
        </is>
      </c>
      <c r="B90" s="3" t="inlineStr">
        <is>
          <t>28.10.2025 22:48:51 UTC+03:30</t>
        </is>
      </c>
      <c r="C90" s="3" t="inlineStr">
        <is>
          <t>Deleted Account</t>
        </is>
      </c>
      <c r="D90" s="3" t="inlineStr">
        <is>
          <t>بنازم</t>
        </is>
      </c>
      <c r="E90" s="3" t="inlineStr"/>
    </row>
    <row r="91">
      <c r="A91" s="3" t="inlineStr">
        <is>
          <t>message78</t>
        </is>
      </c>
      <c r="B91" s="3" t="inlineStr">
        <is>
          <t>28.10.2025 22:48:56 UTC+03:30</t>
        </is>
      </c>
      <c r="C91" s="3" t="inlineStr"/>
      <c r="D91" s="3" t="inlineStr">
        <is>
          <t>صندوق چقدره</t>
        </is>
      </c>
      <c r="E91" s="3" t="inlineStr"/>
    </row>
    <row r="92">
      <c r="A92" s="3" t="inlineStr">
        <is>
          <t>message79</t>
        </is>
      </c>
      <c r="B92" s="3" t="inlineStr">
        <is>
          <t>28.10.2025 22:49:25 UTC+03:30</t>
        </is>
      </c>
      <c r="C92" s="3" t="inlineStr"/>
      <c r="D92" s="3" t="inlineStr">
        <is>
          <t>یکلی فیش جدیده باید بشینم بزنم بعد بفرستم برات</t>
        </is>
      </c>
      <c r="E92" s="3" t="inlineStr"/>
    </row>
    <row r="93">
      <c r="A93" s="3" t="inlineStr">
        <is>
          <t>message80</t>
        </is>
      </c>
      <c r="B93" s="3" t="inlineStr">
        <is>
          <t>28.10.2025 22:49:48 UTC+03:30</t>
        </is>
      </c>
      <c r="C93" s="3" t="inlineStr"/>
      <c r="D93" s="3" t="inlineStr">
        <is>
          <t>با جشن جمع شه و غرفه ببینیم چقدر مونده بزنیم به اساس</t>
        </is>
      </c>
      <c r="E93" s="3" t="inlineStr"/>
    </row>
    <row r="94">
      <c r="A94" s="3" t="inlineStr">
        <is>
          <t>message81</t>
        </is>
      </c>
      <c r="B94" s="3" t="inlineStr">
        <is>
          <t>28.10.2025 22:49:48 UTC+03:30</t>
        </is>
      </c>
      <c r="C94" s="3" t="inlineStr">
        <is>
          <t>امین عزیزی</t>
        </is>
      </c>
      <c r="D94" s="3" t="inlineStr">
        <is>
          <t>موجودیمون؟</t>
        </is>
      </c>
      <c r="E94" s="3" t="inlineStr"/>
    </row>
    <row r="95">
      <c r="A95" s="3" t="inlineStr">
        <is>
          <t>message82</t>
        </is>
      </c>
      <c r="B95" s="3" t="inlineStr">
        <is>
          <t>28.10.2025 22:49:57 UTC+03:30</t>
        </is>
      </c>
      <c r="C95" s="3" t="inlineStr">
        <is>
          <t>Deleted Account</t>
        </is>
      </c>
      <c r="D95" s="3" t="inlineStr">
        <is>
          <t>یپ</t>
        </is>
      </c>
      <c r="E95" s="3" t="inlineStr"/>
    </row>
    <row r="96">
      <c r="A96" s="3" t="inlineStr">
        <is>
          <t>message83</t>
        </is>
      </c>
      <c r="B96" s="3" t="inlineStr">
        <is>
          <t>28.10.2025 22:50:21 UTC+03:30</t>
        </is>
      </c>
      <c r="C96" s="3" t="inlineStr">
        <is>
          <t>امین عزیزی</t>
        </is>
      </c>
      <c r="D96" s="3" t="inlineStr">
        <is>
          <t>راستی ایمیل رو چک کردی؟ مقیمی میخواست مطمئن بشه حساب درسته</t>
        </is>
      </c>
      <c r="E96" s="3" t="inlineStr"/>
    </row>
    <row r="97">
      <c r="A97" s="3" t="inlineStr">
        <is>
          <t>message84</t>
        </is>
      </c>
      <c r="B97" s="3" t="inlineStr">
        <is>
          <t>28.10.2025 22:50:34 UTC+03:30</t>
        </is>
      </c>
      <c r="C97" s="3" t="inlineStr">
        <is>
          <t>Deleted Account</t>
        </is>
      </c>
      <c r="D97" s="3" t="inlineStr">
        <is>
          <t>ایمیلا نمیان برا من</t>
        </is>
      </c>
      <c r="E97" s="3" t="inlineStr"/>
    </row>
    <row r="98">
      <c r="A98" s="3" t="inlineStr">
        <is>
          <t>message85</t>
        </is>
      </c>
      <c r="B98" s="3" t="inlineStr">
        <is>
          <t>28.10.2025 22:50:52 UTC+03:30</t>
        </is>
      </c>
      <c r="C98" s="3" t="inlineStr">
        <is>
          <t>امین عزیزی</t>
        </is>
      </c>
      <c r="D98" s="3" t="inlineStr">
        <is>
          <t>ایمیل انجمن رو نداری؟</t>
        </is>
      </c>
      <c r="E98" s="3" t="inlineStr"/>
    </row>
    <row r="99">
      <c r="A99" s="3" t="inlineStr">
        <is>
          <t>message86</t>
        </is>
      </c>
      <c r="B99" s="3" t="inlineStr">
        <is>
          <t>28.10.2025 22:51:00 UTC+03:30</t>
        </is>
      </c>
      <c r="C99" s="3" t="inlineStr"/>
      <c r="D99" s="3" t="inlineStr">
        <is>
          <t>۲۹۲۰۰</t>
        </is>
      </c>
      <c r="E99" s="3" t="inlineStr"/>
    </row>
    <row r="100">
      <c r="A100" s="3" t="inlineStr">
        <is>
          <t>message87</t>
        </is>
      </c>
      <c r="B100" s="3" t="inlineStr">
        <is>
          <t>28.10.2025 22:57:09 UTC+03:30</t>
        </is>
      </c>
      <c r="C100" s="3" t="inlineStr">
        <is>
          <t>Deleted Account</t>
        </is>
      </c>
      <c r="D100" s="3" t="inlineStr">
        <is>
          <t>دارم نمیاد ولی برا ابی می‌ره ولی روی هیچ دیوایسی از من لاگ نمیندازه</t>
        </is>
      </c>
      <c r="E100" s="3" t="inlineStr"/>
    </row>
    <row r="101">
      <c r="A101" s="3" t="inlineStr">
        <is>
          <t>message-15</t>
        </is>
      </c>
      <c r="B101" s="3" t="inlineStr"/>
      <c r="C101" s="3" t="inlineStr"/>
      <c r="D101" s="3" t="inlineStr">
        <is>
          <t>9 November 2025</t>
        </is>
      </c>
      <c r="E101" s="3" t="inlineStr"/>
    </row>
    <row r="102">
      <c r="A102" s="3" t="inlineStr">
        <is>
          <t>message88</t>
        </is>
      </c>
      <c r="B102" s="3" t="inlineStr">
        <is>
          <t>09.11.2025 23:15:44 UTC+03:30</t>
        </is>
      </c>
      <c r="C102" s="3" t="inlineStr">
        <is>
          <t>Deleted Account</t>
        </is>
      </c>
      <c r="D102" s="3" t="inlineStr">
        <is>
          <t>امین سلام خوبی از اردوان بپرس برای جشن چقدر خرج کرده</t>
        </is>
      </c>
      <c r="E102" s="3" t="inlineStr"/>
    </row>
    <row r="103">
      <c r="A103" s="3" t="inlineStr">
        <is>
          <t>message89</t>
        </is>
      </c>
      <c r="B103" s="3" t="inlineStr">
        <is>
          <t>09.11.2025 23:15:53 UTC+03:30</t>
        </is>
      </c>
      <c r="C103" s="3" t="inlineStr"/>
      <c r="D103" s="3" t="inlineStr">
        <is>
          <t>دوتا فاکتور هست نمی‌دونم کدوم مال اونه</t>
        </is>
      </c>
      <c r="E103" s="3" t="inlineStr"/>
    </row>
    <row r="104">
      <c r="A104" s="3" t="inlineStr">
        <is>
          <t>message90</t>
        </is>
      </c>
      <c r="B104" s="3" t="inlineStr">
        <is>
          <t>09.11.2025 23:16:09 UTC+03:30</t>
        </is>
      </c>
      <c r="C104" s="3" t="inlineStr"/>
      <c r="D104" s="3" t="inlineStr">
        <is>
          <t>23:16</t>
        </is>
      </c>
      <c r="E104" s="3" t="inlineStr">
        <is>
          <t>photos/photo_21@09-11-2025_23-16-09.jpg</t>
        </is>
      </c>
    </row>
    <row r="105">
      <c r="A105" s="3" t="inlineStr">
        <is>
          <t>message91</t>
        </is>
      </c>
      <c r="B105" s="3" t="inlineStr">
        <is>
          <t>09.11.2025 23:16:15 UTC+03:30</t>
        </is>
      </c>
      <c r="C105" s="3" t="inlineStr"/>
      <c r="D105" s="3" t="inlineStr">
        <is>
          <t>23:16</t>
        </is>
      </c>
      <c r="E105" s="3" t="inlineStr">
        <is>
          <t>photos/photo_22@09-11-2025_23-16-15.jpg</t>
        </is>
      </c>
    </row>
    <row r="106">
      <c r="A106" s="3" t="inlineStr">
        <is>
          <t>message92</t>
        </is>
      </c>
      <c r="B106" s="3" t="inlineStr">
        <is>
          <t>09.11.2025 23:46:02 UTC+03:30</t>
        </is>
      </c>
      <c r="C106" s="3" t="inlineStr">
        <is>
          <t>امین عزیزی</t>
        </is>
      </c>
      <c r="D106" s="3" t="inlineStr">
        <is>
          <t>سلام قربونت حللله</t>
        </is>
      </c>
      <c r="E106" s="3" t="inlineStr"/>
    </row>
    <row r="107">
      <c r="A107" s="3" t="inlineStr">
        <is>
          <t>message-16</t>
        </is>
      </c>
      <c r="B107" s="3" t="inlineStr"/>
      <c r="C107" s="3" t="inlineStr"/>
      <c r="D107" s="3" t="inlineStr">
        <is>
          <t>12 November 2025</t>
        </is>
      </c>
      <c r="E107" s="3" t="inlineStr"/>
    </row>
    <row r="108">
      <c r="A108" s="3" t="inlineStr">
        <is>
          <t>message93</t>
        </is>
      </c>
      <c r="B108" s="3" t="inlineStr">
        <is>
          <t>12.11.2025 06:40:12 UTC+03:30</t>
        </is>
      </c>
      <c r="C108" s="3" t="inlineStr">
        <is>
          <t>Deleted Account</t>
        </is>
      </c>
      <c r="D108" s="3" t="inlineStr">
        <is>
          <t>امین نازنین صبحت بخیر</t>
        </is>
      </c>
      <c r="E108" s="3" t="inlineStr"/>
    </row>
    <row r="109">
      <c r="A109" s="3" t="inlineStr">
        <is>
          <t>message94</t>
        </is>
      </c>
      <c r="B109" s="3" t="inlineStr">
        <is>
          <t>12.11.2025 06:40:16 UTC+03:30</t>
        </is>
      </c>
      <c r="C109" s="3" t="inlineStr"/>
      <c r="D109" s="3" t="inlineStr">
        <is>
          <t>این رو امروز خبر بده</t>
        </is>
      </c>
      <c r="E109" s="3" t="inlineStr"/>
    </row>
    <row r="110">
      <c r="A110" s="3" t="inlineStr">
        <is>
          <t>message95</t>
        </is>
      </c>
      <c r="B110" s="3" t="inlineStr">
        <is>
          <t>12.11.2025 06:40:22 UTC+03:30</t>
        </is>
      </c>
      <c r="C110" s="3" t="inlineStr"/>
      <c r="D110" s="3" t="inlineStr">
        <is>
          <t>شماره کارت راحله هم بگیر</t>
        </is>
      </c>
      <c r="E110" s="3" t="inlineStr"/>
    </row>
    <row r="111">
      <c r="A111" s="3" t="inlineStr">
        <is>
          <t>message96</t>
        </is>
      </c>
      <c r="B111" s="3" t="inlineStr">
        <is>
          <t>12.11.2025 21:51:55 UTC+03:30</t>
        </is>
      </c>
      <c r="C111" s="3" t="inlineStr">
        <is>
          <t>امین عزیزی</t>
        </is>
      </c>
      <c r="D111" s="3" t="inlineStr">
        <is>
          <t>۱۲۰ داده اردوان</t>
        </is>
      </c>
      <c r="E111" s="3" t="inlineStr"/>
    </row>
    <row r="112">
      <c r="A112" s="3" t="inlineStr">
        <is>
          <t>message97</t>
        </is>
      </c>
      <c r="B112" s="3" t="inlineStr">
        <is>
          <t>12.11.2025 22:46:41 UTC+03:30</t>
        </is>
      </c>
      <c r="C112" s="3" t="inlineStr">
        <is>
          <t>امین عزیزی</t>
        </is>
      </c>
      <c r="D112" s="3" t="inlineStr">
        <is>
          <t>5892101714531544</t>
        </is>
      </c>
      <c r="E112" s="3" t="inlineStr"/>
    </row>
    <row r="113">
      <c r="A113" s="3" t="inlineStr">
        <is>
          <t>message98</t>
        </is>
      </c>
      <c r="B113" s="3" t="inlineStr">
        <is>
          <t>12.11.2025 22:46:51 UTC+03:30</t>
        </is>
      </c>
      <c r="C113" s="3" t="inlineStr"/>
      <c r="D113" s="3" t="inlineStr">
        <is>
          <t>هروقت زدی لایو فیش بفرست</t>
        </is>
      </c>
      <c r="E113" s="3" t="inlineStr"/>
    </row>
    <row r="114">
      <c r="A114" s="3" t="inlineStr">
        <is>
          <t>message-17</t>
        </is>
      </c>
      <c r="B114" s="3" t="inlineStr"/>
      <c r="C114" s="3" t="inlineStr"/>
      <c r="D114" s="3" t="inlineStr">
        <is>
          <t>14 November 2025</t>
        </is>
      </c>
      <c r="E114" s="3" t="inlineStr"/>
    </row>
    <row r="115">
      <c r="A115" s="3" t="inlineStr">
        <is>
          <t>message99</t>
        </is>
      </c>
      <c r="B115" s="3" t="inlineStr">
        <is>
          <t>14.11.2025 04:07:19 UTC+03:30</t>
        </is>
      </c>
      <c r="C115" s="3" t="inlineStr">
        <is>
          <t>Deleted Account</t>
        </is>
      </c>
      <c r="D115" s="3" t="inlineStr">
        <is>
          <t>واریزی هزینه چسب بادکنک جشن ورودی</t>
        </is>
      </c>
      <c r="E115" s="3" t="inlineStr">
        <is>
          <t>photos/photo_23@14-11-2025_04-07-19.jpg</t>
        </is>
      </c>
    </row>
    <row r="116">
      <c r="A116" s="3" t="inlineStr">
        <is>
          <t>message100</t>
        </is>
      </c>
      <c r="B116" s="3" t="inlineStr">
        <is>
          <t>14.11.2025 04:07:19 UTC+03:30</t>
        </is>
      </c>
      <c r="C116" s="3" t="inlineStr"/>
      <c r="D116" s="3" t="inlineStr">
        <is>
          <t>واریزی جهت خرید لوازم تزئینات جشن ورودی 1404</t>
        </is>
      </c>
      <c r="E116" s="3" t="inlineStr">
        <is>
          <t>photos/photo_24@14-11-2025_04-07-19.jpg</t>
        </is>
      </c>
    </row>
    <row r="117">
      <c r="A117" s="3" t="inlineStr">
        <is>
          <t>message-18</t>
        </is>
      </c>
      <c r="B117" s="3" t="inlineStr"/>
      <c r="C117" s="3" t="inlineStr"/>
      <c r="D117" s="3" t="inlineStr">
        <is>
          <t>19 November 2025</t>
        </is>
      </c>
      <c r="E117" s="3" t="inlineStr"/>
    </row>
    <row r="118">
      <c r="A118" s="3" t="inlineStr">
        <is>
          <t>message101</t>
        </is>
      </c>
      <c r="B118" s="3" t="inlineStr">
        <is>
          <t>19.11.2025 11:46:31 UTC+03:30</t>
        </is>
      </c>
      <c r="C118" s="3" t="inlineStr">
        <is>
          <t>Deleted Account</t>
        </is>
      </c>
      <c r="D118" s="3" t="inlineStr">
        <is>
          <t>واریزی دکتر مقیمی جهت هزینه های جاری انجمن</t>
        </is>
      </c>
      <c r="E118" s="3" t="inlineStr"/>
    </row>
    <row r="119">
      <c r="A119" s="3" t="inlineStr">
        <is>
          <t>message102</t>
        </is>
      </c>
      <c r="B119" s="3" t="inlineStr">
        <is>
          <t>19.11.2025 11:46:31 UTC+03:30</t>
        </is>
      </c>
      <c r="C119" s="3" t="inlineStr">
        <is>
          <t>Deleted Account</t>
        </is>
      </c>
      <c r="D119" s="3" t="inlineStr">
        <is>
          <t>11:46 Deleted Account SM Saman Moghimi 19.11.2025 11:44:07</t>
        </is>
      </c>
      <c r="E119" s="3" t="inlineStr">
        <is>
          <t>photos/photo_25@19-11-2025_11-46-31.jpg</t>
        </is>
      </c>
    </row>
    <row r="120">
      <c r="A120" s="3" t="inlineStr">
        <is>
          <t>message103</t>
        </is>
      </c>
      <c r="B120" s="3" t="inlineStr">
        <is>
          <t>19.11.2025 11:46:31 UTC+03:30</t>
        </is>
      </c>
      <c r="C120" s="3" t="inlineStr">
        <is>
          <t>Saman Moghimi 19.11.2025 11:44:07</t>
        </is>
      </c>
      <c r="D120" s="3" t="inlineStr">
        <is>
          <t>این فعلا ده میلیون.</t>
        </is>
      </c>
      <c r="E120" s="3" t="inlineStr"/>
    </row>
    <row r="121">
      <c r="A121" s="3" t="inlineStr">
        <is>
          <t>message-19</t>
        </is>
      </c>
      <c r="B121" s="3" t="inlineStr"/>
      <c r="C121" s="3" t="inlineStr"/>
      <c r="D121" s="3" t="inlineStr">
        <is>
          <t>21 November 2025</t>
        </is>
      </c>
      <c r="E121" s="3" t="inlineStr"/>
    </row>
    <row r="122">
      <c r="A122" s="3" t="inlineStr">
        <is>
          <t>message105</t>
        </is>
      </c>
      <c r="B122" s="3" t="inlineStr">
        <is>
          <t>21.11.2025 13:25:18 UTC+03:30</t>
        </is>
      </c>
      <c r="C122" s="3" t="inlineStr">
        <is>
          <t>Deleted Account</t>
        </is>
      </c>
      <c r="D122" s="3" t="inlineStr">
        <is>
          <t>1404/07/22 10:40:31 -10,523,750 شیرینی جلسه دیدار با اساتید- انجمن</t>
        </is>
      </c>
      <c r="E122" s="3" t="inlineStr"/>
    </row>
    <row r="123">
      <c r="A123" s="3" t="inlineStr">
        <is>
          <t>message106</t>
        </is>
      </c>
      <c r="B123" s="3" t="inlineStr">
        <is>
          <t>21.11.2025 13:25:31 UTC+03:30</t>
        </is>
      </c>
      <c r="C123" s="3" t="inlineStr"/>
      <c r="D123" s="3" t="inlineStr">
        <is>
          <t>1404/08/03 16:36:35 -700,000 دستمال - انجمن</t>
        </is>
      </c>
      <c r="E123" s="3" t="inlineStr"/>
    </row>
    <row r="124">
      <c r="A124" s="3" t="inlineStr">
        <is>
          <t>message107</t>
        </is>
      </c>
      <c r="B124" s="3" t="inlineStr">
        <is>
          <t>21.11.2025 13:25:42 UTC+03:30</t>
        </is>
      </c>
      <c r="C124" s="3" t="inlineStr"/>
      <c r="D124" s="3" t="inlineStr">
        <is>
          <t>1404/08/07 15:18:06 -14,440,000 خرید جایزه جشن - انجمن -دفترچه خودکار و.. 1404/08/07 15:23:42 -15,000,000 خرید جایزه جشن - انجمن -هندزفری و ... 1404/08/07 15:32:21 -14,000,000 خرید جایزه جشن - انجمن - دستبند فرفره و...</t>
        </is>
      </c>
      <c r="E124" s="3" t="inlineStr"/>
    </row>
    <row r="125">
      <c r="A125" s="3" t="inlineStr">
        <is>
          <t>message108</t>
        </is>
      </c>
      <c r="B125" s="3" t="inlineStr">
        <is>
          <t>21.11.2025 13:25:55 UTC+03:30</t>
        </is>
      </c>
      <c r="C125" s="3" t="inlineStr"/>
      <c r="D125" s="3" t="inlineStr">
        <is>
          <t>1404/08/05 12:16:49 -3,100,000 خرید اتصالات پروژکتور - انجمن 1404/08/05 12:24:15 -17,600,000 خرید حفاظ برق و ابزار جهت اتصال پروژکتور غرفه ها - انجمن 1404/08/05 13:13:11 -2,300,000 پذیرایی غرفه -انجمن</t>
        </is>
      </c>
      <c r="E125" s="3" t="inlineStr"/>
    </row>
    <row r="126">
      <c r="A126" s="3" t="inlineStr">
        <is>
          <t>message109</t>
        </is>
      </c>
      <c r="B126" s="3" t="inlineStr">
        <is>
          <t>21.11.2025 13:26:09 UTC+03:30</t>
        </is>
      </c>
      <c r="C126" s="3" t="inlineStr"/>
      <c r="D126" s="3" t="inlineStr">
        <is>
          <t>1404/08/28 6:49:28 -12,261,000 دارو برای کمک اولیه - انجمن</t>
        </is>
      </c>
      <c r="E126" s="3" t="inlineStr"/>
    </row>
    <row r="127">
      <c r="A127" s="3" t="inlineStr">
        <is>
          <t>message110</t>
        </is>
      </c>
      <c r="B127" s="3" t="inlineStr">
        <is>
          <t>21.11.2025 13:26:19 UTC+03:30</t>
        </is>
      </c>
      <c r="C127" s="3" t="inlineStr"/>
      <c r="D127" s="3" t="inlineStr">
        <is>
          <t>1404/08/28 12:55:53 -23,000 چاپ قوانین - انجمن 1404/08/28 12:55:53 -13,000 چاپ قوانین - انجمن</t>
        </is>
      </c>
      <c r="E127" s="3" t="inlineStr"/>
    </row>
    <row r="128">
      <c r="A128" s="3" t="inlineStr">
        <is>
          <t>message111</t>
        </is>
      </c>
      <c r="B128" s="3" t="inlineStr">
        <is>
          <t>21.11.2025 13:33:16 UTC+03:30</t>
        </is>
      </c>
      <c r="C128" s="3" t="inlineStr"/>
      <c r="D128" s="3" t="inlineStr">
        <is>
          <t>300000 تومن هم پول نقد شاباش جشن</t>
        </is>
      </c>
      <c r="E128" s="3" t="inlineStr"/>
    </row>
    <row r="129">
      <c r="A129" s="3" t="inlineStr">
        <is>
          <t>message-20</t>
        </is>
      </c>
      <c r="B129" s="3" t="inlineStr"/>
      <c r="C129" s="3" t="inlineStr"/>
      <c r="D129" s="3" t="inlineStr">
        <is>
          <t>21 December 2025</t>
        </is>
      </c>
      <c r="E129" s="3" t="inlineStr"/>
    </row>
    <row r="130">
      <c r="A130" s="3" t="inlineStr">
        <is>
          <t>message112</t>
        </is>
      </c>
      <c r="B130" s="3" t="inlineStr">
        <is>
          <t>21.12.2025 05:36:21 UTC+03:30</t>
        </is>
      </c>
      <c r="C130" s="3" t="inlineStr">
        <is>
          <t>Deleted Account</t>
        </is>
      </c>
      <c r="D130" s="3" t="inlineStr">
        <is>
          <t>05:36 Deleted Account</t>
        </is>
      </c>
      <c r="E130" s="3" t="inlineStr">
        <is>
          <t>photos/photo_26@21-12-2025_05-36-21.jpg</t>
        </is>
      </c>
    </row>
    <row r="131">
      <c r="A131" s="3" t="inlineStr">
        <is>
          <t>message113</t>
        </is>
      </c>
      <c r="B131" s="3" t="inlineStr">
        <is>
          <t>21.12.2025 08:29:22 UTC+03:30</t>
        </is>
      </c>
      <c r="C131" s="3" t="inlineStr">
        <is>
          <t>امین عزیزی</t>
        </is>
      </c>
      <c r="D131" s="3" t="inlineStr">
        <is>
          <t>حاجی چقدر پول داره مقیمی😂</t>
        </is>
      </c>
      <c r="E131" s="3" t="inlineStr"/>
    </row>
    <row r="132">
      <c r="A132" s="3" t="inlineStr">
        <is>
          <t>message-21</t>
        </is>
      </c>
      <c r="B132" s="3" t="inlineStr"/>
      <c r="C132" s="3" t="inlineStr"/>
      <c r="D132" s="3" t="inlineStr">
        <is>
          <t>16 February 2026</t>
        </is>
      </c>
      <c r="E132" s="3" t="inlineStr"/>
    </row>
    <row r="133">
      <c r="A133" s="3" t="inlineStr">
        <is>
          <t>message114</t>
        </is>
      </c>
      <c r="B133" s="3" t="inlineStr">
        <is>
          <t>16.02.2026 15:48:21 UTC+03:30</t>
        </is>
      </c>
      <c r="C133" s="3" t="inlineStr">
        <is>
          <t>Deleted Account</t>
        </is>
      </c>
      <c r="D133" s="3" t="inlineStr">
        <is>
          <t>امین برای یلدا اینا رو جزو ورودی ها بزن</t>
        </is>
      </c>
      <c r="E133" s="3" t="inlineStr"/>
    </row>
    <row r="134">
      <c r="A134" s="3" t="inlineStr">
        <is>
          <t>message115</t>
        </is>
      </c>
      <c r="B134" s="3" t="inlineStr">
        <is>
          <t>16.02.2026 15:49:32 UTC+03:30</t>
        </is>
      </c>
      <c r="C134" s="3" t="inlineStr"/>
      <c r="D134" s="3" t="inlineStr">
        <is>
          <t>بانک سپه واريز:1,500,000ريال حساب:3001254062925 مانده:130,982,851 10/1-10:11 بانک سپه برداشت:100,037,800 حساب : 3001254062925 مانده:30,945,051 10/1-10:29 بانک سپه واريز:5,000,000ريال حساب:3001254062925 مانده:47,945,051 10/1-14:29 بانک سپه واريز:10,000,000ريال حساب:3001254062925 مانده:33,652,252 10/2-7:40</t>
        </is>
      </c>
      <c r="E134" s="3" t="inlineStr"/>
    </row>
    <row r="135">
      <c r="A135" s="3" t="inlineStr">
        <is>
          <t>message116</t>
        </is>
      </c>
      <c r="B135" s="3" t="inlineStr">
        <is>
          <t>16.02.2026 15:50:28 UTC+03:30</t>
        </is>
      </c>
      <c r="C135" s="3" t="inlineStr"/>
      <c r="D135" s="3" t="inlineStr">
        <is>
          <t>یکم گیج کننده شد ولی جمعا 15,790,000 واریزی نقدی بوده و 700,000 وجه نقد</t>
        </is>
      </c>
      <c r="E135" s="3" t="inlineStr"/>
    </row>
    <row r="136">
      <c r="A136" s="3" t="inlineStr">
        <is>
          <t>message117</t>
        </is>
      </c>
      <c r="B136" s="3" t="inlineStr">
        <is>
          <t>16.02.2026 15:50:53 UTC+03:30</t>
        </is>
      </c>
      <c r="C136" s="3" t="inlineStr"/>
      <c r="D136" s="3" t="inlineStr">
        <is>
          <t>تا بعد رسیدم تهران فاکتور هارو مرتب کنم بدم بهت</t>
        </is>
      </c>
      <c r="E136" s="3" t="inlineStr"/>
    </row>
    <row r="137">
      <c r="A137" s="3" t="inlineStr">
        <is>
          <t>message-22</t>
        </is>
      </c>
      <c r="B137" s="3" t="inlineStr"/>
      <c r="C137" s="3" t="inlineStr"/>
      <c r="D137" s="3" t="inlineStr">
        <is>
          <t>19 February 2026</t>
        </is>
      </c>
      <c r="E137" s="3" t="inlineStr"/>
    </row>
    <row r="138">
      <c r="A138" s="3" t="inlineStr">
        <is>
          <t>message118</t>
        </is>
      </c>
      <c r="B138" s="3" t="inlineStr">
        <is>
          <t>19.02.2026 10:32:24 UTC+03:30</t>
        </is>
      </c>
      <c r="C138" s="3" t="inlineStr">
        <is>
          <t>امین عزیزی</t>
        </is>
      </c>
      <c r="D138" s="3" t="inlineStr">
        <is>
          <t>حسن اینو رو ورودی بزنم؟ زده برداشت این اصلا هست جزوشون یا نه؟</t>
        </is>
      </c>
      <c r="E138" s="3" t="inlineStr"/>
    </row>
    <row r="139">
      <c r="A139" s="3" t="inlineStr">
        <is>
          <t>message119</t>
        </is>
      </c>
      <c r="B139" s="3" t="inlineStr">
        <is>
          <t>19.02.2026 10:35:49 UTC+03:30</t>
        </is>
      </c>
      <c r="C139" s="3" t="inlineStr"/>
      <c r="D139" s="3" t="inlineStr">
        <is>
          <t>خرج جشن رو هم بگو لطفا</t>
        </is>
      </c>
      <c r="E139" s="3" t="inlineStr"/>
    </row>
    <row r="140">
      <c r="A140" s="3" t="inlineStr">
        <is>
          <t>message-23</t>
        </is>
      </c>
      <c r="B140" s="3" t="inlineStr"/>
      <c r="C140" s="3" t="inlineStr"/>
      <c r="D140" s="3" t="inlineStr">
        <is>
          <t>21 February 2026</t>
        </is>
      </c>
      <c r="E140" s="3" t="inlineStr"/>
    </row>
    <row r="141">
      <c r="A141" s="3" t="inlineStr">
        <is>
          <t>message120</t>
        </is>
      </c>
      <c r="B141" s="3" t="inlineStr">
        <is>
          <t>21.02.2026 02:53:32 UTC+03:30</t>
        </is>
      </c>
      <c r="C141" s="3" t="inlineStr">
        <is>
          <t>Deleted Account</t>
        </is>
      </c>
      <c r="D141" s="3" t="inlineStr">
        <is>
          <t>این برداشت برای کارت به کارت هزینه‌ها بوده صرفا گذاشتم که با بقیه واریزی ها جمع بزنی</t>
        </is>
      </c>
      <c r="E141" s="3" t="inlineStr"/>
    </row>
    <row r="142">
      <c r="A142" s="3" t="inlineStr">
        <is>
          <t>message121</t>
        </is>
      </c>
      <c r="B142" s="3" t="inlineStr">
        <is>
          <t>21.02.2026 02:54:33 UTC+03:30</t>
        </is>
      </c>
      <c r="C142" s="3" t="inlineStr"/>
      <c r="D142" s="3" t="inlineStr">
        <is>
          <t>ولی عدد ورودی کل از منبع کمک مالی جمعی ،برابر جمع این دوتا میشه</t>
        </is>
      </c>
      <c r="E142" s="3" t="inlineStr"/>
    </row>
    <row r="143">
      <c r="A143" s="3" t="inlineStr">
        <is>
          <t>message122</t>
        </is>
      </c>
      <c r="B143" s="3" t="inlineStr">
        <is>
          <t>21.02.2026 02:54:39 UTC+03:30</t>
        </is>
      </c>
      <c r="C143" s="3" t="inlineStr"/>
      <c r="D143" s="3" t="inlineStr">
        <is>
          <t>حله</t>
        </is>
      </c>
      <c r="E143" s="3" t="inlineStr"/>
    </row>
    <row r="144">
      <c r="A144" s="3" t="inlineStr">
        <is>
          <t>message123</t>
        </is>
      </c>
      <c r="B144" s="3" t="inlineStr">
        <is>
          <t>21.02.2026 02:54:41 UTC+03:30</t>
        </is>
      </c>
      <c r="C144" s="3" t="inlineStr"/>
      <c r="D144" s="3" t="inlineStr">
        <is>
          <t>.</t>
        </is>
      </c>
      <c r="E144" s="3" t="inlineStr"/>
    </row>
    <row r="145">
      <c r="A145" s="3" t="inlineStr">
        <is>
          <t>message-24</t>
        </is>
      </c>
      <c r="B145" s="3" t="inlineStr"/>
      <c r="C145" s="3" t="inlineStr"/>
      <c r="D145" s="3" t="inlineStr">
        <is>
          <t>17 May 2026</t>
        </is>
      </c>
      <c r="E145" s="3" t="inlineStr"/>
    </row>
    <row r="146">
      <c r="A146" s="3" t="inlineStr">
        <is>
          <t>message124</t>
        </is>
      </c>
      <c r="B146" s="3" t="inlineStr">
        <is>
          <t>17.05.2026 19:45:07 UTC+03:30</t>
        </is>
      </c>
      <c r="C146" s="3" t="inlineStr">
        <is>
          <t>Deleted Account</t>
        </is>
      </c>
      <c r="D146" s="3" t="inlineStr">
        <is>
          <t>19:45 Deleted Account P Parnian 13.05.2026 13:19:49 CamScanner 13-05-2026 12.43 (1).pdf 7.0 MB</t>
        </is>
      </c>
      <c r="E146" s="3" t="inlineStr">
        <is>
          <t>files/CamScanner 13-05-2026 12.43 (1).pdf</t>
        </is>
      </c>
    </row>
    <row r="147">
      <c r="A147" s="3" t="inlineStr">
        <is>
          <t>message125</t>
        </is>
      </c>
      <c r="B147" s="3" t="inlineStr">
        <is>
          <t>17.05.2026 19:45:07 UTC+03:30</t>
        </is>
      </c>
      <c r="C147" s="3" t="inlineStr">
        <is>
          <t>Deleted Account</t>
        </is>
      </c>
      <c r="D147" s="3" t="inlineStr">
        <is>
          <t>19:45 Deleted Account Deleted Account 17.05.2026 18:38:53</t>
        </is>
      </c>
      <c r="E147" s="3" t="inlineStr">
        <is>
          <t>photos/photo_27@17-05-2026_19-45-07.jpg</t>
        </is>
      </c>
    </row>
    <row r="148">
      <c r="A148" s="3" t="inlineStr">
        <is>
          <t>message126</t>
        </is>
      </c>
      <c r="B148" s="3" t="inlineStr">
        <is>
          <t>17.05.2026 19:45:07 UTC+03:30</t>
        </is>
      </c>
      <c r="C148" s="3" t="inlineStr"/>
      <c r="D148" s="3" t="inlineStr">
        <is>
          <t>19:45</t>
        </is>
      </c>
      <c r="E148" s="3" t="inlineStr">
        <is>
          <t>photos/photo_28@17-05-2026_19-45-07.jpg</t>
        </is>
      </c>
    </row>
    <row r="149">
      <c r="A149" s="3" t="inlineStr">
        <is>
          <t>message127</t>
        </is>
      </c>
      <c r="B149" s="3" t="inlineStr">
        <is>
          <t>17.05.2026 20:15:05 UTC+03:30</t>
        </is>
      </c>
      <c r="C149" s="3" t="inlineStr">
        <is>
          <t>امین عزیزی</t>
        </is>
      </c>
      <c r="D149" s="3" t="inlineStr">
        <is>
          <t>این چیه؟</t>
        </is>
      </c>
      <c r="E149" s="3" t="inlineStr"/>
    </row>
    <row r="150">
      <c r="A150" s="3" t="inlineStr">
        <is>
          <t>message128</t>
        </is>
      </c>
      <c r="B150" s="3" t="inlineStr">
        <is>
          <t>17.05.2026 20:16:06 UTC+03:30</t>
        </is>
      </c>
      <c r="C150" s="3" t="inlineStr">
        <is>
          <t>Deleted Account</t>
        </is>
      </c>
      <c r="D150" s="3" t="inlineStr">
        <is>
          <t>این از جشن یلدا کوکی و یسری چیزه پرنیان دیر فرستاده بود</t>
        </is>
      </c>
      <c r="E150" s="3" t="inlineStr"/>
    </row>
    <row r="151">
      <c r="A151" s="3" t="inlineStr">
        <is>
          <t>message129</t>
        </is>
      </c>
      <c r="B151" s="3" t="inlineStr">
        <is>
          <t>17.05.2026 20:16:15 UTC+03:30</t>
        </is>
      </c>
      <c r="C151" s="3" t="inlineStr"/>
      <c r="D151" s="3" t="inlineStr">
        <is>
          <t>واردشون کن این رسیداشه</t>
        </is>
      </c>
      <c r="E151" s="3" t="inlineStr"/>
    </row>
    <row r="152">
      <c r="A152" s="3" t="inlineStr">
        <is>
          <t>message130</t>
        </is>
      </c>
      <c r="B152" s="3" t="inlineStr">
        <is>
          <t>17.05.2026 20:16:18 UTC+03:30</t>
        </is>
      </c>
      <c r="C152" s="3" t="inlineStr"/>
      <c r="D152" s="3" t="inlineStr">
        <is>
          <t>یه چک بکن</t>
        </is>
      </c>
      <c r="E152" s="3" t="inlineStr"/>
    </row>
    <row r="153">
      <c r="A153" s="3" t="inlineStr">
        <is>
          <t>message131</t>
        </is>
      </c>
      <c r="B153" s="3" t="inlineStr">
        <is>
          <t>17.05.2026 20:17:06 UTC+03:30</t>
        </is>
      </c>
      <c r="C153" s="3" t="inlineStr">
        <is>
          <t>امین عزیزی</t>
        </is>
      </c>
      <c r="D153" s="3" t="inlineStr">
        <is>
          <t>حله حله</t>
        </is>
      </c>
      <c r="E153" s="3" t="inlineStr"/>
    </row>
    <row r="154">
      <c r="A154" s="3" t="inlineStr">
        <is>
          <t>message-25</t>
        </is>
      </c>
      <c r="B154" s="3" t="inlineStr"/>
      <c r="C154" s="3" t="inlineStr"/>
      <c r="D154" s="3" t="inlineStr">
        <is>
          <t>18 May 2026</t>
        </is>
      </c>
      <c r="E154" s="3" t="inlineStr"/>
    </row>
    <row r="155">
      <c r="A155" s="3" t="inlineStr">
        <is>
          <t>message132</t>
        </is>
      </c>
      <c r="B155" s="3" t="inlineStr">
        <is>
          <t>18.05.2026 01:14:16 UTC+03:30</t>
        </is>
      </c>
      <c r="C155" s="3" t="inlineStr">
        <is>
          <t>Deleted Account</t>
        </is>
      </c>
      <c r="D155" s="3" t="inlineStr">
        <is>
          <t>01:14 Deleted Account In reply to this message Sticker Not included, change data exporting settings to download. 👃, 203.4 KB</t>
        </is>
      </c>
      <c r="E155" s="3" t="inlineStr"/>
    </row>
    <row r="156">
      <c r="A156" s="3" t="inlineStr">
        <is>
          <t>message-26</t>
        </is>
      </c>
      <c r="B156" s="3" t="inlineStr"/>
      <c r="C156" s="3" t="inlineStr"/>
      <c r="D156" s="3" t="inlineStr">
        <is>
          <t>21 June 2026</t>
        </is>
      </c>
      <c r="E156" s="3" t="inlineStr"/>
    </row>
    <row r="157">
      <c r="A157" s="3" t="inlineStr">
        <is>
          <t>message133</t>
        </is>
      </c>
      <c r="B157" s="3" t="inlineStr">
        <is>
          <t>21.06.2026 12:47:37 UTC+03:30</t>
        </is>
      </c>
      <c r="C157" s="3" t="inlineStr">
        <is>
          <t>Deleted Account</t>
        </is>
      </c>
      <c r="D157" s="3" t="inlineStr">
        <is>
          <t>12:47 Deleted Account Sticker Not included, change data exporting settings to download. 😎, 115.3 KB</t>
        </is>
      </c>
      <c r="E157" s="3" t="inlineStr"/>
    </row>
    <row r="158">
      <c r="A158" s="3" t="inlineStr">
        <is>
          <t>message134</t>
        </is>
      </c>
      <c r="B158" s="3" t="inlineStr">
        <is>
          <t>21.06.2026 12:50:19 UTC+03:30</t>
        </is>
      </c>
      <c r="C158" s="3" t="inlineStr">
        <is>
          <t>امین عزیزی</t>
        </is>
      </c>
      <c r="D158" s="3" t="inlineStr">
        <is>
          <t>ا 12:50 امین عزیزی Animation Not included, change data exporting settings to download. 198.3 KB</t>
        </is>
      </c>
      <c r="E158" s="3" t="inlineStr"/>
    </row>
    <row r="159">
      <c r="A159" s="3" t="inlineStr">
        <is>
          <t>message-27</t>
        </is>
      </c>
      <c r="B159" s="3" t="inlineStr"/>
      <c r="C159" s="3" t="inlineStr"/>
      <c r="D159" s="3" t="inlineStr">
        <is>
          <t>27 June 2026</t>
        </is>
      </c>
      <c r="E159" s="3" t="inlineStr"/>
    </row>
    <row r="160">
      <c r="A160" s="3" t="inlineStr">
        <is>
          <t>message135</t>
        </is>
      </c>
      <c r="B160" s="3" t="inlineStr">
        <is>
          <t>27.06.2026 15:35:40 UTC+03:30</t>
        </is>
      </c>
      <c r="C160" s="3" t="inlineStr">
        <is>
          <t>Deleted Account</t>
        </is>
      </c>
      <c r="D160" s="3" t="inlineStr">
        <is>
          <t>امین</t>
        </is>
      </c>
      <c r="E160" s="3" t="inlineStr"/>
    </row>
    <row r="161">
      <c r="A161" s="3" t="inlineStr">
        <is>
          <t>message136</t>
        </is>
      </c>
      <c r="B161" s="3" t="inlineStr">
        <is>
          <t>27.06.2026 15:36:03 UTC+03:30</t>
        </is>
      </c>
      <c r="C161" s="3" t="inlineStr"/>
      <c r="D161" s="3" t="inlineStr">
        <is>
          <t>میگم هرچی عکس داری از فاکتور ها تا اخر امروز بفرست اینجا</t>
        </is>
      </c>
      <c r="E161" s="3" t="inlineStr"/>
    </row>
    <row r="162">
      <c r="A162" s="3" t="inlineStr">
        <is>
          <t>message137</t>
        </is>
      </c>
      <c r="B162" s="3" t="inlineStr">
        <is>
          <t>27.06.2026 15:36:34 UTC+03:30</t>
        </is>
      </c>
      <c r="C162" s="3" t="inlineStr"/>
      <c r="D162" s="3" t="inlineStr">
        <is>
          <t>و اینکه برای فردا عصر و پسفردا عصر یا حتی 3شنبه عصر تایم های خالیت رو بگو یه نیمساعت بریم میت</t>
        </is>
      </c>
      <c r="E162" s="3" t="inlineStr"/>
    </row>
    <row r="163">
      <c r="A163" s="3" t="inlineStr">
        <is>
          <t>message138</t>
        </is>
      </c>
      <c r="B163" s="3" t="inlineStr">
        <is>
          <t>27.06.2026 16:50:34 UTC+03:30</t>
        </is>
      </c>
      <c r="C163" s="3" t="inlineStr">
        <is>
          <t>امین عزیزی</t>
        </is>
      </c>
      <c r="D163" s="3" t="inlineStr">
        <is>
          <t>فاکتورها دست خودته عکسی به من ندادی خودشونم ندادی💀😂</t>
        </is>
      </c>
      <c r="E163" s="3" t="inlineStr"/>
    </row>
    <row r="164">
      <c r="A164" s="3" t="inlineStr">
        <is>
          <t>message139</t>
        </is>
      </c>
      <c r="B164" s="3" t="inlineStr">
        <is>
          <t>27.06.2026 16:50:56 UTC+03:30</t>
        </is>
      </c>
      <c r="C164" s="3" t="inlineStr"/>
      <c r="D164" s="3" t="inlineStr">
        <is>
          <t>فردا عصر بهترین زمانه هروقت بگی اوکیم</t>
        </is>
      </c>
      <c r="E164" s="3" t="inlineStr"/>
    </row>
    <row r="165">
      <c r="A165" s="3" t="inlineStr">
        <is>
          <t>message140</t>
        </is>
      </c>
      <c r="B165" s="3" t="inlineStr">
        <is>
          <t>27.06.2026 17:09:39 UTC+03:30</t>
        </is>
      </c>
      <c r="C165" s="3" t="inlineStr">
        <is>
          <t>Deleted Account</t>
        </is>
      </c>
      <c r="D165" s="3" t="inlineStr">
        <is>
          <t>نه اون قبلی ها</t>
        </is>
      </c>
      <c r="E165" s="3" t="inlineStr"/>
    </row>
    <row r="166">
      <c r="A166" s="3" t="inlineStr">
        <is>
          <t>message141</t>
        </is>
      </c>
      <c r="B166" s="3" t="inlineStr">
        <is>
          <t>27.06.2026 17:10:03 UTC+03:30</t>
        </is>
      </c>
      <c r="C166" s="3" t="inlineStr"/>
      <c r="D166" s="3" t="inlineStr">
        <is>
          <t>حله عالی</t>
        </is>
      </c>
      <c r="E166" s="3" t="inlineStr"/>
    </row>
    <row r="167">
      <c r="A167" s="3" t="inlineStr">
        <is>
          <t>message142</t>
        </is>
      </c>
      <c r="B167" s="3" t="inlineStr">
        <is>
          <t>27.06.2026 18:24:14 UTC+03:30</t>
        </is>
      </c>
      <c r="C167" s="3" t="inlineStr">
        <is>
          <t>Deleted Account</t>
        </is>
      </c>
      <c r="D167" s="3" t="inlineStr">
        <is>
          <t>جشن یلدا</t>
        </is>
      </c>
      <c r="E167" s="3" t="inlineStr">
        <is>
          <t>photos/photo_29@27-06-2026_18-24-14.jpg</t>
        </is>
      </c>
    </row>
    <row r="168">
      <c r="A168" s="3" t="inlineStr">
        <is>
          <t>message143</t>
        </is>
      </c>
      <c r="B168" s="3" t="inlineStr">
        <is>
          <t>27.06.2026 18:24:31 UTC+03:30</t>
        </is>
      </c>
      <c r="C168" s="3" t="inlineStr"/>
      <c r="D168" s="3" t="inlineStr">
        <is>
          <t>جشن یلدا</t>
        </is>
      </c>
      <c r="E168" s="3" t="inlineStr">
        <is>
          <t>photos/photo_30@27-06-2026_18-24-31.jpg</t>
        </is>
      </c>
    </row>
    <row r="169">
      <c r="A169" s="3" t="inlineStr">
        <is>
          <t>message144</t>
        </is>
      </c>
      <c r="B169" s="3" t="inlineStr">
        <is>
          <t>27.06.2026 18:24:39 UTC+03:30</t>
        </is>
      </c>
      <c r="C169" s="3" t="inlineStr"/>
      <c r="D169" s="3" t="inlineStr">
        <is>
          <t>18:24</t>
        </is>
      </c>
      <c r="E169" s="3" t="inlineStr">
        <is>
          <t>photos/photo_31@27-06-2026_18-24-39.jpg</t>
        </is>
      </c>
    </row>
    <row r="170">
      <c r="A170" s="3" t="inlineStr">
        <is>
          <t>message145</t>
        </is>
      </c>
      <c r="B170" s="3" t="inlineStr">
        <is>
          <t>27.06.2026 18:24:52 UTC+03:30</t>
        </is>
      </c>
      <c r="C170" s="3" t="inlineStr"/>
      <c r="D170" s="3" t="inlineStr">
        <is>
          <t>چاپ پوستر انجمن</t>
        </is>
      </c>
      <c r="E170" s="3" t="inlineStr">
        <is>
          <t>photos/photo_32@27-06-2026_18-24-52.jpg</t>
        </is>
      </c>
    </row>
    <row r="171">
      <c r="A171" s="3" t="inlineStr">
        <is>
          <t>message146</t>
        </is>
      </c>
      <c r="B171" s="3" t="inlineStr">
        <is>
          <t>27.06.2026 18:25:49 UTC+03:30</t>
        </is>
      </c>
      <c r="C171" s="3" t="inlineStr"/>
      <c r="D171" s="3" t="inlineStr">
        <is>
          <t>خودکار و روان‌نویس و دفترچه جشن ورودی</t>
        </is>
      </c>
      <c r="E171" s="3" t="inlineStr">
        <is>
          <t>photos/photo_33@27-06-2026_18-25-49.jpg</t>
        </is>
      </c>
    </row>
    <row r="172">
      <c r="A172" s="3" t="inlineStr">
        <is>
          <t>message147</t>
        </is>
      </c>
      <c r="B172" s="3" t="inlineStr">
        <is>
          <t>27.06.2026 18:26:03 UTC+03:30</t>
        </is>
      </c>
      <c r="C172" s="3" t="inlineStr"/>
      <c r="D172" s="3" t="inlineStr">
        <is>
          <t>جوایز جشن ورودی</t>
        </is>
      </c>
      <c r="E172" s="3" t="inlineStr">
        <is>
          <t>photos/photo_34@27-06-2026_18-26-03.jpg</t>
        </is>
      </c>
    </row>
    <row r="173">
      <c r="A173" s="3" t="inlineStr">
        <is>
          <t>message148</t>
        </is>
      </c>
      <c r="B173" s="3" t="inlineStr">
        <is>
          <t>27.06.2026 18:26:22 UTC+03:30</t>
        </is>
      </c>
      <c r="C173" s="3" t="inlineStr"/>
      <c r="D173" s="3" t="inlineStr">
        <is>
          <t>جوایز جشن ورودی و فلش انجمن</t>
        </is>
      </c>
      <c r="E173" s="3" t="inlineStr">
        <is>
          <t>photos/photo_35@27-06-2026_18-26-22.jpg</t>
        </is>
      </c>
    </row>
    <row r="174">
      <c r="A174" s="3" t="inlineStr">
        <is>
          <t>message149</t>
        </is>
      </c>
      <c r="B174" s="3" t="inlineStr">
        <is>
          <t>27.06.2026 18:26:45 UTC+03:30</t>
        </is>
      </c>
      <c r="C174" s="3" t="inlineStr"/>
      <c r="D174" s="3" t="inlineStr">
        <is>
          <t>پذیرایی نشست اساتید مهرماه</t>
        </is>
      </c>
      <c r="E174" s="3" t="inlineStr">
        <is>
          <t>photos/photo_36@27-06-2026_18-26-45.jpg</t>
        </is>
      </c>
    </row>
    <row r="175">
      <c r="A175" s="3" t="inlineStr">
        <is>
          <t>message150</t>
        </is>
      </c>
      <c r="B175" s="3" t="inlineStr">
        <is>
          <t>27.06.2026 18:27:12 UTC+03:30</t>
        </is>
      </c>
      <c r="C175" s="3" t="inlineStr"/>
      <c r="D175" s="3" t="inlineStr">
        <is>
          <t>پذیرایی چای و فیزیک مهرماه</t>
        </is>
      </c>
      <c r="E175" s="3" t="inlineStr">
        <is>
          <t>photos/photo_37@27-06-2026_18-27-12.jpg</t>
        </is>
      </c>
    </row>
    <row r="176">
      <c r="A176" s="3" t="inlineStr">
        <is>
          <t>message151</t>
        </is>
      </c>
      <c r="B176" s="3" t="inlineStr">
        <is>
          <t>27.06.2026 18:27:25 UTC+03:30</t>
        </is>
      </c>
      <c r="C176" s="3" t="inlineStr"/>
      <c r="D176" s="3" t="inlineStr">
        <is>
          <t>پذیرایی یلدا</t>
        </is>
      </c>
      <c r="E176" s="3" t="inlineStr">
        <is>
          <t>photos/photo_38@27-06-2026_18-27-25.jpg</t>
        </is>
      </c>
    </row>
    <row r="177">
      <c r="A177" s="3" t="inlineStr">
        <is>
          <t>message152</t>
        </is>
      </c>
      <c r="B177" s="3" t="inlineStr">
        <is>
          <t>27.06.2026 18:29:10 UTC+03:30</t>
        </is>
      </c>
      <c r="C177" s="3" t="inlineStr"/>
      <c r="D177" s="3" t="inlineStr">
        <is>
          <t>نخ بسته‌بندی فال یلدا</t>
        </is>
      </c>
      <c r="E177" s="3" t="inlineStr">
        <is>
          <t>photos/photo_39@27-06-2026_18-29-10.jpg</t>
        </is>
      </c>
    </row>
    <row r="178">
      <c r="A178" s="3" t="inlineStr">
        <is>
          <t>message153</t>
        </is>
      </c>
      <c r="B178" s="3" t="inlineStr">
        <is>
          <t>27.06.2026 18:31:08 UTC+03:30</t>
        </is>
      </c>
      <c r="C178" s="3" t="inlineStr"/>
      <c r="D178" s="3" t="inlineStr">
        <is>
          <t>پذیرایی غرفه انجمن شریف سلام دو عدد دلستر بیسکوئیت و چیپس و پفک</t>
        </is>
      </c>
      <c r="E178" s="3" t="inlineStr">
        <is>
          <t>photos/photo_40@27-06-2026_18-31-08.jpg</t>
        </is>
      </c>
    </row>
    <row r="179">
      <c r="A179" s="3" t="inlineStr">
        <is>
          <t>message154</t>
        </is>
      </c>
      <c r="B179" s="3" t="inlineStr">
        <is>
          <t>27.06.2026 18:36:09 UTC+03:30</t>
        </is>
      </c>
      <c r="C179" s="3" t="inlineStr">
        <is>
          <t>Deleted Account</t>
        </is>
      </c>
      <c r="D179" s="3" t="inlineStr">
        <is>
          <t>سلام خوبی ببین من یه ۴۰۰ خرید کردم که یه سری جا سوییچی و یه دونه گوشواره انار و اینا بود یه ۲۵۰ دوباره که بازم جا سوییچی های عروسکی بود یه ۶۰۰ که هندونه و انار های ریز بودن با یه ۱۱۶۲ که ۲۷۵ تاشو ساندویچ خریدیم میمونه ۸۸۷ که ۲۲ تا ژله فرمند بودن که قیمت اصلی‌شون ۴۵ بود ولی تخفیف خورده بودن فک کنم شده بودن ۴۰ اینا حالا از اینا من رسید ۴۰۰ و ۲۵۰ رو دارم ولی رسید ۶۰۰ رو ندارم فاکتور اون ۱۱۶۲ رو هم داده بودم حسین ولی گم کرده</t>
        </is>
      </c>
      <c r="E179" s="3" t="inlineStr"/>
    </row>
    <row r="180">
      <c r="A180" s="3" t="inlineStr">
        <is>
          <t>message155</t>
        </is>
      </c>
      <c r="B180" s="3" t="inlineStr">
        <is>
          <t>27.06.2026 18:36:09 UTC+03:30</t>
        </is>
      </c>
      <c r="C180" s="3" t="inlineStr">
        <is>
          <t>Bardia 25.12.2025 19:23:48</t>
        </is>
      </c>
      <c r="D180" s="3" t="inlineStr">
        <is>
          <t>18:36 B Bardia 25.12.2025 19:23:48</t>
        </is>
      </c>
      <c r="E180" s="3" t="inlineStr">
        <is>
          <t>photos/photo_41@27-06-2026_18-36-09.jpg</t>
        </is>
      </c>
    </row>
    <row r="181">
      <c r="A181" s="3" t="inlineStr">
        <is>
          <t>message156</t>
        </is>
      </c>
      <c r="B181" s="3" t="inlineStr">
        <is>
          <t>27.06.2026 18:36:09 UTC+03:30</t>
        </is>
      </c>
      <c r="C181" s="3" t="inlineStr">
        <is>
          <t>Bardia 25.12.2025 19:23:48</t>
        </is>
      </c>
      <c r="D181" s="3" t="inlineStr">
        <is>
          <t>18:36 B Bardia 25.12.2025 19:23:48</t>
        </is>
      </c>
      <c r="E181" s="3" t="inlineStr">
        <is>
          <t>photos/photo_42@27-06-2026_18-36-09.jpg</t>
        </is>
      </c>
    </row>
    <row r="182">
      <c r="A182" s="3" t="inlineStr">
        <is>
          <t>message157</t>
        </is>
      </c>
      <c r="B182" s="3" t="inlineStr">
        <is>
          <t>27.06.2026 18:36:09 UTC+03:30</t>
        </is>
      </c>
      <c r="C182" s="3" t="inlineStr">
        <is>
          <t>Bardia 25.12.2025 19:32:19</t>
        </is>
      </c>
      <c r="D182" s="3" t="inlineStr">
        <is>
          <t>این رسید اون دوتای دیگس ولی فاکتور ۱۱۶۲ رو ندارم دیگه بیشتر نتونستم پیدا کنم 😂</t>
        </is>
      </c>
      <c r="E182" s="3" t="inlineStr">
        <is>
          <t>photos/photo_43@27-06-2026_18-36-09.jpg</t>
        </is>
      </c>
    </row>
    <row r="183">
      <c r="A183" s="3" t="inlineStr">
        <is>
          <t>message158</t>
        </is>
      </c>
      <c r="B183" s="3" t="inlineStr">
        <is>
          <t>27.06.2026 18:36:09 UTC+03:30</t>
        </is>
      </c>
      <c r="C183" s="3" t="inlineStr">
        <is>
          <t>Bardia 25.12.2025 19:32:19</t>
        </is>
      </c>
      <c r="D183" s="3" t="inlineStr">
        <is>
          <t>18:36 B Bardia 25.12.2025 19:32:19</t>
        </is>
      </c>
      <c r="E183" s="3" t="inlineStr">
        <is>
          <t>photos/photo_44@27-06-2026_18-36-09.jpg</t>
        </is>
      </c>
    </row>
    <row r="184">
      <c r="A184" s="3" t="inlineStr">
        <is>
          <t>message159</t>
        </is>
      </c>
      <c r="B184" s="3" t="inlineStr">
        <is>
          <t>27.06.2026 18:36:09 UTC+03:30</t>
        </is>
      </c>
      <c r="C184" s="3" t="inlineStr">
        <is>
          <t>Deleted Account</t>
        </is>
      </c>
      <c r="D184" s="3" t="inlineStr">
        <is>
          <t>خدمتت نازنین، ممنون از انرژی که گذاشتی</t>
        </is>
      </c>
      <c r="E184" s="3" t="inlineStr">
        <is>
          <t>photos/photo_45@27-06-2026_18-36-09.jpg</t>
        </is>
      </c>
    </row>
    <row r="185">
      <c r="A185" s="3" t="inlineStr">
        <is>
          <t>message161</t>
        </is>
      </c>
      <c r="B185" s="3" t="inlineStr">
        <is>
          <t>27.06.2026 18:38:52 UTC+03:30</t>
        </is>
      </c>
      <c r="C185" s="3" t="inlineStr">
        <is>
          <t>Deleted Account</t>
        </is>
      </c>
      <c r="D185" s="3" t="inlineStr">
        <is>
          <t>این برای یکیشون که ژله و شربت آلبالو</t>
        </is>
      </c>
      <c r="E185" s="3" t="inlineStr">
        <is>
          <t>photos/photo_46@27-06-2026_18-38-52.jpg</t>
        </is>
      </c>
    </row>
    <row r="186">
      <c r="A186" s="3" t="inlineStr">
        <is>
          <t>message162</t>
        </is>
      </c>
      <c r="B186" s="3" t="inlineStr">
        <is>
          <t>27.06.2026 18:38:52 UTC+03:30</t>
        </is>
      </c>
      <c r="C186" s="3" t="inlineStr">
        <is>
          <t>hossein 26.12.2025 21:52:41</t>
        </is>
      </c>
      <c r="D186" s="3" t="inlineStr">
        <is>
          <t>اون 165 برای خرید کاغذ و ماژیک</t>
        </is>
      </c>
      <c r="E186" s="3" t="inlineStr"/>
    </row>
    <row r="187">
      <c r="A187" s="3" t="inlineStr">
        <is>
          <t>message163</t>
        </is>
      </c>
      <c r="B187" s="3" t="inlineStr">
        <is>
          <t>27.06.2026 18:38:52 UTC+03:30</t>
        </is>
      </c>
      <c r="C187" s="3" t="inlineStr">
        <is>
          <t>hossein 26.12.2025 21:53:41</t>
        </is>
      </c>
      <c r="D187" s="3" t="inlineStr">
        <is>
          <t>اون شصت تومن و پنجاه تومن شیرینی تو راه گرفتیم😊😊</t>
        </is>
      </c>
      <c r="E187" s="3" t="inlineStr"/>
    </row>
    <row r="188">
      <c r="A188" s="3" t="inlineStr">
        <is>
          <t>message164</t>
        </is>
      </c>
      <c r="B188" s="3" t="inlineStr">
        <is>
          <t>27.06.2026 18:43:30 UTC+03:30</t>
        </is>
      </c>
      <c r="C188" s="3" t="inlineStr">
        <is>
          <t>Deleted Account</t>
        </is>
      </c>
      <c r="D188" s="3" t="inlineStr">
        <is>
          <t>* جا سوییچی، گوشواره انار و ...: ۴۰۰ * جا سوییچی‌های عروسکی: ۲۵۰ * هندونه و انارهای ریز: ۶۰۰ * ساندویچ (از فاکتور ۱۱۶۲): ۲۷۵ * ژله فرمند (۲۲ عدد - از فاکتور ۱۱۶۲): ۸۸۷ * کاغذ و ماژیک: ۱۶۵ * شیرینی (تو راه): ۶۰ * شیرینی (تو راه): ۵۰ * پودر ژله طالبی (۳۲ عدد - طبق رسید): ۱۲۸۰ * شربت آلبالو سن ایچ (۲ عدد - طبق رسید): ۸۷۰</t>
        </is>
      </c>
      <c r="E188" s="3" t="inlineStr">
        <is>
          <t>photos/photo_47@27-06-2026_18-43-30.jpg</t>
        </is>
      </c>
    </row>
    <row r="189">
      <c r="A189" s="3" t="inlineStr">
        <is>
          <t>message165</t>
        </is>
      </c>
      <c r="B189" s="3" t="inlineStr">
        <is>
          <t>27.06.2026 18:43:30 UTC+03:30</t>
        </is>
      </c>
      <c r="C189" s="3" t="inlineStr"/>
      <c r="D189" s="3" t="inlineStr">
        <is>
          <t>18:43</t>
        </is>
      </c>
      <c r="E189" s="3" t="inlineStr">
        <is>
          <t>photos/photo_48@27-06-2026_18-43-30.jpg</t>
        </is>
      </c>
    </row>
    <row r="190">
      <c r="A190" s="3" t="inlineStr">
        <is>
          <t>message-28</t>
        </is>
      </c>
      <c r="B190" s="3" t="inlineStr"/>
      <c r="C190" s="3" t="inlineStr"/>
      <c r="D190" s="3" t="inlineStr">
        <is>
          <t>14 July 2026</t>
        </is>
      </c>
      <c r="E190" s="3" t="inlineStr"/>
    </row>
    <row r="191">
      <c r="A191" s="3" t="inlineStr">
        <is>
          <t>message166</t>
        </is>
      </c>
      <c r="B191" s="3" t="inlineStr"/>
      <c r="C191" s="3" t="inlineStr"/>
      <c r="D191" s="3" t="inlineStr">
        <is>
          <t>Deleted invited Physics</t>
        </is>
      </c>
      <c r="E191" s="3" t="inlineStr"/>
    </row>
  </sheetData>
  <mergeCells count="1">
    <mergeCell ref="A1:E1"/>
  </mergeCells>
  <pageMargins left="0.75" right="0.75" top="1" bottom="1"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M46"/>
  <sheetViews>
    <sheetView rightToLeft="1" workbookViewId="0">
      <pane ySplit="3" topLeftCell="A4" activePane="bottomLeft" state="frozen"/>
      <selection pane="bottomLeft" activeCell="A1" sqref="A1"/>
    </sheetView>
  </sheetViews>
  <sheetFormatPr baseColWidth="8" defaultRowHeight="15"/>
  <cols>
    <col width="10"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s>
  <sheetData>
    <row r="1" ht="28" customHeight="1">
      <c r="A1" s="5" t="inlineStr">
        <is>
          <t>تصویر خام دفتر قبلی</t>
        </is>
      </c>
    </row>
    <row r="2">
      <c r="A2" s="6" t="inlineStr">
        <is>
          <t>نسخه refined | واحد گزارش: تومان | مبالغ نامطمئن در صف بررسی از جمع تاییدشده حذف می‌شوند.</t>
        </is>
      </c>
    </row>
    <row r="3" ht="34" customHeight="1">
      <c r="A3" s="7" t="inlineStr">
        <is>
          <t>ردیف</t>
        </is>
      </c>
      <c r="B3" s="7" t="inlineStr">
        <is>
          <t>ستون A</t>
        </is>
      </c>
      <c r="C3" s="7" t="inlineStr">
        <is>
          <t>ستون B</t>
        </is>
      </c>
      <c r="D3" s="7" t="inlineStr">
        <is>
          <t>ستون C</t>
        </is>
      </c>
      <c r="E3" s="7" t="inlineStr">
        <is>
          <t>ستون D</t>
        </is>
      </c>
      <c r="F3" s="7" t="inlineStr">
        <is>
          <t>ستون E</t>
        </is>
      </c>
      <c r="G3" s="7" t="inlineStr">
        <is>
          <t>ستون F</t>
        </is>
      </c>
      <c r="H3" s="7" t="inlineStr">
        <is>
          <t>مقدار محاسبه‌شده A</t>
        </is>
      </c>
      <c r="I3" s="7" t="inlineStr">
        <is>
          <t>مقدار محاسبه‌شده B</t>
        </is>
      </c>
      <c r="J3" s="7" t="inlineStr">
        <is>
          <t>مقدار محاسبه‌شده C</t>
        </is>
      </c>
      <c r="K3" s="7" t="inlineStr">
        <is>
          <t>مقدار محاسبه‌شده D</t>
        </is>
      </c>
      <c r="L3" s="7" t="inlineStr">
        <is>
          <t>مقدار محاسبه‌شده E</t>
        </is>
      </c>
      <c r="M3" s="7" t="inlineStr">
        <is>
          <t>مقدار محاسبه‌شده F</t>
        </is>
      </c>
    </row>
    <row r="4">
      <c r="A4" s="3" t="n">
        <v>2</v>
      </c>
      <c r="B4" s="3" t="n"/>
      <c r="C4" s="3" t="n"/>
      <c r="D4" s="3" t="inlineStr">
        <is>
          <t>مرداد</t>
        </is>
      </c>
      <c r="E4" s="3" t="n">
        <v>3500000</v>
      </c>
      <c r="F4" s="3" t="inlineStr">
        <is>
          <t>امیرمحمد جوشقانی</t>
        </is>
      </c>
      <c r="G4" s="3" t="inlineStr">
        <is>
          <t>حق التدریس دوره پایتون</t>
        </is>
      </c>
      <c r="H4" s="3" t="n"/>
      <c r="I4" s="3" t="n"/>
      <c r="J4" s="3" t="inlineStr">
        <is>
          <t>مرداد</t>
        </is>
      </c>
      <c r="K4" s="3" t="n">
        <v>3500000</v>
      </c>
      <c r="L4" s="3" t="inlineStr">
        <is>
          <t>امیرمحمد جوشقانی</t>
        </is>
      </c>
      <c r="M4" s="3" t="inlineStr">
        <is>
          <t>حق التدریس دوره پایتون</t>
        </is>
      </c>
    </row>
    <row r="5">
      <c r="A5" s="3" t="n">
        <v>3</v>
      </c>
      <c r="B5" s="3" t="inlineStr">
        <is>
          <t>مدرسه تابستانه</t>
        </is>
      </c>
      <c r="C5" s="3" t="n">
        <v>33642000</v>
      </c>
      <c r="D5" s="3" t="n"/>
      <c r="E5" s="3" t="n">
        <v>3000000</v>
      </c>
      <c r="F5" s="3" t="inlineStr">
        <is>
          <t>سهراب ملکی</t>
        </is>
      </c>
      <c r="G5" s="3" t="inlineStr">
        <is>
          <t>حق التدریس دوره Mathemathica</t>
        </is>
      </c>
      <c r="H5" s="3" t="inlineStr">
        <is>
          <t>مدرسه تابستانه</t>
        </is>
      </c>
      <c r="I5" s="3" t="n">
        <v>33642000</v>
      </c>
      <c r="J5" s="3" t="n"/>
      <c r="K5" s="3" t="n">
        <v>3000000</v>
      </c>
      <c r="L5" s="3" t="inlineStr">
        <is>
          <t>سهراب ملکی</t>
        </is>
      </c>
      <c r="M5" s="3" t="inlineStr">
        <is>
          <t>حق التدریس دوره Mathemathica</t>
        </is>
      </c>
    </row>
    <row r="6">
      <c r="A6" s="3" t="n">
        <v>4</v>
      </c>
      <c r="B6" s="3" t="n"/>
      <c r="C6" s="3" t="n"/>
      <c r="D6" s="3" t="n"/>
      <c r="E6" s="3" t="n">
        <v>3700000</v>
      </c>
      <c r="F6" s="3" t="inlineStr">
        <is>
          <t>متین جوکار</t>
        </is>
      </c>
      <c r="G6" s="3" t="inlineStr">
        <is>
          <t>حق التدریس دوره Latex</t>
        </is>
      </c>
      <c r="H6" s="3" t="n"/>
      <c r="I6" s="3" t="n"/>
      <c r="J6" s="3" t="n"/>
      <c r="K6" s="3" t="n">
        <v>3700000</v>
      </c>
      <c r="L6" s="3" t="inlineStr">
        <is>
          <t>متین جوکار</t>
        </is>
      </c>
      <c r="M6" s="3" t="inlineStr">
        <is>
          <t>حق التدریس دوره Latex</t>
        </is>
      </c>
    </row>
    <row r="7">
      <c r="A7" s="3" t="n">
        <v>5</v>
      </c>
      <c r="B7" s="3" t="n"/>
      <c r="C7" s="3" t="n"/>
      <c r="D7" s="3" t="n"/>
      <c r="E7" s="3" t="n">
        <v>500000</v>
      </c>
      <c r="F7" s="3" t="inlineStr">
        <is>
          <t>ابراهیم خسروانی</t>
        </is>
      </c>
      <c r="G7" s="3" t="inlineStr">
        <is>
          <t>TA، فرم و شیت مدرسه تابستانه</t>
        </is>
      </c>
      <c r="H7" s="3" t="n"/>
      <c r="I7" s="3" t="n"/>
      <c r="J7" s="3" t="n"/>
      <c r="K7" s="3" t="n">
        <v>500000</v>
      </c>
      <c r="L7" s="3" t="inlineStr">
        <is>
          <t>ابراهیم خسروانی</t>
        </is>
      </c>
      <c r="M7" s="3" t="inlineStr">
        <is>
          <t>TA، فرم و شیت مدرسه تابستانه</t>
        </is>
      </c>
    </row>
    <row r="8">
      <c r="A8" s="3" t="n">
        <v>6</v>
      </c>
      <c r="B8" s="3" t="n"/>
      <c r="C8" s="3" t="n"/>
      <c r="D8" s="3" t="n"/>
      <c r="E8" s="3" t="n">
        <v>600000</v>
      </c>
      <c r="F8" s="3" t="inlineStr">
        <is>
          <t>سپهر طلایی</t>
        </is>
      </c>
      <c r="G8" s="3" t="inlineStr">
        <is>
          <t>TA پایتون، پشتیبانی ثبت نام</t>
        </is>
      </c>
      <c r="H8" s="3" t="n"/>
      <c r="I8" s="3" t="n"/>
      <c r="J8" s="3" t="n"/>
      <c r="K8" s="3" t="n">
        <v>600000</v>
      </c>
      <c r="L8" s="3" t="inlineStr">
        <is>
          <t>سپهر طلایی</t>
        </is>
      </c>
      <c r="M8" s="3" t="inlineStr">
        <is>
          <t>TA پایتون، پشتیبانی ثبت نام</t>
        </is>
      </c>
    </row>
    <row r="9">
      <c r="A9" s="3" t="n">
        <v>7</v>
      </c>
      <c r="B9" s="3" t="n"/>
      <c r="C9" s="3" t="n"/>
      <c r="D9" s="3" t="n"/>
      <c r="E9" s="3" t="n">
        <v>600000</v>
      </c>
      <c r="F9" s="3" t="inlineStr">
        <is>
          <t>محمدامین عزیزی</t>
        </is>
      </c>
      <c r="G9" s="3" t="inlineStr">
        <is>
          <t>TA پایتون، پشتیبانی ثبت نام، حسابداری مدرسه</t>
        </is>
      </c>
      <c r="H9" s="3" t="n"/>
      <c r="I9" s="3" t="n"/>
      <c r="J9" s="3" t="n"/>
      <c r="K9" s="3" t="n">
        <v>600000</v>
      </c>
      <c r="L9" s="3" t="inlineStr">
        <is>
          <t>محمدامین عزیزی</t>
        </is>
      </c>
      <c r="M9" s="3" t="inlineStr">
        <is>
          <t>TA پایتون، پشتیبانی ثبت نام، حسابداری مدرسه</t>
        </is>
      </c>
    </row>
    <row r="10">
      <c r="A10" s="3" t="n">
        <v>8</v>
      </c>
      <c r="B10" s="3" t="n"/>
      <c r="C10" s="3" t="n"/>
      <c r="D10" s="3" t="n"/>
      <c r="E10" s="3" t="n">
        <v>300000</v>
      </c>
      <c r="F10" s="3" t="inlineStr">
        <is>
          <t>متین جوکار</t>
        </is>
      </c>
      <c r="G10" s="3" t="inlineStr">
        <is>
          <t>ضبط جبرانی جلسه3 لتک</t>
        </is>
      </c>
      <c r="H10" s="3" t="n"/>
      <c r="I10" s="3" t="n"/>
      <c r="J10" s="3" t="n"/>
      <c r="K10" s="3" t="n">
        <v>300000</v>
      </c>
      <c r="L10" s="3" t="inlineStr">
        <is>
          <t>متین جوکار</t>
        </is>
      </c>
      <c r="M10" s="3" t="inlineStr">
        <is>
          <t>ضبط جبرانی جلسه3 لتک</t>
        </is>
      </c>
    </row>
    <row r="11">
      <c r="A11" s="3" t="n">
        <v>9</v>
      </c>
      <c r="B11" s="3" t="n"/>
      <c r="C11" s="3" t="n"/>
      <c r="D11" s="3" t="n"/>
      <c r="E11" s="3" t="n">
        <v>400000</v>
      </c>
      <c r="F11" s="3" t="inlineStr">
        <is>
          <t>محمدحسین مشک افشان</t>
        </is>
      </c>
      <c r="G11" s="3" t="inlineStr">
        <is>
          <t>تبلیغ مدرسه تابستانه در مهمات شریف</t>
        </is>
      </c>
      <c r="H11" s="3" t="n"/>
      <c r="I11" s="3" t="n"/>
      <c r="J11" s="3" t="n"/>
      <c r="K11" s="3" t="n">
        <v>400000</v>
      </c>
      <c r="L11" s="3" t="inlineStr">
        <is>
          <t>محمدحسین مشک افشان</t>
        </is>
      </c>
      <c r="M11" s="3" t="inlineStr">
        <is>
          <t>تبلیغ مدرسه تابستانه در مهمات شریف</t>
        </is>
      </c>
    </row>
    <row r="12">
      <c r="A12" s="3" t="n">
        <v>10</v>
      </c>
      <c r="B12" s="3" t="n"/>
      <c r="C12" s="3" t="n"/>
      <c r="D12" s="3" t="n"/>
      <c r="E12" s="3" t="n">
        <v>300000</v>
      </c>
      <c r="F12" s="3" t="inlineStr">
        <is>
          <t>امیرمحمد جوشقانی</t>
        </is>
      </c>
      <c r="G12" s="3" t="inlineStr">
        <is>
          <t>ضبط جبرانی جلسه4 پایتون</t>
        </is>
      </c>
      <c r="H12" s="3" t="n"/>
      <c r="I12" s="3" t="n"/>
      <c r="J12" s="3" t="n"/>
      <c r="K12" s="3" t="n">
        <v>300000</v>
      </c>
      <c r="L12" s="3" t="inlineStr">
        <is>
          <t>امیرمحمد جوشقانی</t>
        </is>
      </c>
      <c r="M12" s="3" t="inlineStr">
        <is>
          <t>ضبط جبرانی جلسه4 پایتون</t>
        </is>
      </c>
    </row>
    <row r="13">
      <c r="A13" s="3" t="n">
        <v>11</v>
      </c>
      <c r="B13" s="3" t="n"/>
      <c r="C13" s="3" t="n"/>
      <c r="D13" s="3" t="n"/>
      <c r="E13" s="3" t="n">
        <v>750000</v>
      </c>
      <c r="F13" s="3" t="inlineStr">
        <is>
          <t>حسن شیری</t>
        </is>
      </c>
      <c r="G13" s="3" t="inlineStr">
        <is>
          <t>گرفتن کلید انجمن برای اعضا</t>
        </is>
      </c>
      <c r="H13" s="3" t="n"/>
      <c r="I13" s="3" t="n"/>
      <c r="J13" s="3" t="n"/>
      <c r="K13" s="3" t="n">
        <v>750000</v>
      </c>
      <c r="L13" s="3" t="inlineStr">
        <is>
          <t>حسن شیری</t>
        </is>
      </c>
      <c r="M13" s="3" t="inlineStr">
        <is>
          <t>گرفتن کلید انجمن برای اعضا</t>
        </is>
      </c>
    </row>
    <row r="14">
      <c r="A14" s="3" t="n">
        <v>12</v>
      </c>
      <c r="B14" s="3" t="n"/>
      <c r="C14" s="3" t="n"/>
      <c r="D14" s="3" t="n"/>
      <c r="E14" s="3" t="n">
        <v>400000</v>
      </c>
      <c r="F14" s="3" t="inlineStr">
        <is>
          <t>حسن شیری</t>
        </is>
      </c>
      <c r="G14" s="3" t="inlineStr">
        <is>
          <t>نبلیغات مدرسه تابستانه در مهمات شریف</t>
        </is>
      </c>
      <c r="H14" s="3" t="n"/>
      <c r="I14" s="3" t="n"/>
      <c r="J14" s="3" t="n"/>
      <c r="K14" s="3" t="n">
        <v>400000</v>
      </c>
      <c r="L14" s="3" t="inlineStr">
        <is>
          <t>حسن شیری</t>
        </is>
      </c>
      <c r="M14" s="3" t="inlineStr">
        <is>
          <t>نبلیغات مدرسه تابستانه در مهمات شریف</t>
        </is>
      </c>
    </row>
    <row r="15">
      <c r="A15" s="3" t="n">
        <v>14</v>
      </c>
      <c r="B15" s="3" t="n"/>
      <c r="C15" s="3" t="n"/>
      <c r="D15" s="3" t="inlineStr">
        <is>
          <t>شهریور</t>
        </is>
      </c>
      <c r="E15" s="3" t="n"/>
      <c r="F15" s="3" t="n"/>
      <c r="G15" s="3" t="n"/>
      <c r="H15" s="3" t="n"/>
      <c r="I15" s="3" t="n"/>
      <c r="J15" s="3" t="inlineStr">
        <is>
          <t>شهریور</t>
        </is>
      </c>
      <c r="K15" s="3" t="n"/>
      <c r="L15" s="3" t="n"/>
      <c r="M15" s="3" t="n"/>
    </row>
    <row r="16">
      <c r="A16" s="3" t="n">
        <v>15</v>
      </c>
      <c r="B16" s="3" t="inlineStr">
        <is>
          <t>ورودی معرفی رشته</t>
        </is>
      </c>
      <c r="C16" s="3" t="n">
        <v>4920000</v>
      </c>
      <c r="D16" s="3" t="n"/>
      <c r="E16" s="3" t="n">
        <v>100000</v>
      </c>
      <c r="F16" s="3" t="inlineStr">
        <is>
          <t>محمدامین عزیزی</t>
        </is>
      </c>
      <c r="G16" s="3" t="inlineStr">
        <is>
          <t>چاپ پوستر و بارکد برای رویداد معرفی رشته</t>
        </is>
      </c>
      <c r="H16" s="3" t="inlineStr">
        <is>
          <t>ورودی معرفی رشته</t>
        </is>
      </c>
      <c r="I16" s="3" t="n">
        <v>4920000</v>
      </c>
      <c r="J16" s="3" t="n"/>
      <c r="K16" s="3" t="n">
        <v>100000</v>
      </c>
      <c r="L16" s="3" t="inlineStr">
        <is>
          <t>محمدامین عزیزی</t>
        </is>
      </c>
      <c r="M16" s="3" t="inlineStr">
        <is>
          <t>چاپ پوستر و بارکد برای رویداد معرفی رشته</t>
        </is>
      </c>
    </row>
    <row r="17">
      <c r="A17" s="3" t="n">
        <v>16</v>
      </c>
      <c r="B17" s="3" t="n"/>
      <c r="C17" s="3" t="n"/>
      <c r="D17" s="3" t="n"/>
      <c r="E17" s="3" t="n">
        <v>2866000</v>
      </c>
      <c r="F17" s="3" t="inlineStr">
        <is>
          <t>محمدامین عزیزی</t>
        </is>
      </c>
      <c r="G17" s="3" t="inlineStr">
        <is>
          <t>تدارکات رویداد معرفی رشته</t>
        </is>
      </c>
      <c r="H17" s="3" t="n"/>
      <c r="I17" s="3" t="n"/>
      <c r="J17" s="3" t="n"/>
      <c r="K17" s="3" t="n">
        <v>2866000</v>
      </c>
      <c r="L17" s="3" t="inlineStr">
        <is>
          <t>محمدامین عزیزی</t>
        </is>
      </c>
      <c r="M17" s="3" t="inlineStr">
        <is>
          <t>تدارکات رویداد معرفی رشته</t>
        </is>
      </c>
    </row>
    <row r="18">
      <c r="A18" s="3" t="n">
        <v>17</v>
      </c>
      <c r="B18" s="3" t="n"/>
      <c r="C18" s="3" t="n"/>
      <c r="D18" s="3" t="n"/>
      <c r="E18" s="3">
        <f>3055000-D16</f>
        <v/>
      </c>
      <c r="F18" s="3" t="inlineStr">
        <is>
          <t>ابراهیم خسروانی</t>
        </is>
      </c>
      <c r="G18" s="3" t="inlineStr">
        <is>
          <t>حق الزحمه خرید تدارکات رویداد معرفی رشته</t>
        </is>
      </c>
      <c r="H18" s="3" t="n"/>
      <c r="I18" s="3" t="n"/>
      <c r="J18" s="3" t="n"/>
      <c r="K18" s="3" t="n">
        <v>189000</v>
      </c>
      <c r="L18" s="3" t="inlineStr">
        <is>
          <t>ابراهیم خسروانی</t>
        </is>
      </c>
      <c r="M18" s="3" t="inlineStr">
        <is>
          <t>حق الزحمه خرید تدارکات رویداد معرفی رشته</t>
        </is>
      </c>
    </row>
    <row r="19">
      <c r="A19" s="3" t="n">
        <v>18</v>
      </c>
      <c r="B19" s="3" t="n"/>
      <c r="C19" s="3" t="n"/>
      <c r="D19" s="3" t="inlineStr">
        <is>
          <t>مهر</t>
        </is>
      </c>
      <c r="E19" s="3" t="n"/>
      <c r="F19" s="3" t="n"/>
      <c r="G19" s="3" t="n"/>
      <c r="H19" s="3" t="n"/>
      <c r="I19" s="3" t="n"/>
      <c r="J19" s="3" t="inlineStr">
        <is>
          <t>مهر</t>
        </is>
      </c>
      <c r="K19" s="3" t="n"/>
      <c r="L19" s="3" t="n"/>
      <c r="M19" s="3" t="n"/>
    </row>
    <row r="20">
      <c r="A20" s="3" t="n">
        <v>19</v>
      </c>
      <c r="B20" s="3" t="inlineStr">
        <is>
          <t>واریزی دکتر مقیمی برای شیرینی نشست عمومی اساتید</t>
        </is>
      </c>
      <c r="C20" s="3" t="n">
        <v>500000</v>
      </c>
      <c r="D20" s="3" t="n"/>
      <c r="E20" s="3" t="n">
        <v>90000</v>
      </c>
      <c r="F20" s="3" t="n"/>
      <c r="G20" s="3" t="inlineStr">
        <is>
          <t>پوستر نشست عمومی با اساتید و حلقه های کوانتا(هفته 19مهر)</t>
        </is>
      </c>
      <c r="H20" s="3" t="inlineStr">
        <is>
          <t>واریزی دکتر مقیمی برای شیرینی نشست عمومی اساتید</t>
        </is>
      </c>
      <c r="I20" s="3" t="n">
        <v>500000</v>
      </c>
      <c r="J20" s="3" t="n"/>
      <c r="K20" s="3" t="n">
        <v>90000</v>
      </c>
      <c r="L20" s="3" t="n"/>
      <c r="M20" s="3" t="inlineStr">
        <is>
          <t>پوستر نشست عمومی با اساتید و حلقه های کوانتا(هفته 19مهر)</t>
        </is>
      </c>
    </row>
    <row r="21">
      <c r="A21" s="3" t="n">
        <v>20</v>
      </c>
      <c r="B21" s="3" t="n"/>
      <c r="C21" s="3" t="n"/>
      <c r="D21" s="3" t="n"/>
      <c r="E21" s="3" t="n">
        <v>1052375</v>
      </c>
      <c r="F21" s="3" t="n"/>
      <c r="G21" s="3" t="inlineStr">
        <is>
          <t>شیرینی نشست عمومی با اساتید</t>
        </is>
      </c>
      <c r="H21" s="3" t="n"/>
      <c r="I21" s="3" t="n"/>
      <c r="J21" s="3" t="n"/>
      <c r="K21" s="3" t="n">
        <v>1052375</v>
      </c>
      <c r="L21" s="3" t="n"/>
      <c r="M21" s="3" t="inlineStr">
        <is>
          <t>شیرینی نشست عمومی با اساتید</t>
        </is>
      </c>
    </row>
    <row r="22">
      <c r="A22" s="3" t="n">
        <v>21</v>
      </c>
      <c r="B22" s="3" t="n"/>
      <c r="C22" s="3" t="n"/>
      <c r="D22" s="3" t="n"/>
      <c r="E22" s="3" t="n">
        <v>790000</v>
      </c>
      <c r="F22" s="3" t="n"/>
      <c r="G22" s="3" t="inlineStr">
        <is>
          <t>2*50 لیوان + 3*40 بیسکوییت+100چای برای انجمن چای</t>
        </is>
      </c>
      <c r="H22" s="3" t="n"/>
      <c r="I22" s="3" t="n"/>
      <c r="J22" s="3" t="n"/>
      <c r="K22" s="3" t="n">
        <v>790000</v>
      </c>
      <c r="L22" s="3" t="n"/>
      <c r="M22" s="3" t="inlineStr">
        <is>
          <t>2*50 لیوان + 3*40 بیسکوییت+100چای برای انجمن چای</t>
        </is>
      </c>
    </row>
    <row r="23">
      <c r="A23" s="3" t="n">
        <v>22</v>
      </c>
      <c r="B23" s="3" t="n"/>
      <c r="C23" s="3" t="n"/>
      <c r="D23" s="3" t="n"/>
      <c r="E23" s="3" t="n">
        <v>912850</v>
      </c>
      <c r="F23" s="3" t="n"/>
      <c r="G23" s="3" t="inlineStr">
        <is>
          <t>شیریننی نشست انجمن چای</t>
        </is>
      </c>
      <c r="H23" s="3" t="n"/>
      <c r="I23" s="3" t="n"/>
      <c r="J23" s="3" t="n"/>
      <c r="K23" s="3" t="n">
        <v>912850</v>
      </c>
      <c r="L23" s="3" t="n"/>
      <c r="M23" s="3" t="inlineStr">
        <is>
          <t>شیریننی نشست انجمن چای</t>
        </is>
      </c>
    </row>
    <row r="24">
      <c r="A24" s="3" t="n">
        <v>23</v>
      </c>
      <c r="B24" s="3" t="n"/>
      <c r="C24" s="3" t="n"/>
      <c r="D24" s="3" t="n"/>
      <c r="E24" s="3" t="n">
        <v>1052375</v>
      </c>
      <c r="F24" s="3" t="n"/>
      <c r="G24" s="3" t="inlineStr">
        <is>
          <t>شیرینی دیدار با اساتید</t>
        </is>
      </c>
      <c r="H24" s="3" t="n"/>
      <c r="I24" s="3" t="n"/>
      <c r="J24" s="3" t="n"/>
      <c r="K24" s="3" t="n">
        <v>1052375</v>
      </c>
      <c r="L24" s="3" t="n"/>
      <c r="M24" s="3" t="inlineStr">
        <is>
          <t>شیرینی دیدار با اساتید</t>
        </is>
      </c>
    </row>
    <row r="25">
      <c r="A25" s="3" t="n">
        <v>24</v>
      </c>
      <c r="B25" s="3" t="n"/>
      <c r="C25" s="3" t="n"/>
      <c r="D25" s="3" t="inlineStr">
        <is>
          <t>آبان</t>
        </is>
      </c>
      <c r="E25" s="3" t="n"/>
      <c r="F25" s="3" t="n"/>
      <c r="G25" s="3" t="n"/>
      <c r="H25" s="3" t="n"/>
      <c r="I25" s="3" t="n"/>
      <c r="J25" s="3" t="inlineStr">
        <is>
          <t>آبان</t>
        </is>
      </c>
      <c r="K25" s="3" t="n"/>
      <c r="L25" s="3" t="n"/>
      <c r="M25" s="3" t="n"/>
    </row>
    <row r="26">
      <c r="A26" s="3" t="n">
        <v>25</v>
      </c>
      <c r="B26" s="3" t="inlineStr">
        <is>
          <t>دریافتی از انجمن سابق</t>
        </is>
      </c>
      <c r="C26" s="3" t="n">
        <v>11000000</v>
      </c>
      <c r="D26" s="3" t="n"/>
      <c r="E26" s="3" t="n">
        <v>725000</v>
      </c>
      <c r="F26" s="3" t="inlineStr">
        <is>
          <t>نیما کوهی</t>
        </is>
      </c>
      <c r="G26" s="3" t="inlineStr">
        <is>
          <t>باتری دوربین فیلمبرداری</t>
        </is>
      </c>
      <c r="H26" s="3" t="inlineStr">
        <is>
          <t>دریافتی از انجمن سابق</t>
        </is>
      </c>
      <c r="I26" s="3" t="n">
        <v>11000000</v>
      </c>
      <c r="J26" s="3" t="n"/>
      <c r="K26" s="3" t="n">
        <v>725000</v>
      </c>
      <c r="L26" s="3" t="inlineStr">
        <is>
          <t>نیما کوهی</t>
        </is>
      </c>
      <c r="M26" s="3" t="inlineStr">
        <is>
          <t>باتری دوربین فیلمبرداری</t>
        </is>
      </c>
    </row>
    <row r="27">
      <c r="A27" s="3" t="n">
        <v>26</v>
      </c>
      <c r="B27" s="3" t="n"/>
      <c r="C27" s="3" t="n"/>
      <c r="D27" s="3" t="n"/>
      <c r="E27" s="3" t="n">
        <v>120000</v>
      </c>
      <c r="F27" s="3" t="inlineStr">
        <is>
          <t>اردوان شهبازی</t>
        </is>
      </c>
      <c r="G27" s="3" t="inlineStr">
        <is>
          <t>خرید چسب بادکنک برای جشن ورودی</t>
        </is>
      </c>
      <c r="H27" s="3" t="n"/>
      <c r="I27" s="3" t="n"/>
      <c r="J27" s="3" t="n"/>
      <c r="K27" s="3" t="n">
        <v>120000</v>
      </c>
      <c r="L27" s="3" t="inlineStr">
        <is>
          <t>اردوان شهبازی</t>
        </is>
      </c>
      <c r="M27" s="3" t="inlineStr">
        <is>
          <t>خرید چسب بادکنک برای جشن ورودی</t>
        </is>
      </c>
    </row>
    <row r="28">
      <c r="A28" s="3" t="n">
        <v>27</v>
      </c>
      <c r="B28" s="3" t="n"/>
      <c r="C28" s="3" t="n"/>
      <c r="D28" s="3" t="n"/>
      <c r="E28" s="3" t="n">
        <v>1310000</v>
      </c>
      <c r="F28" s="3" t="inlineStr">
        <is>
          <t>راحله مختاری</t>
        </is>
      </c>
      <c r="G28" s="3" t="inlineStr">
        <is>
          <t>تزئینات جشن ورودی</t>
        </is>
      </c>
      <c r="H28" s="3" t="n"/>
      <c r="I28" s="3" t="n"/>
      <c r="J28" s="3" t="n"/>
      <c r="K28" s="3" t="n">
        <v>1310000</v>
      </c>
      <c r="L28" s="3" t="inlineStr">
        <is>
          <t>راحله مختاری</t>
        </is>
      </c>
      <c r="M28" s="3" t="inlineStr">
        <is>
          <t>تزئینات جشن ورودی</t>
        </is>
      </c>
    </row>
    <row r="29">
      <c r="A29" s="3" t="n">
        <v>28</v>
      </c>
      <c r="B29" s="3" t="n"/>
      <c r="C29" s="3" t="n"/>
      <c r="D29" s="3" t="n"/>
      <c r="E29" s="3">
        <f>1444000+1500000+1400000</f>
        <v/>
      </c>
      <c r="F29" s="3" t="n"/>
      <c r="G29" s="3" t="inlineStr">
        <is>
          <t>جایزه های جشن ورودی</t>
        </is>
      </c>
      <c r="H29" s="3" t="n"/>
      <c r="I29" s="3" t="n"/>
      <c r="J29" s="3" t="n"/>
      <c r="K29" s="3" t="n">
        <v>4344000</v>
      </c>
      <c r="L29" s="3" t="n"/>
      <c r="M29" s="3" t="inlineStr">
        <is>
          <t>جایزه های جشن ورودی</t>
        </is>
      </c>
    </row>
    <row r="30">
      <c r="A30" s="3" t="n">
        <v>29</v>
      </c>
      <c r="B30" s="3" t="n"/>
      <c r="C30" s="3" t="n"/>
      <c r="D30" s="3" t="n"/>
      <c r="E30" s="3" t="n">
        <v>300000</v>
      </c>
      <c r="F30" s="3" t="n"/>
      <c r="G30" s="3" t="inlineStr">
        <is>
          <t>شاباش نقدی برای جشن ورودی</t>
        </is>
      </c>
      <c r="H30" s="3" t="n"/>
      <c r="I30" s="3" t="n"/>
      <c r="J30" s="3" t="n"/>
      <c r="K30" s="3" t="n">
        <v>300000</v>
      </c>
      <c r="L30" s="3" t="n"/>
      <c r="M30" s="3" t="inlineStr">
        <is>
          <t>شاباش نقدی برای جشن ورودی</t>
        </is>
      </c>
    </row>
    <row r="31">
      <c r="A31" s="3" t="n">
        <v>30</v>
      </c>
      <c r="B31" s="3" t="n"/>
      <c r="C31" s="3" t="n"/>
      <c r="D31" s="3" t="n"/>
      <c r="E31" s="3" t="n">
        <v>70000</v>
      </c>
      <c r="F31" s="3" t="n"/>
      <c r="G31" s="3" t="inlineStr">
        <is>
          <t>دستمال برای اتاق انجمن</t>
        </is>
      </c>
      <c r="H31" s="3" t="n"/>
      <c r="I31" s="3" t="n"/>
      <c r="J31" s="3" t="n"/>
      <c r="K31" s="3" t="n">
        <v>70000</v>
      </c>
      <c r="L31" s="3" t="n"/>
      <c r="M31" s="3" t="inlineStr">
        <is>
          <t>دستمال برای اتاق انجمن</t>
        </is>
      </c>
    </row>
    <row r="32">
      <c r="A32" s="3" t="n">
        <v>31</v>
      </c>
      <c r="B32" s="3" t="n"/>
      <c r="C32" s="3" t="n"/>
      <c r="D32" s="3" t="n"/>
      <c r="E32" s="3" t="n">
        <v>310000</v>
      </c>
      <c r="F32" s="3" t="n"/>
      <c r="G32" s="3" t="inlineStr">
        <is>
          <t>خرید اتصالات پروژکتور انجمن</t>
        </is>
      </c>
      <c r="H32" s="3" t="n"/>
      <c r="I32" s="3" t="n"/>
      <c r="J32" s="3" t="n"/>
      <c r="K32" s="3" t="n">
        <v>310000</v>
      </c>
      <c r="L32" s="3" t="n"/>
      <c r="M32" s="3" t="inlineStr">
        <is>
          <t>خرید اتصالات پروژکتور انجمن</t>
        </is>
      </c>
    </row>
    <row r="33">
      <c r="A33" s="3" t="n">
        <v>32</v>
      </c>
      <c r="B33" s="3" t="n"/>
      <c r="C33" s="3" t="n"/>
      <c r="D33" s="3" t="n"/>
      <c r="E33" s="3" t="n">
        <v>1760000</v>
      </c>
      <c r="F33" s="3" t="n"/>
      <c r="G33" s="3" t="inlineStr">
        <is>
          <t>خرید حفاظ برق و ابزار برای اتصال پروژکتور در غرفه ها</t>
        </is>
      </c>
      <c r="H33" s="3" t="n"/>
      <c r="I33" s="3" t="n"/>
      <c r="J33" s="3" t="n"/>
      <c r="K33" s="3" t="n">
        <v>1760000</v>
      </c>
      <c r="L33" s="3" t="n"/>
      <c r="M33" s="3" t="inlineStr">
        <is>
          <t>خرید حفاظ برق و ابزار برای اتصال پروژکتور در غرفه ها</t>
        </is>
      </c>
    </row>
    <row r="34">
      <c r="A34" s="3" t="n">
        <v>33</v>
      </c>
      <c r="B34" s="3" t="n"/>
      <c r="C34" s="3" t="n"/>
      <c r="D34" s="3" t="n"/>
      <c r="E34" s="3" t="n">
        <v>230000</v>
      </c>
      <c r="F34" s="3" t="n"/>
      <c r="G34" s="3" t="inlineStr">
        <is>
          <t>پذیرایی غرفه انجمن</t>
        </is>
      </c>
      <c r="H34" s="3" t="n"/>
      <c r="I34" s="3" t="n"/>
      <c r="J34" s="3" t="n"/>
      <c r="K34" s="3" t="n">
        <v>230000</v>
      </c>
      <c r="L34" s="3" t="n"/>
      <c r="M34" s="3" t="inlineStr">
        <is>
          <t>پذیرایی غرفه انجمن</t>
        </is>
      </c>
    </row>
    <row r="35">
      <c r="A35" s="3" t="n">
        <v>34</v>
      </c>
      <c r="B35" s="3" t="n"/>
      <c r="C35" s="3" t="n"/>
      <c r="D35" s="3" t="n"/>
      <c r="E35" s="3" t="n">
        <v>1226100</v>
      </c>
      <c r="F35" s="3" t="n"/>
      <c r="G35" s="3" t="inlineStr">
        <is>
          <t>خرید دارو برای کمک های اولیه در انجمن</t>
        </is>
      </c>
      <c r="H35" s="3" t="n"/>
      <c r="I35" s="3" t="n"/>
      <c r="J35" s="3" t="n"/>
      <c r="K35" s="3" t="n">
        <v>1226100</v>
      </c>
      <c r="L35" s="3" t="n"/>
      <c r="M35" s="3" t="inlineStr">
        <is>
          <t>خرید دارو برای کمک های اولیه در انجمن</t>
        </is>
      </c>
    </row>
    <row r="36">
      <c r="A36" s="3" t="n">
        <v>35</v>
      </c>
      <c r="B36" s="3" t="n"/>
      <c r="C36" s="3" t="n"/>
      <c r="D36" s="3" t="n"/>
      <c r="E36" s="3" t="n">
        <v>2300</v>
      </c>
      <c r="F36" s="3" t="n"/>
      <c r="G36" s="3" t="inlineStr">
        <is>
          <t>چاپ قوانین اتاق انجمن</t>
        </is>
      </c>
      <c r="H36" s="3" t="n"/>
      <c r="I36" s="3" t="n"/>
      <c r="J36" s="3" t="n"/>
      <c r="K36" s="3" t="n">
        <v>2300</v>
      </c>
      <c r="L36" s="3" t="n"/>
      <c r="M36" s="3" t="inlineStr">
        <is>
          <t>چاپ قوانین اتاق انجمن</t>
        </is>
      </c>
    </row>
    <row r="37">
      <c r="A37" s="3" t="n">
        <v>36</v>
      </c>
      <c r="B37" s="3" t="n"/>
      <c r="C37" s="3" t="n"/>
      <c r="D37" s="3" t="n"/>
      <c r="E37" s="3" t="n">
        <v>1300</v>
      </c>
      <c r="F37" s="3" t="n"/>
      <c r="G37" s="3" t="inlineStr">
        <is>
          <t>چاپ قوانین اتاق انجمن</t>
        </is>
      </c>
      <c r="H37" s="3" t="n"/>
      <c r="I37" s="3" t="n"/>
      <c r="J37" s="3" t="n"/>
      <c r="K37" s="3" t="n">
        <v>1300</v>
      </c>
      <c r="L37" s="3" t="n"/>
      <c r="M37" s="3" t="inlineStr">
        <is>
          <t>چاپ قوانین اتاق انجمن</t>
        </is>
      </c>
    </row>
    <row r="38">
      <c r="A38" s="3" t="n">
        <v>37</v>
      </c>
      <c r="B38" s="3" t="n"/>
      <c r="C38" s="3" t="n"/>
      <c r="D38" s="3" t="inlineStr">
        <is>
          <t>آذر</t>
        </is>
      </c>
      <c r="E38" s="3" t="n"/>
      <c r="F38" s="3" t="n"/>
      <c r="G38" s="3" t="n"/>
      <c r="H38" s="3" t="n"/>
      <c r="I38" s="3" t="n"/>
      <c r="J38" s="3" t="inlineStr">
        <is>
          <t>آذر</t>
        </is>
      </c>
      <c r="K38" s="3" t="n"/>
      <c r="L38" s="3" t="n"/>
      <c r="M38" s="3" t="n"/>
    </row>
    <row r="39">
      <c r="A39" s="3" t="n">
        <v>38</v>
      </c>
      <c r="B39" s="3" t="inlineStr">
        <is>
          <t>واریزی دکتر مقیمی جهت کمک به انجمن</t>
        </is>
      </c>
      <c r="C39" s="3" t="n">
        <v>10000000</v>
      </c>
      <c r="D39" s="3" t="n"/>
      <c r="E39" s="3" t="n"/>
      <c r="F39" s="3" t="n"/>
      <c r="G39" s="3" t="n"/>
      <c r="H39" s="3" t="inlineStr">
        <is>
          <t>واریزی دکتر مقیمی جهت کمک به انجمن</t>
        </is>
      </c>
      <c r="I39" s="3" t="n">
        <v>10000000</v>
      </c>
      <c r="J39" s="3" t="n"/>
      <c r="K39" s="3" t="n"/>
      <c r="L39" s="3" t="n"/>
      <c r="M39" s="3" t="n"/>
    </row>
    <row r="40">
      <c r="A40" s="3" t="n">
        <v>39</v>
      </c>
      <c r="B40" s="3" t="inlineStr">
        <is>
          <t>واریزی دکتر مقیمی جهت کمک به انجمن</t>
        </is>
      </c>
      <c r="C40" s="3" t="n">
        <v>7000000</v>
      </c>
      <c r="D40" s="3" t="n"/>
      <c r="E40" s="3" t="n"/>
      <c r="F40" s="3" t="n"/>
      <c r="G40" s="3" t="n"/>
      <c r="H40" s="3" t="inlineStr">
        <is>
          <t>واریزی دکتر مقیمی جهت کمک به انجمن</t>
        </is>
      </c>
      <c r="I40" s="3" t="n">
        <v>7000000</v>
      </c>
      <c r="J40" s="3" t="n"/>
      <c r="K40" s="3" t="n"/>
      <c r="L40" s="3" t="n"/>
      <c r="M40" s="3" t="n"/>
    </row>
    <row r="41">
      <c r="A41" s="3" t="n">
        <v>40</v>
      </c>
      <c r="B41" s="3" t="inlineStr">
        <is>
          <t>واریزی دکتر مقیمی جهت کمک به انجمن</t>
        </is>
      </c>
      <c r="C41" s="3" t="n">
        <v>6000000</v>
      </c>
      <c r="D41" s="3" t="n"/>
      <c r="E41" s="3" t="n"/>
      <c r="F41" s="3" t="n"/>
      <c r="G41" s="3" t="n"/>
      <c r="H41" s="3" t="inlineStr">
        <is>
          <t>واریزی دکتر مقیمی جهت کمک به انجمن</t>
        </is>
      </c>
      <c r="I41" s="3" t="n">
        <v>6000000</v>
      </c>
      <c r="J41" s="3" t="n"/>
      <c r="K41" s="3" t="n"/>
      <c r="L41" s="3" t="n"/>
      <c r="M41" s="3" t="n"/>
    </row>
    <row r="42">
      <c r="A42" s="3" t="n">
        <v>41</v>
      </c>
      <c r="B42" s="3" t="n"/>
      <c r="C42" s="3" t="n"/>
      <c r="D42" s="3" t="inlineStr">
        <is>
          <t>دی</t>
        </is>
      </c>
      <c r="E42" s="3" t="n"/>
      <c r="F42" s="3" t="n"/>
      <c r="G42" s="3" t="n"/>
      <c r="H42" s="3" t="n"/>
      <c r="I42" s="3" t="n"/>
      <c r="J42" s="3" t="inlineStr">
        <is>
          <t>دی</t>
        </is>
      </c>
      <c r="K42" s="3" t="n"/>
      <c r="L42" s="3" t="n"/>
      <c r="M42" s="3" t="n"/>
    </row>
    <row r="43">
      <c r="A43" s="3" t="n">
        <v>42</v>
      </c>
      <c r="B43" s="3" t="inlineStr">
        <is>
          <t>دونیشن برای جشن یلدا در حساب</t>
        </is>
      </c>
      <c r="C43" s="3" t="n">
        <v>15790000</v>
      </c>
      <c r="D43" s="3" t="n"/>
      <c r="E43" s="3" t="n">
        <v>2137000</v>
      </c>
      <c r="F43" s="3" t="n"/>
      <c r="G43" s="3" t="inlineStr">
        <is>
          <t>جایزه و پذیرایی جشن یلدا</t>
        </is>
      </c>
      <c r="H43" s="3" t="inlineStr">
        <is>
          <t>دونیشن برای جشن یلدا در حساب</t>
        </is>
      </c>
      <c r="I43" s="3" t="n">
        <v>15790000</v>
      </c>
      <c r="J43" s="3" t="n"/>
      <c r="K43" s="3" t="n">
        <v>2137000</v>
      </c>
      <c r="L43" s="3" t="n"/>
      <c r="M43" s="3" t="inlineStr">
        <is>
          <t>جایزه و پذیرایی جشن یلدا</t>
        </is>
      </c>
    </row>
    <row r="44">
      <c r="A44" s="3" t="n">
        <v>43</v>
      </c>
      <c r="B44" s="3" t="inlineStr">
        <is>
          <t>دونیشن وجه نقد برای جشن یلدا</t>
        </is>
      </c>
      <c r="C44" s="3" t="n">
        <v>700000</v>
      </c>
      <c r="D44" s="3" t="n"/>
      <c r="E44" s="3" t="n"/>
      <c r="F44" s="3" t="n"/>
      <c r="G44" s="3" t="n"/>
      <c r="H44" s="3" t="inlineStr">
        <is>
          <t>دونیشن وجه نقد برای جشن یلدا</t>
        </is>
      </c>
      <c r="I44" s="3" t="n">
        <v>700000</v>
      </c>
      <c r="J44" s="3" t="n"/>
      <c r="K44" s="3" t="n"/>
      <c r="L44" s="3" t="n"/>
      <c r="M44" s="3" t="n"/>
    </row>
    <row r="45">
      <c r="A45" s="3" t="n">
        <v>44</v>
      </c>
      <c r="B45" s="3" t="n"/>
      <c r="C45" s="3" t="n"/>
      <c r="D45" s="3" t="inlineStr">
        <is>
          <t>مهر 05</t>
        </is>
      </c>
      <c r="E45" s="3" t="n"/>
      <c r="F45" s="3" t="n"/>
      <c r="G45" s="3" t="n"/>
      <c r="H45" s="3" t="n"/>
      <c r="I45" s="3" t="n"/>
      <c r="J45" s="3" t="inlineStr">
        <is>
          <t>مهر 05</t>
        </is>
      </c>
      <c r="K45" s="3" t="n"/>
      <c r="L45" s="3" t="n"/>
      <c r="M45" s="3" t="n"/>
    </row>
    <row r="46">
      <c r="A46" s="3" t="n">
        <v>45</v>
      </c>
      <c r="B46" s="3" t="inlineStr">
        <is>
          <t>معرفی رشته</t>
        </is>
      </c>
      <c r="C46" s="3" t="n">
        <v>23000000</v>
      </c>
      <c r="D46" s="3" t="n"/>
      <c r="E46" s="3" t="n">
        <v>5000000</v>
      </c>
      <c r="F46" s="3" t="n"/>
      <c r="G46" s="3" t="inlineStr">
        <is>
          <t>دورهمی بعد از رویداد معرفی رشته</t>
        </is>
      </c>
      <c r="H46" s="3" t="inlineStr">
        <is>
          <t>معرفی رشته</t>
        </is>
      </c>
      <c r="I46" s="3" t="n">
        <v>23000000</v>
      </c>
      <c r="J46" s="3" t="n"/>
      <c r="K46" s="3" t="n">
        <v>5000000</v>
      </c>
      <c r="L46" s="3" t="n"/>
      <c r="M46" s="3" t="inlineStr">
        <is>
          <t>دورهمی بعد از رویداد معرفی رشته</t>
        </is>
      </c>
    </row>
  </sheetData>
  <mergeCells count="1">
    <mergeCell ref="A1:M1"/>
  </mergeCells>
  <pageMargins left="0.75" right="0.75" top="1" bottom="1" header="0.5" footer="0.5"/>
  <pageSetup fitToHeight="0" fitToWidth="1"/>
</worksheet>
</file>

<file path=xl/worksheets/sheet7.xml><?xml version="1.0" encoding="utf-8"?>
<worksheet xmlns="http://schemas.openxmlformats.org/spreadsheetml/2006/main">
  <sheetPr>
    <outlinePr summaryBelow="1" summaryRight="1"/>
    <pageSetUpPr fitToPage="1"/>
  </sheetPr>
  <dimension ref="A1:C7"/>
  <sheetViews>
    <sheetView rightToLeft="1" workbookViewId="0">
      <pane ySplit="3" topLeftCell="A4" activePane="bottomLeft" state="frozen"/>
      <selection pane="bottomLeft" activeCell="A1" sqref="A1"/>
    </sheetView>
  </sheetViews>
  <sheetFormatPr baseColWidth="8" defaultRowHeight="15"/>
  <cols>
    <col width="45" customWidth="1" min="1" max="1"/>
    <col width="15" customWidth="1" min="2" max="2"/>
    <col width="120" customWidth="1" min="3" max="3"/>
  </cols>
  <sheetData>
    <row r="1" ht="28" customHeight="1">
      <c r="A1" s="5" t="inlineStr">
        <is>
          <t>متن خام اسناد PDF</t>
        </is>
      </c>
    </row>
    <row r="2">
      <c r="A2" s="6" t="inlineStr">
        <is>
          <t>نسخه refined | واحد گزارش: تومان | مبالغ نامطمئن در صف بررسی از جمع تاییدشده حذف می‌شوند.</t>
        </is>
      </c>
    </row>
    <row r="3" ht="34" customHeight="1">
      <c r="A3" s="7" t="inlineStr">
        <is>
          <t>فایل</t>
        </is>
      </c>
      <c r="B3" s="7" t="inlineStr">
        <is>
          <t>تعداد صفحات</t>
        </is>
      </c>
      <c r="C3" s="7" t="inlineStr">
        <is>
          <t>متن استخراج‌شده</t>
        </is>
      </c>
    </row>
    <row r="4">
      <c r="A4" s="3" t="inlineStr">
        <is>
          <t>invoice-61150.pdf</t>
        </is>
      </c>
      <c r="B4" s="3" t="n">
        <v>1</v>
      </c>
      <c r="C4" s="3" t="inlineStr">
        <is>
          <t xml:space="preserve">ﻓﺎﮐﺘﻮر ﻓﺮوش ﮐﺎﻻ و ﺧﺪﻣﺎت
ﻣﺸﺨﺼﺎت ﻓﺮوﺷﻨﺪهﺷﻤﺎره ﻓﺎﮐﺘﻮر:
ﺗﺎرﯾﺦ:61150
1405/06/07
ﺷﺮﮐﺖ ﻣﻬﺒﺎﻧﮓ ﻓﻦ آوري ﻫﺎي ﭘﺎرسﻧﺎم ﺷﺨﺺ ﺣﻘﯿﻘﯽ / ﺣﻘﻮﻗﯽ:  14006289892ﺷﻤﺎره اﻗﺘﺼﺎدي
اﺳﺘﺎن ﺧﺮاﺳﺎن رﺿﻮيﻧﺸﺎﻧﯽ ﮐﺎﻣﻞ:  ﻧﯿﺸﺎﺑﻮرﺷﻬﺮﺳﺘﺎن:  9319970191 رﻗﻤﯽ10ﮐﺪ ﭘﺴﺘﯽ
209 واﺣﺪ2،ﻣﺠﺘﻤﻊ ﭘﺎرك ﻋﻠﻮم و ﻓﻨﺎوري،ﻃﺒﻘﻪ0ﺧﺮاﺳﺎن رﺿﻮي، ﻧﯿﺸﺎﺑﻮر، ﺑﻠﻮار ﭘﮋوﻫﺶ، ﭘﻼكﻧﺸﺎﻧﯽ:  ﺷﻤﺎره ﺛﺒﺖ/ ﺷﻤﺎره ﻣﻠﯽ:
ﺷﻨﺎﺳﻪ ﻣﻠﯽ:
ﺷﻤﺎره ﺗﻠﻔﻦ / ﻧﻤﺎﺑﺮ:5905
14006289892
021-57605000
ﻣﺸﺨﺼﺎت ﺧﺮﯾﺪار
ﻣﺤﻤﺪ ﺣﺴﻦ ﺷﯿﺮيﻧﺎم ﺷﺨﺺ ﺣﻘﯿﻘﯽ / ﺣﻘﻮﻗﯽ:  0ﺷﻤﺎره اﻗﺘﺼﺎدي
اﺳﺘﺎن:ﺷﻬﺮﺳﺘﺎن: 1458889694 رﻗﻤﯽ10ﮐﺪ ﭘﺴﺘﯽ
ﺗﻬﺮان، ﺧﯿﺎﺑﺎن ﺗﯿﻤﻮري، داﻧﺸﮕﺎه ﺻﻨﻌﺘﯽ ﺷﺮﯾﻒ،درب ﺷﻤﺎﻟﯽﻧﺸﺎﻧﯽ:  ﺷﻤﺎره ﺛﺒﺖ/ ﺷﻤﺎره ﻣﻠﯽ:
ﺷﻨﺎﺳﻪ ﻣﻠﯽ:
ﺷﻤﺎره ﺗﻠﻔﻦ / ﻧﻤﺎﺑﺮ:1273447468
09130876341
ﻣﺸﺨﺼﺎت ﮐﺎﻻ ﯾﺎ ﺧﺪﻣﺎت ﻣﻮرد ﻣﻌﺎﻣﻠﻪ
1 2 3 4 5 6 7 8 9 10 11
ردﯾﻒﮐﺪ
ﮐﺎﻻﺷﺮح ﮐﺎﻻ ﯾﺎ ﺧﺪﻣﺎتﺗﻌﺪاد/
ﻣﻘﺪارواﺣﺪ اﻧﺪازه
ﮔﯿﺮيﻣﺒﻠﻎ واﺣﺪ )رﯾﺎل(ﻣﺒﻠﻎ ﮐﻞ )رﯾﺎل( ﻣﺒﻠﻎ ﺗﺨﻔﯿﻒﻣﺒﻠﻎ ﮐﻞ ﭘﺲ از ﺗﺨﻔﯿﻒ
)رﯾﺎل(ﺟﻤﻊ ﻣﺎﻟﯿﺎت و ﻋﻮارض
)رﯾﺎل(ﺟﻤﻊ ﻣﺒﻠﻎ ﮐﻞ ﺑﻌﻼوه
ﺟﻤﻊ ﻣﺎﻟﯿﺎت و ﻋﻮارض
)رﯾﺎل(
ﻧﺤﻮه ﻣﺤﺎﺳﺒﻪ ﺑﺮ اﺳﺎس ﺷﻤﺎره ﺳﺘﻮن4 x6 7-8*ﻣﺠﻤﻮع ﻧﺮخ ﻣﺎﻟﯿﺎت و ﻋﻮارض10) (9+10 )
1 200450اﭘﻠﯿﮑﯿﺸﻦ اﺳﮑﺎي روم )ﺳﺮوﯾﺲ آﻣﻮزﺷﯽ 
ﮐﺎرﺑﺮه(1ﻣﺎه22,500,000 22,500,000 0 22,500,000 2,250,000 24,750,000
2 151ﺑﺴﺘﻪ ﺿﺒﻂ روﯾﺪاد20ﺳﺎﻋﺖ810,000 16,200,000 0 16,200,000 1,620,000 17,820,000
3
4
5
ﺟﻤﻊ ﮐﻞ: ﭼﻬﻞ و دو ﻣﯿﻠﯿﻮن و ﭘﺎﻧﺼﺪ و ﻫﻔﺘﺎد ﻫﺰار رﯾﺎل38,700,000 0 38,700,000 3,870,000 42,570,000
ﺷﻤﺎره ﺣﺴﺎب ﻫﺎي ﻣﻬﺒﺎﻧﮓ ﻓﻨﺎوري ﻫﺎي ﭘﺎرس ﺑﺮاي ﭘﺮداﺧﺖ ﻏﯿﺮ آﻧﻼﯾﻦ ﺑﻪ ﺷﺮح زﯾﺮ اﺳﺖ
 / ﺷﻤﺎره ﺷﺒﺎ ﺳﺎﻣﺎن6219-8610-3590-6295 / ﺷﻤﺎره ﮐﺎرت ﺳﺎﻣﺎن841-40-2628116-1ﺷﻤﺎره ﺣﺴﺎب ﺳﺎﻣﺎن
I R340560084104002628116001
ﻟﻄﻔﺎ ﺑﻌﺪ از وارﯾﺰ، ﻓﯿﺶ وارﯾﺰي را از ﻃﺮﯾﻖ ﺗﯿﮑﺖ ﺑﻪ واﺣﺪ ﻓﺮوش ارﺳﺎل ﻧﻤﺎﯾﯿﺪ
ﻣﻬﺮ و اﻣﻀﺎء ﻓﺮوﺷﻨﺪهﻣﻬﺮ و اﻣﻀﺎء ﺧﺮﯾﺪار ﺷﺮاﯾﻂ و ﻧﺤﻮه ﻓﺮوشﻧﻘﺪي ﻏﯿﺮ ﻧﻘﺪي
</t>
        </is>
      </c>
    </row>
    <row r="5">
      <c r="A5" s="3" t="inlineStr">
        <is>
          <t>physics_intro full report.pdf</t>
        </is>
      </c>
      <c r="B5" s="3" t="n">
        <v>2</v>
      </c>
      <c r="C5" s="3" t="inlineStr">
        <is>
          <t>داﺪﯾور
داﺪﯾور
نﺎﯾﺎﭘ
نﺎﯾﺎﭘ
شراﺰﮔ
شراﺰﮔ
1
: 
نﺎﮔﺪﻨﻨﮐ
ﺖﮐﺮﺷ
داﺪﻌﺗ
رد
داﺪﯾور
ﻪﺒﺗر
ﺮﻔﻧ
90
: 
ﺪﯾﺪﺟ
هﺪﻨﻨﮐ
ﺖﮐﺮﺷ
داﺪﻌﺗ
زور
4
(: 
داﺪﯾور
عوﺮﺷ
ﺎﺗ
ﺖﺧﺎﺳ
زا
) 
داﺪﯾور
تﻮﻣوﺮ#
نﺎﻣز
تﺪﻣ
1
: 
ﺖﯿﻠﺑ
شوﺮﻓ
رد
داﺪﯾور
ﻪﺒﺗر
31
و
 (
ﻦﻣﻮﺗ
7,339,500
 )
1405
رﻮ
29
و
 (
ﻦﻣﻮﺗ
9,984,000
 )
1405
رﻮ
30
: 
ﺎﻫ
زور
ﻦ
شوﺮﻓ
ﺮ#
(
ﻦﻣﻮﺗ
6,416,500
 )
1405
رﻮ
نﺎﻣﻮﺗ
302,612
: 
ﺖﯿﻠﺑ
ﮏﯾ
ﺖﻤﯿﻗ
ﻂﺳﻮﺘﻣ
ﺮﻔﻧ
95
: 
داﺪﯾور
نﺎﯾﺎﭘ
ﺎﺗ
ﺖﺧﺎﺳ
ﺦ
زا
ﺪﯾﺪﺟ
نﺎﮔﺪﻨﻨﮐ
لﺎﺒﻧد
ﺮﻔﻧ
11
: 
A
رد
نﺎﮔﺪﻨﻨﮐ
ﺖﮐﺮﺷ
داﺪﻌﺗ
٪
100
: 
ﺎﻤﺷ
داﺪﯾور
نﺎﮔﺪﻨﻨﮐدﺎﻬﻨﺸﯿﭘ
ﺪﺻرد
ﻒﯾﺮﺷ
ﮏﯾﺰ
ﻪﺘﺷر
A
۸۰
:
۰۰
ﺖﻋﺎﺳ
۵۰۴۱
/
۷
/
۲
 :
عوﺮﺷ
۰۱
:
۰۰
ﺖﻋﺎﺳ
۵۰۴۱
/
۷
/
۲
 :
نﺎﯾﺎﭘ
ﻒﯾﺮﺷ
ﮏﯾﺰ
A
ﻦﻤﺠﻧا
ﺮﻔﻧ
ﺮﻔﻧ
90
90
: 
: 
نﺎﮔﺪﻨﻨﮐ
نﺎﮔﺪﻨﻨﮐ
ﺖﮐﺮﺷ
ﺖﮐﺮﺷ
داﺪﯾور
داﺪﯾور
ﺪﯾدزﺎﺑ
ﺪﯾدزﺎﺑ
نﺎﻣﻮﺗ
نﺎﻣﻮﺗ
27,235,000
27,235,000
: 
: 
ﺖﯿﻠﺑ
ﺖﯿﻠﺑ
شوﺮﻓ
شوﺮﻓ
ﺮﻔﻧ
ﺮﻔﻧ
96
96
: 
: 
نﺎﮔﺪﻨﻨﮐ
نﺎﮔﺪﻨﻨﮐ
لﺎﺒﻧد
لﺎﺒﻧد
نﺎﻣﻮﺗ
نﺎﻣﻮﺗ
0
0
: 
: 
تﺎﻐﯿﻠﺒﺗ
تﺎﻐﯿﻠﺒﺗ
%
%
100
100
: 
: 
نﺎﮔﺪﻨﻨﮐ
نﺎﮔﺪﻨﻨﮐ
ﺖﮐﺮﺷ
ﺖﮐﺮﺷ
ﺖﯾﺎﺿر
ﺖﯾﺎﺿر
ﺪﺻرد
ﺪﺻرد
.ﺪﻧا
هﺪﺷ
یروآ
ﻊﻤﺟ
ﺎﻤﺷ
ﻪﺘﺷﺬﮔ
داﺪﯾور
۰۱
سﺎﺳا
ﺮ
تﺎﻋﻼﻃا
A
11:05
ﺖﻋﺎﺳ
1405
ﺮﻬﻣ
03
: 
شراﺰﮔ
ﺖﺧﺎﺳ
ﺦ</t>
        </is>
      </c>
    </row>
    <row r="6">
      <c r="A6" s="3" t="inlineStr">
        <is>
          <t>telegram export\files\CamScanner 13-05-2026 12.43 (1).pdf</t>
        </is>
      </c>
      <c r="B6" s="3" t="n">
        <v>11</v>
      </c>
      <c r="C6" s="3" t="inlineStr">
        <is>
          <t xml:space="preserve">CamScanner
CamScanner
CamScanner
CamScanner
CamScanner
CamScanner
CamScanner
CamScanner
CamScanner
CamScanner
CamScanner
</t>
        </is>
      </c>
    </row>
    <row r="7">
      <c r="A7" s="3" t="inlineStr">
        <is>
          <t>telegram export\files\dk-file-2025-10-16-14-43-08.pdf</t>
        </is>
      </c>
      <c r="B7" s="3" t="n">
        <v>1</v>
      </c>
      <c r="C7" s="3" t="inlineStr"/>
    </row>
  </sheetData>
  <mergeCells count="1">
    <mergeCell ref="A1:C1"/>
  </mergeCells>
  <pageMargins left="0.75" right="0.75" top="1" bottom="1" header="0.5" footer="0.5"/>
  <pageSetup fitToHeight="0" fitToWidth="1"/>
</worksheet>
</file>

<file path=xl/worksheets/sheet8.xml><?xml version="1.0" encoding="utf-8"?>
<worksheet xmlns="http://schemas.openxmlformats.org/spreadsheetml/2006/main">
  <sheetPr>
    <outlinePr summaryBelow="1" summaryRight="1"/>
    <pageSetUpPr fitToPage="1"/>
  </sheetPr>
  <dimension ref="A1:C11"/>
  <sheetViews>
    <sheetView rightToLeft="1" workbookViewId="0">
      <pane ySplit="3" topLeftCell="A4" activePane="bottomLeft" state="frozen"/>
      <selection pane="bottomLeft" activeCell="A1" sqref="A1"/>
    </sheetView>
  </sheetViews>
  <sheetFormatPr baseColWidth="8" defaultRowHeight="15"/>
  <cols>
    <col width="42" customWidth="1" min="1" max="1"/>
    <col width="22" customWidth="1" min="2" max="2"/>
    <col width="100" customWidth="1" min="3" max="3"/>
  </cols>
  <sheetData>
    <row r="1" ht="28" customHeight="1">
      <c r="A1" s="5" t="inlineStr">
        <is>
          <t>تطبیق و کنترل‌های حسابداری</t>
        </is>
      </c>
    </row>
    <row r="2">
      <c r="A2" s="6" t="inlineStr">
        <is>
          <t>نسخه refined | واحد گزارش: تومان | مبالغ نامطمئن در صف بررسی از جمع تاییدشده حذف می‌شوند.</t>
        </is>
      </c>
    </row>
    <row r="3" ht="34" customHeight="1">
      <c r="A3" s="7" t="inlineStr">
        <is>
          <t>شاخص</t>
        </is>
      </c>
      <c r="B3" s="7" t="inlineStr">
        <is>
          <t>مقدار</t>
        </is>
      </c>
      <c r="C3" s="7" t="inlineStr">
        <is>
          <t>توضیح</t>
        </is>
      </c>
    </row>
    <row r="4">
      <c r="A4" s="3" t="inlineStr">
        <is>
          <t>تعداد تراکنش‌های دفتر قبلی</t>
        </is>
      </c>
      <c r="B4" s="4">
        <f>COUNTIF(تراکنش‌ها!$K:$K,"دفتر قبلی")</f>
        <v/>
      </c>
      <c r="C4" s="3" t="inlineStr">
        <is>
          <t>تعداد ورودی‌های درآمد/هزینه واردشده از شیت مجموع</t>
        </is>
      </c>
    </row>
    <row r="5">
      <c r="A5" s="3" t="inlineStr">
        <is>
          <t>درآمد تاییدشده</t>
        </is>
      </c>
      <c r="B5" s="4">
        <f>SUMIFS(تراکنش‌ها!$F:$F,تراکنش‌ها!$B:$B,"درآمد",تراکنش‌ها!$J:$J,"تاییدشده")</f>
        <v/>
      </c>
      <c r="C5" s="3" t="inlineStr">
        <is>
          <t>فقط وضعیت تاییدشده</t>
        </is>
      </c>
    </row>
    <row r="6">
      <c r="A6" s="3" t="inlineStr">
        <is>
          <t>هزینه تاییدشده</t>
        </is>
      </c>
      <c r="B6" s="4">
        <f>SUMIFS(تراکنش‌ها!$F:$F,تراکنش‌ها!$B:$B,"هزینه",تراکنش‌ها!$J:$J,"تاییدشده")</f>
        <v/>
      </c>
      <c r="C6" s="3" t="inlineStr">
        <is>
          <t>فقط وضعیت تاییدشده</t>
        </is>
      </c>
    </row>
    <row r="7">
      <c r="A7" s="3" t="inlineStr">
        <is>
          <t>تراز تاییدشده</t>
        </is>
      </c>
      <c r="B7" s="4">
        <f>B6-B7</f>
        <v/>
      </c>
      <c r="C7" s="3" t="inlineStr">
        <is>
          <t>درآمد تاییدشده منهای هزینه تاییدشده</t>
        </is>
      </c>
    </row>
    <row r="8">
      <c r="A8" s="3" t="inlineStr">
        <is>
          <t>درآمد پیشنهادی/استنباطی</t>
        </is>
      </c>
      <c r="B8" s="4">
        <f>SUMIFS(تراکنش‌ها!$F:$F,تراکنش‌ها!$B:$B,"درآمد",تراکنش‌ها!$J:$J,"پیشنهادی - نیازمند بررسی")</f>
        <v/>
      </c>
      <c r="C8" s="3" t="inlineStr">
        <is>
          <t>تا زمان تایید در تراز اصلی منظور نمی‌شود</t>
        </is>
      </c>
    </row>
    <row r="9">
      <c r="A9" s="3" t="inlineStr">
        <is>
          <t>هزینه پیشنهادی/استنباطی</t>
        </is>
      </c>
      <c r="B9" s="4">
        <f>SUMIFS(تراکنش‌ها!$F:$F,تراکنش‌ها!$B:$B,"هزینه",تراکنش‌ها!$J:$J,"پیشنهادی - نیازمند بررسی")</f>
        <v/>
      </c>
      <c r="C9" s="3" t="inlineStr">
        <is>
          <t>تا زمان تایید در تراز اصلی منظور نمی‌شود</t>
        </is>
      </c>
    </row>
    <row r="10">
      <c r="A10" s="3" t="inlineStr">
        <is>
          <t>رسیدهای در صف بررسی</t>
        </is>
      </c>
      <c r="B10" s="4">
        <f>COUNTIF('صف بررسی رسیدها'!$F:$F,"نیازمند ورود دستی")</f>
        <v/>
      </c>
      <c r="C10" s="3" t="inlineStr">
        <is>
          <t>20 تصویر فعلی نیازمند ورود دستی/بررسی تکراری هستند</t>
        </is>
      </c>
    </row>
    <row r="11">
      <c r="A11" s="3" t="inlineStr">
        <is>
          <t>اسناد فهرست‌شده</t>
        </is>
      </c>
      <c r="B11" s="4">
        <f>COUNTA('اسناد و شواهد'!$A:$A)-3</f>
        <v/>
      </c>
      <c r="C11" s="3" t="inlineStr">
        <is>
          <t>تعداد اقلام موجود در فهرست شواهد</t>
        </is>
      </c>
    </row>
  </sheetData>
  <mergeCells count="1">
    <mergeCell ref="A1:C1"/>
  </mergeCells>
  <pageMargins left="0.75" right="0.75" top="1" bottom="1" header="0.5" footer="0.5"/>
  <pageSetup fitToHeight="0" fitToWidth="1"/>
</worksheet>
</file>

<file path=xl/worksheets/sheet9.xml><?xml version="1.0" encoding="utf-8"?>
<worksheet xmlns="http://schemas.openxmlformats.org/spreadsheetml/2006/main">
  <sheetPr>
    <outlinePr summaryBelow="1" summaryRight="1"/>
    <pageSetUpPr fitToPage="1"/>
  </sheetPr>
  <dimension ref="A1:F12"/>
  <sheetViews>
    <sheetView rightToLeft="1" workbookViewId="0">
      <pane ySplit="3" topLeftCell="A4" activePane="bottomLeft" state="frozen"/>
      <selection pane="bottomLeft"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2" customWidth="1" min="6" max="6"/>
  </cols>
  <sheetData>
    <row r="1" ht="28" customHeight="1">
      <c r="A1" s="5" t="inlineStr">
        <is>
          <t>گزارش ماهانه</t>
        </is>
      </c>
    </row>
    <row r="2">
      <c r="A2" s="6" t="inlineStr">
        <is>
          <t>نسخه refined | واحد گزارش: تومان | مبالغ نامطمئن در صف بررسی از جمع تاییدشده حذف می‌شوند.</t>
        </is>
      </c>
    </row>
    <row r="3" ht="34" customHeight="1">
      <c r="A3" s="7" t="inlineStr">
        <is>
          <t>ماه/دوره</t>
        </is>
      </c>
      <c r="B3" s="7" t="inlineStr">
        <is>
          <t>درآمد تاییدشده</t>
        </is>
      </c>
      <c r="C3" s="7" t="inlineStr">
        <is>
          <t>هزینه تاییدشده</t>
        </is>
      </c>
      <c r="D3" s="7" t="inlineStr">
        <is>
          <t>تراز تاییدشده</t>
        </is>
      </c>
      <c r="E3" s="7" t="inlineStr">
        <is>
          <t>درآمد پیشنهادی</t>
        </is>
      </c>
      <c r="F3" s="7" t="inlineStr">
        <is>
          <t>هزینه پیشنهادی</t>
        </is>
      </c>
    </row>
    <row r="4">
      <c r="A4" s="3" t="inlineStr">
        <is>
          <t>مرداد</t>
        </is>
      </c>
      <c r="B4" s="4">
        <f>SUMIFS(تراکنش‌ها!$F:$F,تراکنش‌ها!$C:$C,$A4,تراکنش‌ها!$B:$B,"درآمد",تراکنش‌ها!$J:$J,"تاییدشده")</f>
        <v/>
      </c>
      <c r="C4" s="4">
        <f>SUMIFS(تراکنش‌ها!$F:$F,تراکنش‌ها!$C:$C,$A4,تراکنش‌ها!$B:$B,"هزینه",تراکنش‌ها!$J:$J,"تاییدشده")</f>
        <v/>
      </c>
      <c r="D4" s="4">
        <f>B4-C4</f>
        <v/>
      </c>
      <c r="E4" s="4">
        <f>SUMIFS(تراکنش‌ها!$F:$F,تراکنش‌ها!$C:$C,$A4,تراکنش‌ها!$B:$B,"درآمد",تراکنش‌ها!$J:$J,"پیشنهادی - نیازمند بررسی")</f>
        <v/>
      </c>
      <c r="F4" s="4">
        <f>SUMIFS(تراکنش‌ها!$F:$F,تراکنش‌ها!$C:$C,$A4,تراکنش‌ها!$B:$B,"هزینه",تراکنش‌ها!$J:$J,"پیشنهادی - نیازمند بررسی")</f>
        <v/>
      </c>
    </row>
    <row r="5">
      <c r="A5" s="3" t="inlineStr">
        <is>
          <t>شهریور</t>
        </is>
      </c>
      <c r="B5" s="4">
        <f>SUMIFS(تراکنش‌ها!$F:$F,تراکنش‌ها!$C:$C,$A5,تراکنش‌ها!$B:$B,"درآمد",تراکنش‌ها!$J:$J,"تاییدشده")</f>
        <v/>
      </c>
      <c r="C5" s="4">
        <f>SUMIFS(تراکنش‌ها!$F:$F,تراکنش‌ها!$C:$C,$A5,تراکنش‌ها!$B:$B,"هزینه",تراکنش‌ها!$J:$J,"تاییدشده")</f>
        <v/>
      </c>
      <c r="D5" s="4">
        <f>B5-C5</f>
        <v/>
      </c>
      <c r="E5" s="4">
        <f>SUMIFS(تراکنش‌ها!$F:$F,تراکنش‌ها!$C:$C,$A5,تراکنش‌ها!$B:$B,"درآمد",تراکنش‌ها!$J:$J,"پیشنهادی - نیازمند بررسی")</f>
        <v/>
      </c>
      <c r="F5" s="4">
        <f>SUMIFS(تراکنش‌ها!$F:$F,تراکنش‌ها!$C:$C,$A5,تراکنش‌ها!$B:$B,"هزینه",تراکنش‌ها!$J:$J,"پیشنهادی - نیازمند بررسی")</f>
        <v/>
      </c>
    </row>
    <row r="6">
      <c r="A6" s="3" t="inlineStr">
        <is>
          <t>مهر</t>
        </is>
      </c>
      <c r="B6" s="4">
        <f>SUMIFS(تراکنش‌ها!$F:$F,تراکنش‌ها!$C:$C,$A6,تراکنش‌ها!$B:$B,"درآمد",تراکنش‌ها!$J:$J,"تاییدشده")</f>
        <v/>
      </c>
      <c r="C6" s="4">
        <f>SUMIFS(تراکنش‌ها!$F:$F,تراکنش‌ها!$C:$C,$A6,تراکنش‌ها!$B:$B,"هزینه",تراکنش‌ها!$J:$J,"تاییدشده")</f>
        <v/>
      </c>
      <c r="D6" s="4">
        <f>B6-C6</f>
        <v/>
      </c>
      <c r="E6" s="4">
        <f>SUMIFS(تراکنش‌ها!$F:$F,تراکنش‌ها!$C:$C,$A6,تراکنش‌ها!$B:$B,"درآمد",تراکنش‌ها!$J:$J,"پیشنهادی - نیازمند بررسی")</f>
        <v/>
      </c>
      <c r="F6" s="4">
        <f>SUMIFS(تراکنش‌ها!$F:$F,تراکنش‌ها!$C:$C,$A6,تراکنش‌ها!$B:$B,"هزینه",تراکنش‌ها!$J:$J,"پیشنهادی - نیازمند بررسی")</f>
        <v/>
      </c>
    </row>
    <row r="7">
      <c r="A7" s="3" t="inlineStr">
        <is>
          <t>آبان</t>
        </is>
      </c>
      <c r="B7" s="4">
        <f>SUMIFS(تراکنش‌ها!$F:$F,تراکنش‌ها!$C:$C,$A7,تراکنش‌ها!$B:$B,"درآمد",تراکنش‌ها!$J:$J,"تاییدشده")</f>
        <v/>
      </c>
      <c r="C7" s="4">
        <f>SUMIFS(تراکنش‌ها!$F:$F,تراکنش‌ها!$C:$C,$A7,تراکنش‌ها!$B:$B,"هزینه",تراکنش‌ها!$J:$J,"تاییدشده")</f>
        <v/>
      </c>
      <c r="D7" s="4">
        <f>B7-C7</f>
        <v/>
      </c>
      <c r="E7" s="4">
        <f>SUMIFS(تراکنش‌ها!$F:$F,تراکنش‌ها!$C:$C,$A7,تراکنش‌ها!$B:$B,"درآمد",تراکنش‌ها!$J:$J,"پیشنهادی - نیازمند بررسی")</f>
        <v/>
      </c>
      <c r="F7" s="4">
        <f>SUMIFS(تراکنش‌ها!$F:$F,تراکنش‌ها!$C:$C,$A7,تراکنش‌ها!$B:$B,"هزینه",تراکنش‌ها!$J:$J,"پیشنهادی - نیازمند بررسی")</f>
        <v/>
      </c>
    </row>
    <row r="8">
      <c r="A8" s="3" t="inlineStr">
        <is>
          <t>آذر</t>
        </is>
      </c>
      <c r="B8" s="4">
        <f>SUMIFS(تراکنش‌ها!$F:$F,تراکنش‌ها!$C:$C,$A8,تراکنش‌ها!$B:$B,"درآمد",تراکنش‌ها!$J:$J,"تاییدشده")</f>
        <v/>
      </c>
      <c r="C8" s="4">
        <f>SUMIFS(تراکنش‌ها!$F:$F,تراکنش‌ها!$C:$C,$A8,تراکنش‌ها!$B:$B,"هزینه",تراکنش‌ها!$J:$J,"تاییدشده")</f>
        <v/>
      </c>
      <c r="D8" s="4">
        <f>B8-C8</f>
        <v/>
      </c>
      <c r="E8" s="4">
        <f>SUMIFS(تراکنش‌ها!$F:$F,تراکنش‌ها!$C:$C,$A8,تراکنش‌ها!$B:$B,"درآمد",تراکنش‌ها!$J:$J,"پیشنهادی - نیازمند بررسی")</f>
        <v/>
      </c>
      <c r="F8" s="4">
        <f>SUMIFS(تراکنش‌ها!$F:$F,تراکنش‌ها!$C:$C,$A8,تراکنش‌ها!$B:$B,"هزینه",تراکنش‌ها!$J:$J,"پیشنهادی - نیازمند بررسی")</f>
        <v/>
      </c>
    </row>
    <row r="9">
      <c r="A9" s="3" t="inlineStr">
        <is>
          <t>دی</t>
        </is>
      </c>
      <c r="B9" s="4">
        <f>SUMIFS(تراکنش‌ها!$F:$F,تراکنش‌ها!$C:$C,$A9,تراکنش‌ها!$B:$B,"درآمد",تراکنش‌ها!$J:$J,"تاییدشده")</f>
        <v/>
      </c>
      <c r="C9" s="4">
        <f>SUMIFS(تراکنش‌ها!$F:$F,تراکنش‌ها!$C:$C,$A9,تراکنش‌ها!$B:$B,"هزینه",تراکنش‌ها!$J:$J,"تاییدشده")</f>
        <v/>
      </c>
      <c r="D9" s="4">
        <f>B9-C9</f>
        <v/>
      </c>
      <c r="E9" s="4">
        <f>SUMIFS(تراکنش‌ها!$F:$F,تراکنش‌ها!$C:$C,$A9,تراکنش‌ها!$B:$B,"درآمد",تراکنش‌ها!$J:$J,"پیشنهادی - نیازمند بررسی")</f>
        <v/>
      </c>
      <c r="F9" s="4">
        <f>SUMIFS(تراکنش‌ها!$F:$F,تراکنش‌ها!$C:$C,$A9,تراکنش‌ها!$B:$B,"هزینه",تراکنش‌ها!$J:$J,"پیشنهادی - نیازمند بررسی")</f>
        <v/>
      </c>
    </row>
    <row r="10">
      <c r="A10" s="3" t="inlineStr">
        <is>
          <t>1405/06/07</t>
        </is>
      </c>
      <c r="B10" s="4">
        <f>SUMIFS(تراکنش‌ها!$F:$F,تراکنش‌ها!$C:$C,$A10,تراکنش‌ها!$B:$B,"درآمد",تراکنش‌ها!$J:$J,"تاییدشده")</f>
        <v/>
      </c>
      <c r="C10" s="4">
        <f>SUMIFS(تراکنش‌ها!$F:$F,تراکنش‌ها!$C:$C,$A10,تراکنش‌ها!$B:$B,"هزینه",تراکنش‌ها!$J:$J,"تاییدشده")</f>
        <v/>
      </c>
      <c r="D10" s="4">
        <f>B10-C10</f>
        <v/>
      </c>
      <c r="E10" s="4">
        <f>SUMIFS(تراکنش‌ها!$F:$F,تراکنش‌ها!$C:$C,$A10,تراکنش‌ها!$B:$B,"درآمد",تراکنش‌ها!$J:$J,"پیشنهادی - نیازمند بررسی")</f>
        <v/>
      </c>
      <c r="F10" s="4">
        <f>SUMIFS(تراکنش‌ها!$F:$F,تراکنش‌ها!$C:$C,$A10,تراکنش‌ها!$B:$B,"هزینه",تراکنش‌ها!$J:$J,"پیشنهادی - نیازمند بررسی")</f>
        <v/>
      </c>
    </row>
    <row r="11">
      <c r="A11" s="3" t="inlineStr">
        <is>
          <t>1405/07</t>
        </is>
      </c>
      <c r="B11" s="4">
        <f>SUMIFS(تراکنش‌ها!$F:$F,تراکنش‌ها!$C:$C,$A11,تراکنش‌ها!$B:$B,"درآمد",تراکنش‌ها!$J:$J,"تاییدشده")</f>
        <v/>
      </c>
      <c r="C11" s="4">
        <f>SUMIFS(تراکنش‌ها!$F:$F,تراکنش‌ها!$C:$C,$A11,تراکنش‌ها!$B:$B,"هزینه",تراکنش‌ها!$J:$J,"تاییدشده")</f>
        <v/>
      </c>
      <c r="D11" s="4">
        <f>B11-C11</f>
        <v/>
      </c>
      <c r="E11" s="4">
        <f>SUMIFS(تراکنش‌ها!$F:$F,تراکنش‌ها!$C:$C,$A11,تراکنش‌ها!$B:$B,"درآمد",تراکنش‌ها!$J:$J,"پیشنهادی - نیازمند بررسی")</f>
        <v/>
      </c>
      <c r="F11" s="4">
        <f>SUMIFS(تراکنش‌ها!$F:$F,تراکنش‌ها!$C:$C,$A11,تراکنش‌ها!$B:$B,"هزینه",تراکنش‌ها!$J:$J,"پیشنهادی - نیازمند بررسی")</f>
        <v/>
      </c>
    </row>
    <row r="12">
      <c r="A12" s="3" t="inlineStr">
        <is>
          <t>نامشخص</t>
        </is>
      </c>
      <c r="B12" s="4">
        <f>SUMIFS(تراکنش‌ها!$F:$F,تراکنش‌ها!$C:$C,$A12,تراکنش‌ها!$B:$B,"درآمد",تراکنش‌ها!$J:$J,"تاییدشده")</f>
        <v/>
      </c>
      <c r="C12" s="4">
        <f>SUMIFS(تراکنش‌ها!$F:$F,تراکنش‌ها!$C:$C,$A12,تراکنش‌ها!$B:$B,"هزینه",تراکنش‌ها!$J:$J,"تاییدشده")</f>
        <v/>
      </c>
      <c r="D12" s="4">
        <f>B12-C12</f>
        <v/>
      </c>
      <c r="E12" s="4">
        <f>SUMIFS(تراکنش‌ها!$F:$F,تراکنش‌ها!$C:$C,$A12,تراکنش‌ها!$B:$B,"درآمد",تراکنش‌ها!$J:$J,"پیشنهادی - نیازمند بررسی")</f>
        <v/>
      </c>
      <c r="F12" s="4">
        <f>SUMIFS(تراکنش‌ها!$F:$F,تراکنش‌ها!$C:$C,$A12,تراکنش‌ها!$B:$B,"هزینه",تراکنش‌ها!$J:$J,"پیشنهادی - نیازمند بررسی")</f>
        <v/>
      </c>
    </row>
  </sheetData>
  <mergeCells count="1">
    <mergeCell ref="A1:F1"/>
  </mergeCells>
  <pageMargins left="0.75" right="0.75" top="1" bottom="1" header="0.5" footer="0.5"/>
  <pageSetup fitToHeight="0" fitToWidth="1"/>
</worksheet>
</file>

<file path=xl/worksheets/sheet10.xml><?xml version="1.0" encoding="utf-8"?>
<worksheet xmlns="http://schemas.openxmlformats.org/spreadsheetml/2006/main">
  <sheetPr>
    <outlinePr summaryBelow="1" summaryRight="1"/>
    <pageSetUpPr fitToPage="1"/>
  </sheetPr>
  <dimension ref="A1:C12"/>
  <sheetViews>
    <sheetView rightToLeft="1" workbookViewId="0">
      <pane ySplit="3" topLeftCell="A4" activePane="bottomLeft" state="frozen"/>
      <selection pane="bottomLeft" activeCell="A1" sqref="A1"/>
    </sheetView>
  </sheetViews>
  <sheetFormatPr baseColWidth="8" defaultRowHeight="15"/>
  <cols>
    <col width="35" customWidth="1" min="1" max="1"/>
    <col width="15" customWidth="1" min="2" max="2"/>
    <col width="80" customWidth="1" min="3" max="3"/>
  </cols>
  <sheetData>
    <row r="1" ht="28" customHeight="1">
      <c r="A1" s="5" t="inlineStr">
        <is>
          <t>تعریف دسته‌بندی‌ها</t>
        </is>
      </c>
    </row>
    <row r="2">
      <c r="A2" s="6" t="inlineStr">
        <is>
          <t>نسخه refined | واحد گزارش: تومان | مبالغ نامطمئن در صف بررسی از جمع تاییدشده حذف می‌شوند.</t>
        </is>
      </c>
    </row>
    <row r="3" ht="34" customHeight="1">
      <c r="A3" s="7" t="inlineStr">
        <is>
          <t>دسته‌بندی</t>
        </is>
      </c>
      <c r="B3" s="7" t="inlineStr">
        <is>
          <t>نوع</t>
        </is>
      </c>
      <c r="C3" s="7" t="inlineStr">
        <is>
          <t>توضیح</t>
        </is>
      </c>
    </row>
    <row r="4">
      <c r="A4" s="3" t="inlineStr">
        <is>
          <t>درآمد دوره</t>
        </is>
      </c>
      <c r="B4" s="3" t="inlineStr">
        <is>
          <t>درآمد</t>
        </is>
      </c>
      <c r="C4" s="3" t="inlineStr">
        <is>
          <t>دریافت مرتبط با دوره‌های آموزشی</t>
        </is>
      </c>
    </row>
    <row r="5">
      <c r="A5" s="3" t="inlineStr">
        <is>
          <t>درآمد رویداد</t>
        </is>
      </c>
      <c r="B5" s="3" t="inlineStr">
        <is>
          <t>درآمد</t>
        </is>
      </c>
      <c r="C5" s="3" t="inlineStr">
        <is>
          <t>بلیت، ثبت‌نام یا درآمد رویداد</t>
        </is>
      </c>
    </row>
    <row r="6">
      <c r="A6" s="3" t="inlineStr">
        <is>
          <t>کمک و دونیشن</t>
        </is>
      </c>
      <c r="B6" s="3" t="inlineStr">
        <is>
          <t>درآمد</t>
        </is>
      </c>
      <c r="C6" s="3" t="inlineStr">
        <is>
          <t>کمک‌های نقدی/واریزی انجمن</t>
        </is>
      </c>
    </row>
    <row r="7">
      <c r="A7" s="3" t="inlineStr">
        <is>
          <t>هزینه مدرس و دستیار</t>
        </is>
      </c>
      <c r="B7" s="3" t="inlineStr">
        <is>
          <t>هزینه</t>
        </is>
      </c>
      <c r="C7" s="3" t="inlineStr">
        <is>
          <t>حق‌التدریس، TA و پشتیبانی</t>
        </is>
      </c>
    </row>
    <row r="8">
      <c r="A8" s="3" t="inlineStr">
        <is>
          <t>هزینه رویداد</t>
        </is>
      </c>
      <c r="B8" s="3" t="inlineStr">
        <is>
          <t>هزینه</t>
        </is>
      </c>
      <c r="C8" s="3" t="inlineStr">
        <is>
          <t>پذیرایی، تدارکات، تبلیغات و اجرا</t>
        </is>
      </c>
    </row>
    <row r="9">
      <c r="A9" s="3" t="inlineStr">
        <is>
          <t>هزینه فناوری</t>
        </is>
      </c>
      <c r="B9" s="3" t="inlineStr">
        <is>
          <t>هزینه</t>
        </is>
      </c>
      <c r="C9" s="3" t="inlineStr">
        <is>
          <t>نرم‌افزار، خدمات آنلاین و ضبط</t>
        </is>
      </c>
    </row>
    <row r="10">
      <c r="A10" s="3" t="inlineStr">
        <is>
          <t>هزینه تجهیزات</t>
        </is>
      </c>
      <c r="B10" s="3" t="inlineStr">
        <is>
          <t>هزینه</t>
        </is>
      </c>
      <c r="C10" s="3" t="inlineStr">
        <is>
          <t>خرید یا تعمیر تجهیزات</t>
        </is>
      </c>
    </row>
    <row r="11">
      <c r="A11" s="3" t="inlineStr">
        <is>
          <t>هزینه اداری</t>
        </is>
      </c>
      <c r="B11" s="3" t="inlineStr">
        <is>
          <t>هزینه</t>
        </is>
      </c>
      <c r="C11" s="3" t="inlineStr">
        <is>
          <t>چاپ، دارو، لوازم و امور اداری</t>
        </is>
      </c>
    </row>
    <row r="12">
      <c r="A12" s="3" t="inlineStr">
        <is>
          <t>نیازمند طبقه‌بندی</t>
        </is>
      </c>
      <c r="B12" s="3" t="inlineStr">
        <is>
          <t>نامشخص</t>
        </is>
      </c>
      <c r="C12" s="3" t="inlineStr">
        <is>
          <t>برای مواردی که پس از بررسی باید طبقه‌بندی شوند</t>
        </is>
      </c>
    </row>
  </sheetData>
  <mergeCells count="1">
    <mergeCell ref="A1:C1"/>
  </mergeCells>
  <pageMargins left="0.75" right="0.75" top="1" bottom="1" header="0.5" footer="0.5"/>
  <pageSetup fitToHeight="0" fitToWidth="1"/>
</worksheet>
</file>

<file path=xl/worksheets/sheet11.xml><?xml version="1.0" encoding="utf-8"?>
<worksheet xmlns="http://schemas.openxmlformats.org/spreadsheetml/2006/main">
  <sheetPr>
    <outlinePr summaryBelow="1" summaryRight="1"/>
    <pageSetUpPr fitToPage="1"/>
  </sheetPr>
  <dimension ref="A1:D15"/>
  <sheetViews>
    <sheetView rightToLeft="1" workbookViewId="0">
      <pane ySplit="3" topLeftCell="A4" activePane="bottomLeft" state="frozen"/>
      <selection pane="bottomLeft" activeCell="A1" sqref="A1"/>
    </sheetView>
  </sheetViews>
  <sheetFormatPr baseColWidth="8" defaultRowHeight="15"/>
  <cols>
    <col width="32" customWidth="1" min="1" max="1"/>
    <col width="22" customWidth="1" min="2" max="2"/>
    <col width="18" customWidth="1" min="3" max="3"/>
    <col width="80" customWidth="1" min="4" max="4"/>
  </cols>
  <sheetData>
    <row r="1" ht="28" customHeight="1">
      <c r="A1" s="5" t="inlineStr">
        <is>
          <t>فهرست طرف‌حساب‌ها</t>
        </is>
      </c>
    </row>
    <row r="2">
      <c r="A2" s="6" t="inlineStr">
        <is>
          <t>نسخه refined | واحد گزارش: تومان | مبالغ نامطمئن در صف بررسی از جمع تاییدشده حذف می‌شوند.</t>
        </is>
      </c>
    </row>
    <row r="3" ht="34" customHeight="1">
      <c r="A3" s="7" t="inlineStr">
        <is>
          <t>طرف حساب</t>
        </is>
      </c>
      <c r="B3" s="7" t="inlineStr">
        <is>
          <t>نقش/نوع</t>
        </is>
      </c>
      <c r="C3" s="7" t="inlineStr">
        <is>
          <t>تعداد تراکنش</t>
        </is>
      </c>
      <c r="D3" s="7" t="inlineStr">
        <is>
          <t>ملاحظات</t>
        </is>
      </c>
    </row>
    <row r="4">
      <c r="A4" s="3" t="inlineStr">
        <is>
          <t>ابراهیم خسروانی</t>
        </is>
      </c>
      <c r="B4" s="3" t="inlineStr">
        <is>
          <t>نیازمند تکمیل</t>
        </is>
      </c>
      <c r="C4" s="3" t="n">
        <v>2</v>
      </c>
      <c r="D4" s="3" t="inlineStr">
        <is>
          <t>نقش، شناسه و اطلاعات پرداخت فقط در صورت نیاز عملیاتی تکمیل شود.</t>
        </is>
      </c>
    </row>
    <row r="5">
      <c r="A5" s="3" t="inlineStr">
        <is>
          <t>اردوان شهبازی</t>
        </is>
      </c>
      <c r="B5" s="3" t="inlineStr">
        <is>
          <t>نیازمند تکمیل</t>
        </is>
      </c>
      <c r="C5" s="3" t="n">
        <v>1</v>
      </c>
      <c r="D5" s="3" t="inlineStr">
        <is>
          <t>نقش، شناسه و اطلاعات پرداخت فقط در صورت نیاز عملیاتی تکمیل شود.</t>
        </is>
      </c>
    </row>
    <row r="6">
      <c r="A6" s="3" t="inlineStr">
        <is>
          <t>امیرمحمد جوشقانی</t>
        </is>
      </c>
      <c r="B6" s="3" t="inlineStr">
        <is>
          <t>نیازمند تکمیل</t>
        </is>
      </c>
      <c r="C6" s="3" t="n">
        <v>2</v>
      </c>
      <c r="D6" s="3" t="inlineStr">
        <is>
          <t>نقش، شناسه و اطلاعات پرداخت فقط در صورت نیاز عملیاتی تکمیل شود.</t>
        </is>
      </c>
    </row>
    <row r="7">
      <c r="A7" s="3" t="inlineStr">
        <is>
          <t>حسن شیری</t>
        </is>
      </c>
      <c r="B7" s="3" t="inlineStr">
        <is>
          <t>نیازمند تکمیل</t>
        </is>
      </c>
      <c r="C7" s="3" t="n">
        <v>2</v>
      </c>
      <c r="D7" s="3" t="inlineStr">
        <is>
          <t>نقش، شناسه و اطلاعات پرداخت فقط در صورت نیاز عملیاتی تکمیل شود.</t>
        </is>
      </c>
    </row>
    <row r="8">
      <c r="A8" s="3" t="inlineStr">
        <is>
          <t>راحله مختاری</t>
        </is>
      </c>
      <c r="B8" s="3" t="inlineStr">
        <is>
          <t>نیازمند تکمیل</t>
        </is>
      </c>
      <c r="C8" s="3" t="n">
        <v>1</v>
      </c>
      <c r="D8" s="3" t="inlineStr">
        <is>
          <t>نقش، شناسه و اطلاعات پرداخت فقط در صورت نیاز عملیاتی تکمیل شود.</t>
        </is>
      </c>
    </row>
    <row r="9">
      <c r="A9" s="3" t="inlineStr">
        <is>
          <t>سهراب ملکی</t>
        </is>
      </c>
      <c r="B9" s="3" t="inlineStr">
        <is>
          <t>نیازمند تکمیل</t>
        </is>
      </c>
      <c r="C9" s="3" t="n">
        <v>2</v>
      </c>
      <c r="D9" s="3" t="inlineStr">
        <is>
          <t>نقش، شناسه و اطلاعات پرداخت فقط در صورت نیاز عملیاتی تکمیل شود.</t>
        </is>
      </c>
    </row>
    <row r="10">
      <c r="A10" s="3" t="inlineStr">
        <is>
          <t>سپهر طلایی</t>
        </is>
      </c>
      <c r="B10" s="3" t="inlineStr">
        <is>
          <t>نیازمند تکمیل</t>
        </is>
      </c>
      <c r="C10" s="3" t="n">
        <v>1</v>
      </c>
      <c r="D10" s="3" t="inlineStr">
        <is>
          <t>نقش، شناسه و اطلاعات پرداخت فقط در صورت نیاز عملیاتی تکمیل شود.</t>
        </is>
      </c>
    </row>
    <row r="11">
      <c r="A11" s="3" t="inlineStr">
        <is>
          <t>شرکت مه بانگ فناوری های پارس</t>
        </is>
      </c>
      <c r="B11" s="3" t="inlineStr">
        <is>
          <t>نیازمند تکمیل</t>
        </is>
      </c>
      <c r="C11" s="3" t="n">
        <v>1</v>
      </c>
      <c r="D11" s="3" t="inlineStr">
        <is>
          <t>نقش، شناسه و اطلاعات پرداخت فقط در صورت نیاز عملیاتی تکمیل شود.</t>
        </is>
      </c>
    </row>
    <row r="12">
      <c r="A12" s="3" t="inlineStr">
        <is>
          <t>متین جوکار</t>
        </is>
      </c>
      <c r="B12" s="3" t="inlineStr">
        <is>
          <t>نیازمند تکمیل</t>
        </is>
      </c>
      <c r="C12" s="3" t="n">
        <v>2</v>
      </c>
      <c r="D12" s="3" t="inlineStr">
        <is>
          <t>نقش، شناسه و اطلاعات پرداخت فقط در صورت نیاز عملیاتی تکمیل شود.</t>
        </is>
      </c>
    </row>
    <row r="13">
      <c r="A13" s="3" t="inlineStr">
        <is>
          <t>محمدامین عزیزی</t>
        </is>
      </c>
      <c r="B13" s="3" t="inlineStr">
        <is>
          <t>نیازمند تکمیل</t>
        </is>
      </c>
      <c r="C13" s="3" t="n">
        <v>4</v>
      </c>
      <c r="D13" s="3" t="inlineStr">
        <is>
          <t>نقش، شناسه و اطلاعات پرداخت فقط در صورت نیاز عملیاتی تکمیل شود.</t>
        </is>
      </c>
    </row>
    <row r="14">
      <c r="A14" s="3" t="inlineStr">
        <is>
          <t>محمدحسین مشک افشان</t>
        </is>
      </c>
      <c r="B14" s="3" t="inlineStr">
        <is>
          <t>نیازمند تکمیل</t>
        </is>
      </c>
      <c r="C14" s="3" t="n">
        <v>1</v>
      </c>
      <c r="D14" s="3" t="inlineStr">
        <is>
          <t>نقش، شناسه و اطلاعات پرداخت فقط در صورت نیاز عملیاتی تکمیل شود.</t>
        </is>
      </c>
    </row>
    <row r="15">
      <c r="A15" s="3" t="inlineStr">
        <is>
          <t>نیما کوهی</t>
        </is>
      </c>
      <c r="B15" s="3" t="inlineStr">
        <is>
          <t>نیازمند تکمیل</t>
        </is>
      </c>
      <c r="C15" s="3" t="n">
        <v>2</v>
      </c>
      <c r="D15" s="3" t="inlineStr">
        <is>
          <t>نقش، شناسه و اطلاعات پرداخت فقط در صورت نیاز عملیاتی تکمیل شود.</t>
        </is>
      </c>
    </row>
  </sheetData>
  <mergeCells count="1">
    <mergeCell ref="A1:D1"/>
  </mergeCells>
  <pageMargins left="0.75" right="0.75" top="1" bottom="1" header="0.5" footer="0.5"/>
  <pageSetup fitToHeight="0" fitToWidth="1"/>
</worksheet>
</file>

<file path=xl/worksheets/sheet12.xml><?xml version="1.0" encoding="utf-8"?>
<worksheet xmlns="http://schemas.openxmlformats.org/spreadsheetml/2006/main">
  <sheetPr>
    <outlinePr summaryBelow="1" summaryRight="1"/>
    <pageSetUpPr fitToPage="1"/>
  </sheetPr>
  <dimension ref="A1:B10"/>
  <sheetViews>
    <sheetView rightToLeft="1" workbookViewId="0">
      <pane ySplit="3" topLeftCell="A4" activePane="bottomLeft" state="frozen"/>
      <selection pane="bottomLeft" activeCell="A1" sqref="A1"/>
    </sheetView>
  </sheetViews>
  <sheetFormatPr baseColWidth="8" defaultRowHeight="15"/>
  <cols>
    <col width="32" customWidth="1" min="1" max="1"/>
    <col width="120" customWidth="1" min="2" max="2"/>
  </cols>
  <sheetData>
    <row r="1" ht="28" customHeight="1">
      <c r="A1" s="5" t="inlineStr">
        <is>
          <t>راهنمای استفاده و سیاست ثبت</t>
        </is>
      </c>
    </row>
    <row r="2">
      <c r="A2" s="6" t="inlineStr">
        <is>
          <t>نسخه refined | واحد گزارش: تومان | مبالغ نامطمئن در صف بررسی از جمع تاییدشده حذف می‌شوند.</t>
        </is>
      </c>
    </row>
    <row r="3" ht="34" customHeight="1">
      <c r="A3" s="7" t="inlineStr">
        <is>
          <t>موضوع</t>
        </is>
      </c>
      <c r="B3" s="7" t="inlineStr">
        <is>
          <t>توضیح</t>
        </is>
      </c>
    </row>
    <row r="4">
      <c r="A4" s="3" t="inlineStr">
        <is>
          <t>واحد گزارش</t>
        </is>
      </c>
      <c r="B4" s="3" t="inlineStr">
        <is>
          <t>همه مبالغ گزارش‌شده در تومان هستند. مبلغ اصلی و واحد اصلی برای اسناد ریالی حفظ شده است.</t>
        </is>
      </c>
    </row>
    <row r="5">
      <c r="A5" s="3" t="inlineStr">
        <is>
          <t>وضعیت تاییدشده</t>
        </is>
      </c>
      <c r="B5" s="3" t="inlineStr">
        <is>
          <t>در داشبورد و تراز رسمی منظور می‌شود.</t>
        </is>
      </c>
    </row>
    <row r="6">
      <c r="A6" s="3" t="inlineStr">
        <is>
          <t>پیشنهادی - نیازمند بررسی</t>
        </is>
      </c>
      <c r="B6" s="3" t="inlineStr">
        <is>
          <t>از شواهد استخراج یا استنباط شده اما تا تایید انسانی وارد تراز رسمی نمی‌شود.</t>
        </is>
      </c>
    </row>
    <row r="7">
      <c r="A7" s="3" t="inlineStr">
        <is>
          <t>رسیدها</t>
        </is>
      </c>
      <c r="B7" s="3" t="inlineStr">
        <is>
          <t>تمام 20 تصویر رسید در صف بررسی هستند؛ مبلغ، تاریخ، طرف حساب و تکراری بودن باید دستی تایید شود.</t>
        </is>
      </c>
    </row>
    <row r="8">
      <c r="A8" s="3" t="inlineStr">
        <is>
          <t>ردیابی</t>
        </is>
      </c>
      <c r="B8" s="3" t="inlineStr">
        <is>
          <t>شناسه مدرک و SHA-256 امکان برگشت از گزارش به فایل اصلی را فراهم می‌کند.</t>
        </is>
      </c>
    </row>
    <row r="9">
      <c r="A9" s="3" t="inlineStr">
        <is>
          <t>حریم خصوصی</t>
        </is>
      </c>
      <c r="B9" s="3" t="inlineStr">
        <is>
          <t>گزارش‌های عملیاتی نباید شماره تلفن‌های دانشجویان را بازنشر کنند؛ داده خام فقط برای تطبیق نگهداری شده است.</t>
        </is>
      </c>
    </row>
    <row r="10">
      <c r="A10" s="3" t="inlineStr">
        <is>
          <t>اصل فایل</t>
        </is>
      </c>
      <c r="B10" s="3" t="inlineStr">
        <is>
          <t>Anjoman accounting.xlsx تغییر نکرده و به عنوان منبع خام حفظ شده است.</t>
        </is>
      </c>
    </row>
  </sheetData>
  <mergeCells count="1">
    <mergeCell ref="A1:B1"/>
  </mergeCells>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2026-10-10T11:04:17Z</dcterms:created>
  <dcterms:modified xmlns:dcterms="http://purl.org/dc/terms/" xmlns:xsi="http://www.w3.org/2001/XMLSchema-instance" xsi:type="dcterms:W3CDTF">2026-10-10T11:04:18Z</dcterms:modified>
</cp:coreProperties>
</file>