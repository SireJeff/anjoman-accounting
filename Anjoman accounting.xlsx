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رداد" sheetId="1" r:id="rId5"/>
    <sheet state="visible" name="شهریور" sheetId="2" r:id="rId6"/>
    <sheet state="visible" name="مجموع" sheetId="3" r:id="rId7"/>
  </sheets>
  <definedNames/>
  <calcPr/>
</workbook>
</file>

<file path=xl/sharedStrings.xml><?xml version="1.0" encoding="utf-8"?>
<sst xmlns="http://schemas.openxmlformats.org/spreadsheetml/2006/main" count="120" uniqueCount="69">
  <si>
    <t>بابت</t>
  </si>
  <si>
    <t>شهریور</t>
  </si>
  <si>
    <t>ورودی</t>
  </si>
  <si>
    <t>ماه</t>
  </si>
  <si>
    <t>هزینه</t>
  </si>
  <si>
    <t>به ...</t>
  </si>
  <si>
    <t>ورودی معرفی رشته</t>
  </si>
  <si>
    <t>مجموع هزینه</t>
  </si>
  <si>
    <t>مجموع درآمد</t>
  </si>
  <si>
    <t>تراز ماهانه</t>
  </si>
  <si>
    <t>درآمد</t>
  </si>
  <si>
    <t>محمدامین عزیزی</t>
  </si>
  <si>
    <t>تراز</t>
  </si>
  <si>
    <t>تراز کل</t>
  </si>
  <si>
    <t>مرداد</t>
  </si>
  <si>
    <t>مدرسه تابستانه</t>
  </si>
  <si>
    <t>امیرمحمد جوشقانی</t>
  </si>
  <si>
    <t>حق التدریس دوره پایتون</t>
  </si>
  <si>
    <t>چاپ پوستر و بارکد برای رویداد معرفی رشته</t>
  </si>
  <si>
    <t>تدارکات رویداد معرفی رشته</t>
  </si>
  <si>
    <t>ابراهیم خسروانی</t>
  </si>
  <si>
    <t>حق الزحمه خرید تدارکات رویداد معرفی رشته</t>
  </si>
  <si>
    <t>سهراب ملکی</t>
  </si>
  <si>
    <t>حق التدریس دوره Mathemathica</t>
  </si>
  <si>
    <t>متین جوکار</t>
  </si>
  <si>
    <t>حق التدریس دوره Latex</t>
  </si>
  <si>
    <t>مهر</t>
  </si>
  <si>
    <t>TA، فرم و شیت مدرسه تابستانه</t>
  </si>
  <si>
    <t>آبان</t>
  </si>
  <si>
    <t>سپهر طلایی</t>
  </si>
  <si>
    <t>TA پایتون، پشتیبانی ثبت نام</t>
  </si>
  <si>
    <t>آذر</t>
  </si>
  <si>
    <t>TA پایتون، پشتیبانی ثبت نام، حسابداری مدرسه</t>
  </si>
  <si>
    <t>ضبط جبرانی جلسه3 لتک</t>
  </si>
  <si>
    <t>محمدحسین مشک افشان</t>
  </si>
  <si>
    <t>تبلیغ مدرسه تابستانه در مهمات شریف</t>
  </si>
  <si>
    <t>دی</t>
  </si>
  <si>
    <t>ضبط جبرانی جلسه4 پایتون</t>
  </si>
  <si>
    <t>حسن شیری</t>
  </si>
  <si>
    <t>گرفتن کلید انجمن برای اعضا</t>
  </si>
  <si>
    <t>نبلیغات مدرسه تابستانه در مهمات شریف</t>
  </si>
  <si>
    <t>واریزی دکتر مقیمی برای شیرینی نشست عمومی اساتید</t>
  </si>
  <si>
    <t>پوستر نشست عمومی با اساتید و حلقه های کوانتا(هفته 19مهر)</t>
  </si>
  <si>
    <t>شیرینی نشست عمومی با اساتید</t>
  </si>
  <si>
    <t>2*50 لیوان + 3*40 بیسکوییت+100چای برای انجمن چای</t>
  </si>
  <si>
    <t>شیریننی نشست انجمن چای</t>
  </si>
  <si>
    <t>شیرینی دیدار با اساتید</t>
  </si>
  <si>
    <t>دریافتی از انجمن سابق</t>
  </si>
  <si>
    <t>نیما کوهی</t>
  </si>
  <si>
    <t>باتری دوربین فیلمبرداری</t>
  </si>
  <si>
    <t>اردوان شهبازی</t>
  </si>
  <si>
    <t>خرید چسب بادکنک برای جشن ورودی</t>
  </si>
  <si>
    <t>راحله مختاری</t>
  </si>
  <si>
    <t>تزئینات جشن ورودی</t>
  </si>
  <si>
    <t>جایزه های جشن ورودی</t>
  </si>
  <si>
    <t>شاباش نقدی برای جشن ورودی</t>
  </si>
  <si>
    <t>دستمال برای اتاق انجمن</t>
  </si>
  <si>
    <t>خرید اتصالات پروژکتور انجمن</t>
  </si>
  <si>
    <t>خرید حفاظ برق و ابزار برای اتصال پروژکتور در غرفه ها</t>
  </si>
  <si>
    <t>پذیرایی غرفه انجمن</t>
  </si>
  <si>
    <t>خرید دارو برای کمک های اولیه در انجمن</t>
  </si>
  <si>
    <t>چاپ قوانین اتاق انجمن</t>
  </si>
  <si>
    <t>واریزی دکتر مقیمی جهت کمک به انجمن</t>
  </si>
  <si>
    <t>دونیشن برای جشن یلدا در حساب</t>
  </si>
  <si>
    <t>جایزه و پذیرایی جشن یلدا</t>
  </si>
  <si>
    <t>دونیشن وجه نقد برای جشن یلدا</t>
  </si>
  <si>
    <t>مهر 05</t>
  </si>
  <si>
    <t>معرفی رشته</t>
  </si>
  <si>
    <t>دورهمی بعد از رویداد معرفی رشته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</si>
</sst>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7.13"/>
    <col customWidth="1" min="6" max="6" width="31.88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0</v>
      </c>
      <c r="G1" s="4"/>
      <c r="H1" s="3" t="s">
        <v>4</v>
      </c>
      <c r="I1" s="3" t="s">
        <v>10</v>
      </c>
      <c r="J1" s="3" t="s">
        <v>12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15</v>
      </c>
      <c r="B2" s="7">
        <v>3.3642E7</v>
      </c>
      <c r="C2" s="3" t="s">
        <v>14</v>
      </c>
      <c r="D2" s="7">
        <v>3500000.0</v>
      </c>
      <c r="E2" s="3" t="s">
        <v>16</v>
      </c>
      <c r="F2" s="3" t="s">
        <v>17</v>
      </c>
      <c r="G2" s="4"/>
      <c r="H2" s="4">
        <f>sum(D:D)</f>
        <v>12600000</v>
      </c>
      <c r="I2" s="4">
        <f>sum(B:B)</f>
        <v>33642000</v>
      </c>
      <c r="J2" s="4">
        <f>I2-H2</f>
        <v>21042000</v>
      </c>
      <c r="K2" s="4" t="str">
        <f>IF(J2&gt;0, "سووووود", "ضررررر")</f>
        <v>سووووود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7">
        <v>3000000.0</v>
      </c>
      <c r="E3" s="3" t="s">
        <v>22</v>
      </c>
      <c r="F3" s="3" t="s">
        <v>23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7">
        <v>3700000.0</v>
      </c>
      <c r="E4" s="3" t="s">
        <v>24</v>
      </c>
      <c r="F4" s="3" t="s">
        <v>25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7">
        <v>500000.0</v>
      </c>
      <c r="E5" s="3" t="s">
        <v>20</v>
      </c>
      <c r="F5" s="3" t="s">
        <v>27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7">
        <v>600000.0</v>
      </c>
      <c r="E6" s="3" t="s">
        <v>29</v>
      </c>
      <c r="F6" s="3" t="s">
        <v>30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7">
        <v>600000.0</v>
      </c>
      <c r="E7" s="3" t="s">
        <v>11</v>
      </c>
      <c r="F7" s="3" t="s">
        <v>32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7">
        <v>300000.0</v>
      </c>
      <c r="E8" s="3" t="s">
        <v>24</v>
      </c>
      <c r="F8" s="3" t="s">
        <v>33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7">
        <v>400000.0</v>
      </c>
      <c r="E9" s="3" t="s">
        <v>34</v>
      </c>
      <c r="F9" s="3" t="s">
        <v>35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1</v>
      </c>
      <c r="D1" s="1"/>
      <c r="E1" s="1"/>
      <c r="F1" s="1"/>
    </row>
    <row r="2">
      <c r="A2" s="2" t="s">
        <v>6</v>
      </c>
      <c r="B2" s="5">
        <v>4920000.0</v>
      </c>
      <c r="C2" s="2" t="s">
        <v>11</v>
      </c>
      <c r="D2" s="6">
        <v>100000.0</v>
      </c>
      <c r="E2" s="2" t="s">
        <v>11</v>
      </c>
      <c r="F2" s="2" t="s">
        <v>18</v>
      </c>
    </row>
    <row r="3">
      <c r="A3" s="1"/>
      <c r="B3" s="1"/>
      <c r="C3" s="1"/>
      <c r="D3" s="6">
        <v>2866000.0</v>
      </c>
      <c r="E3" s="2" t="s">
        <v>11</v>
      </c>
      <c r="F3" s="2" t="s">
        <v>19</v>
      </c>
    </row>
    <row r="4">
      <c r="A4" s="1"/>
      <c r="B4" s="1"/>
      <c r="C4" s="1"/>
      <c r="D4" s="1">
        <f>3055000-D3</f>
        <v>189000</v>
      </c>
      <c r="E4" s="2" t="s">
        <v>20</v>
      </c>
      <c r="F4" s="2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5" max="5" width="14.75"/>
    <col customWidth="1" min="6" max="6" width="27.0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0</v>
      </c>
      <c r="G1" s="1"/>
      <c r="H1" s="2"/>
      <c r="I1" s="2" t="s">
        <v>7</v>
      </c>
      <c r="J1" s="2" t="s">
        <v>8</v>
      </c>
      <c r="K1" s="1"/>
      <c r="L1" s="2" t="s">
        <v>3</v>
      </c>
      <c r="M1" s="2" t="s">
        <v>9</v>
      </c>
      <c r="N1" s="1"/>
      <c r="O1" s="2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5"/>
      <c r="C2" s="2" t="s">
        <v>14</v>
      </c>
      <c r="D2" s="5">
        <v>3500000.0</v>
      </c>
      <c r="E2" s="2" t="s">
        <v>16</v>
      </c>
      <c r="F2" s="2" t="s">
        <v>17</v>
      </c>
      <c r="G2" s="1"/>
      <c r="H2" s="1"/>
      <c r="I2" s="1">
        <f>sum(D:D)</f>
        <v>38638300</v>
      </c>
      <c r="J2" s="1">
        <f>sum(B:B)</f>
        <v>112552000</v>
      </c>
      <c r="K2" s="1"/>
      <c r="L2" s="2" t="s">
        <v>14</v>
      </c>
      <c r="M2" s="1">
        <f>B3-sum(D2:D10)</f>
        <v>20742000</v>
      </c>
      <c r="N2" s="1"/>
      <c r="O2" s="1">
        <f>J2-I2</f>
        <v>73913700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15</v>
      </c>
      <c r="B3" s="8">
        <v>3.3642E7</v>
      </c>
      <c r="C3" s="2"/>
      <c r="D3" s="5">
        <v>3000000.0</v>
      </c>
      <c r="E3" s="2" t="s">
        <v>22</v>
      </c>
      <c r="F3" s="2" t="s">
        <v>23</v>
      </c>
      <c r="G3" s="1"/>
      <c r="H3" s="1"/>
      <c r="I3" s="1"/>
      <c r="J3" s="1"/>
      <c r="K3" s="1"/>
      <c r="L3" s="2" t="s">
        <v>1</v>
      </c>
      <c r="M3" s="1">
        <f>B15-SUM(D15:D17)</f>
        <v>1765000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5">
        <v>3700000.0</v>
      </c>
      <c r="E4" s="2" t="s">
        <v>24</v>
      </c>
      <c r="F4" s="2" t="s">
        <v>25</v>
      </c>
      <c r="G4" s="1"/>
      <c r="H4" s="5"/>
      <c r="I4" s="1"/>
      <c r="J4" s="1"/>
      <c r="K4" s="1"/>
      <c r="L4" s="2" t="s">
        <v>26</v>
      </c>
      <c r="M4" s="1">
        <f>B19-SUM(D19:D22)</f>
        <v>-2345225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5">
        <v>500000.0</v>
      </c>
      <c r="E5" s="2" t="s">
        <v>20</v>
      </c>
      <c r="F5" s="2" t="s">
        <v>27</v>
      </c>
      <c r="G5" s="1"/>
      <c r="H5" s="5"/>
      <c r="I5" s="1"/>
      <c r="J5" s="1"/>
      <c r="K5" s="1"/>
      <c r="L5" s="2" t="s">
        <v>28</v>
      </c>
      <c r="M5" s="1">
        <f>sum(B25:B30)-sum(D25:D36)</f>
        <v>601300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5">
        <v>600000.0</v>
      </c>
      <c r="E6" s="2" t="s">
        <v>29</v>
      </c>
      <c r="F6" s="2" t="s">
        <v>30</v>
      </c>
      <c r="G6" s="1"/>
      <c r="H6" s="5"/>
      <c r="I6" s="1"/>
      <c r="J6" s="1"/>
      <c r="K6" s="1"/>
      <c r="L6" s="2" t="s">
        <v>31</v>
      </c>
      <c r="M6" s="1">
        <f>sum(B38:B40)-sum(D39:D40)</f>
        <v>23000000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5">
        <v>600000.0</v>
      </c>
      <c r="E7" s="2" t="s">
        <v>11</v>
      </c>
      <c r="F7" s="2" t="s">
        <v>32</v>
      </c>
      <c r="G7" s="1"/>
      <c r="H7" s="5"/>
      <c r="I7" s="1"/>
      <c r="J7" s="1"/>
      <c r="K7" s="1"/>
      <c r="L7" s="2" t="s">
        <v>36</v>
      </c>
      <c r="M7" s="1">
        <f>B42+B43</f>
        <v>16490000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5">
        <v>300000.0</v>
      </c>
      <c r="E8" s="2" t="s">
        <v>24</v>
      </c>
      <c r="F8" s="2" t="s">
        <v>33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5">
        <v>400000.0</v>
      </c>
      <c r="E9" s="2" t="s">
        <v>34</v>
      </c>
      <c r="F9" s="2" t="s">
        <v>35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5">
        <v>300000.0</v>
      </c>
      <c r="E10" s="2" t="s">
        <v>16</v>
      </c>
      <c r="F10" s="2" t="s">
        <v>37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5">
        <v>750000.0</v>
      </c>
      <c r="E11" s="2" t="s">
        <v>38</v>
      </c>
      <c r="F11" s="2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5">
        <v>400000.0</v>
      </c>
      <c r="E12" s="2" t="s">
        <v>38</v>
      </c>
      <c r="F12" s="2" t="s">
        <v>40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2" t="s">
        <v>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6</v>
      </c>
      <c r="B15" s="5">
        <v>4920000.0</v>
      </c>
      <c r="C15" s="2"/>
      <c r="D15" s="6">
        <v>100000.0</v>
      </c>
      <c r="E15" s="2" t="s">
        <v>11</v>
      </c>
      <c r="F15" s="2" t="s">
        <v>18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6">
        <v>2866000.0</v>
      </c>
      <c r="E16" s="2" t="s">
        <v>11</v>
      </c>
      <c r="F16" s="2" t="s">
        <v>19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>
        <f>3055000-D16</f>
        <v>189000</v>
      </c>
      <c r="E17" s="2" t="s">
        <v>20</v>
      </c>
      <c r="F17" s="2" t="s">
        <v>21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2" t="s">
        <v>26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41</v>
      </c>
      <c r="B19" s="5">
        <v>500000.0</v>
      </c>
      <c r="C19" s="1"/>
      <c r="D19" s="5">
        <v>90000.0</v>
      </c>
      <c r="E19" s="1"/>
      <c r="F19" s="2" t="s">
        <v>42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/>
      <c r="C20" s="1"/>
      <c r="D20" s="5">
        <v>1052375.0</v>
      </c>
      <c r="E20" s="1"/>
      <c r="F20" s="2" t="s">
        <v>43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5">
        <v>790000.0</v>
      </c>
      <c r="E21" s="1"/>
      <c r="F21" s="2" t="s">
        <v>44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5">
        <v>912850.0</v>
      </c>
      <c r="E22" s="1"/>
      <c r="F22" s="2" t="s">
        <v>45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2"/>
      <c r="D23" s="5">
        <v>1052375.0</v>
      </c>
      <c r="E23" s="1"/>
      <c r="F23" s="2" t="s">
        <v>46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2" t="s">
        <v>28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47</v>
      </c>
      <c r="B25" s="5">
        <v>1.1E7</v>
      </c>
      <c r="C25" s="1"/>
      <c r="D25" s="5">
        <v>725000.0</v>
      </c>
      <c r="E25" s="2" t="s">
        <v>48</v>
      </c>
      <c r="F25" s="2" t="s">
        <v>49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/>
      <c r="B26" s="4"/>
      <c r="C26" s="1"/>
      <c r="D26" s="9">
        <v>120000.0</v>
      </c>
      <c r="E26" s="10" t="s">
        <v>50</v>
      </c>
      <c r="F26" s="10" t="s">
        <v>51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9">
        <v>1310000.0</v>
      </c>
      <c r="E27" s="10" t="s">
        <v>52</v>
      </c>
      <c r="F27" s="10" t="s">
        <v>53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9">
        <f>1444000+1500000+1400000</f>
        <v>4344000</v>
      </c>
      <c r="E28" s="11"/>
      <c r="F28" s="10" t="s">
        <v>54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9">
        <v>300000.0</v>
      </c>
      <c r="E29" s="11"/>
      <c r="F29" s="10" t="s">
        <v>55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5">
        <v>70000.0</v>
      </c>
      <c r="E30" s="1"/>
      <c r="F30" s="2" t="s">
        <v>56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2">
        <v>310000.0</v>
      </c>
      <c r="E31" s="13"/>
      <c r="F31" s="14" t="s">
        <v>57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5">
        <v>1760000.0</v>
      </c>
      <c r="E32" s="1"/>
      <c r="F32" s="2" t="s">
        <v>58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5">
        <v>230000.0</v>
      </c>
      <c r="E33" s="1"/>
      <c r="F33" s="2" t="s">
        <v>59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5">
        <v>1226100.0</v>
      </c>
      <c r="E34" s="1"/>
      <c r="F34" s="2" t="s">
        <v>60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5">
        <v>2300.0</v>
      </c>
      <c r="E35" s="1"/>
      <c r="F35" s="2" t="s">
        <v>61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5">
        <v>1300.0</v>
      </c>
      <c r="E36" s="1"/>
      <c r="F36" s="2" t="s">
        <v>61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2" t="s">
        <v>31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5" t="s">
        <v>62</v>
      </c>
      <c r="B38" s="16">
        <v>1.0E7</v>
      </c>
      <c r="C38" s="1"/>
      <c r="D38" s="4"/>
      <c r="E38" s="1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5" t="s">
        <v>62</v>
      </c>
      <c r="B39" s="16">
        <v>7000000.0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5" t="s">
        <v>62</v>
      </c>
      <c r="B40" s="16">
        <v>6000000.0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 t="s">
        <v>36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63</v>
      </c>
      <c r="B42" s="5">
        <v>1.579E7</v>
      </c>
      <c r="C42" s="1"/>
      <c r="D42" s="5">
        <v>2137000.0</v>
      </c>
      <c r="E42" s="1"/>
      <c r="F42" s="2" t="s">
        <v>64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65</v>
      </c>
      <c r="B43" s="5">
        <v>700000.0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 t="s">
        <v>66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67</v>
      </c>
      <c r="B45" s="5">
        <v>2.3E7</v>
      </c>
      <c r="C45" s="1"/>
      <c r="D45" s="5">
        <v>5000000.0</v>
      </c>
      <c r="E45" s="1"/>
      <c r="F45" s="2" t="s">
        <v>68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