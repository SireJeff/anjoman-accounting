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efa33bd6e64044" /></Relationships>
</file>

<file path=xl/workbook.xml><?xml version="1.0" encoding="utf-8"?>
<x:workbook xmlns:x="http://schemas.openxmlformats.org/spreadsheetml/2006/main">
  <x:sheets>
    <x:sheet xmlns:r="http://schemas.openxmlformats.org/officeDocument/2006/relationships" name="خلاصه" sheetId="1" r:id="Rf5d380df645e4e44"/>
    <x:sheet xmlns:r="http://schemas.openxmlformats.org/officeDocument/2006/relationships" name="گزارش ماهانه" sheetId="2" r:id="R12fb39f1cbaa45dc"/>
    <x:sheet xmlns:r="http://schemas.openxmlformats.org/officeDocument/2006/relationships" name="گزارش پروژه‌ها" sheetId="3" r:id="R8d9ad4083bb14b0d"/>
    <x:sheet xmlns:r="http://schemas.openxmlformats.org/officeDocument/2006/relationships" name="گزارش سرفصل‌ها" sheetId="4" r:id="Rd08aff9e9ace4277"/>
    <x:sheet xmlns:r="http://schemas.openxmlformats.org/officeDocument/2006/relationships" name="پرداخت مدرسان" sheetId="5" r:id="R41540886618f4cd4"/>
    <x:sheet xmlns:r="http://schemas.openxmlformats.org/officeDocument/2006/relationships" name="تطبیق دفتر اولیه" sheetId="6" r:id="R734e5e3c5b6c4041"/>
    <x:sheet xmlns:r="http://schemas.openxmlformats.org/officeDocument/2006/relationships" name="تراکنش‌ها" sheetId="7" r:id="R72d916d436d549e3"/>
    <x:sheet xmlns:r="http://schemas.openxmlformats.org/officeDocument/2006/relationships" name="صورتحساب‌ها" sheetId="8" r:id="R0159dcd59d3943bb"/>
    <x:sheet xmlns:r="http://schemas.openxmlformats.org/officeDocument/2006/relationships" name="موارد نیازمند بررسی" sheetId="9" r:id="Rbd17a8d403984e54"/>
    <x:sheet xmlns:r="http://schemas.openxmlformats.org/officeDocument/2006/relationships" name="فهرست مستندات" sheetId="10" r:id="Re337945c593a4d6c"/>
    <x:sheet xmlns:r="http://schemas.openxmlformats.org/officeDocument/2006/relationships" name="پیام‌های تلگرام" sheetId="11" r:id="R41f2b17bcf844c5f"/>
    <x:sheet xmlns:r="http://schemas.openxmlformats.org/officeDocument/2006/relationships" name="سوابق دفتر اولیه" sheetId="12" r:id="R00ce120dbcb9418e"/>
    <x:sheet xmlns:r="http://schemas.openxmlformats.org/officeDocument/2006/relationships" name="روش تهیه گزارش" sheetId="13" r:id="Rafa5ea9ce41e4db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0);&quot;-&quot;"/>
    <x:numFmt numFmtId="202" formatCode="#,##0"/>
  </x:numFmts>
  <x:fonts count="9">
    <x:font>
      <x:sz val="11"/>
      <x:name val="Carlito"/>
    </x:font>
    <x:font>
      <x:sz val="10"/>
      <x:color rgb="FF202B38"/>
      <x:name val="DejaVu Sans"/>
    </x:font>
    <x:font>
      <x:b/>
      <x:sz val="14"/>
      <x:color rgb="FF20354D"/>
      <x:name val="DejaVu Sans"/>
    </x:font>
    <x:font>
      <x:b/>
      <x:sz val="10"/>
      <x:color rgb="FFFFFFFF"/>
      <x:name val="DejaVu Sans"/>
    </x:font>
    <x:font>
      <x:sz val="10"/>
      <x:color rgb="FF0000FF"/>
      <x:name val="DejaVu Sans"/>
    </x:font>
    <x:font>
      <x:sz val="10"/>
      <x:color rgb="FF000000"/>
      <x:name val="DejaVu Sans"/>
    </x:font>
    <x:font>
      <x:b/>
      <x:sz val="10"/>
      <x:color rgb="FF202B38"/>
      <x:name val="DejaVu Sans"/>
    </x:font>
    <x:font>
      <x:b/>
      <x:sz val="11"/>
      <x:name val="Carlito"/>
    </x:font>
    <x:font>
      <x:b/>
      <x:sz val="11"/>
      <x:color rgb="FFFFFFFF"/>
      <x:name val="Carlito"/>
    </x:font>
  </x:fonts>
  <x:fills count="5">
    <x:fill>
      <x:patternFill patternType="none"/>
    </x:fill>
    <x:fill>
      <x:patternFill patternType="gray125"/>
    </x:fill>
    <x:fill>
      <x:patternFill patternType="solid">
        <x:fgColor rgb="FF20354D"/>
      </x:patternFill>
    </x:fill>
    <x:fill>
      <x:patternFill patternType="solid">
        <x:fgColor rgb="FFEDF2F7"/>
      </x:patternFill>
    </x:fill>
    <x:fill>
      <x:patternFill patternType="solid">
        <x:fgColor rgb="FFFFF2CC"/>
      </x:patternFill>
    </x:fill>
  </x:fills>
  <x:borders count="1">
    <x:border>
      <x:left/>
      <x:right/>
      <x:top/>
      <x:bottom/>
      <x:diagonal/>
    </x:border>
  </x:borders>
  <x:cellStyleXfs count="1">
    <x:xf numFmtId="0" fontId="0" fillId="0" borderId="0"/>
  </x:cellStyleXfs>
  <x:cellXfs count="69">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1" fontId="1" fillId="0" borderId="0" xfId="0" applyNumberFormat="1" applyFont="1" applyFill="1" applyBorder="1" applyAlignment="1">
      <x:alignment horizontal="center" vertical="center"/>
    </x:xf>
    <x:xf numFmtId="201" fontId="6" fillId="3" borderId="0" xfId="0" applyNumberFormat="1" applyFont="1" applyFill="1" applyBorder="1" applyAlignment="1">
      <x:alignment horizontal="center" vertical="center"/>
    </x:xf>
    <x:xf numFmtId="202"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7" fillId="0" borderId="0" xfId="0" applyNumberFormat="1" applyFont="1" applyFill="1" applyBorder="1"/>
    <x:xf numFmtId="0" fontId="0" fillId="0"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1"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right"/>
    </x:xf>
    <x:xf numFmtId="0" fontId="2" fillId="0" borderId="0" xfId="0" applyNumberFormat="1" applyFont="1" applyFill="1" applyBorder="1" applyAlignment="1">
      <x:alignment horizontal="right"/>
    </x:xf>
    <x:xf numFmtId="0" fontId="3" fillId="2"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6" fillId="3" borderId="0" xfId="0" applyNumberFormat="1" applyFont="1" applyFill="1" applyBorder="1" applyAlignment="1">
      <x:alignment horizontal="right" vertical="center"/>
    </x:xf>
    <x:xf numFmtId="201" fontId="6" fillId="3"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0" fillId="0" borderId="0" xfId="0" applyNumberFormat="1" applyFont="1" applyFill="1" applyBorder="1" applyAlignment="1">
      <x:alignment horizontal="right"/>
    </x:xf>
    <x:xf numFmtId="0" fontId="7"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wrapText="1"/>
    </x:xf>
    <x:xf numFmtId="0" fontId="8" fillId="2" borderId="0" xfId="0" applyNumberFormat="1" applyFont="1" applyFill="1" applyBorder="1" applyAlignment="1">
      <x:alignment horizontal="right"/>
    </x:xf>
    <x:xf numFmtId="0" fontId="0" fillId="0" borderId="0" xfId="0" applyNumberFormat="1" applyFont="1" applyFill="1" applyBorder="1" applyAlignment="1">
      <x:alignment horizontal="right" wrapText="1"/>
    </x:xf>
    <x:xf numFmtId="201" fontId="0" fillId="0" borderId="0" xfId="0" applyNumberFormat="1" applyFont="1" applyFill="1" applyBorder="1" applyAlignment="1">
      <x:alignment horizontal="right" wrapText="1"/>
    </x:xf>
    <x:xf numFmtId="0" fontId="1" fillId="0" borderId="0" xfId="0" applyNumberFormat="1" applyFont="1" applyFill="1" applyBorder="1" applyAlignment="1">
      <x:alignment horizontal="right" wrapText="1"/>
    </x:xf>
    <x:xf numFmtId="0" fontId="2" fillId="0" borderId="0" xfId="0" applyNumberFormat="1" applyFont="1" applyFill="1" applyBorder="1" applyAlignment="1">
      <x:alignment horizontal="right" wrapText="1"/>
    </x:xf>
    <x:xf numFmtId="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0" fontId="6" fillId="3" borderId="0" xfId="0" applyNumberFormat="1" applyFont="1" applyFill="1" applyBorder="1" applyAlignment="1">
      <x:alignment horizontal="right" vertical="center" wrapText="1"/>
    </x:xf>
    <x:xf numFmtId="201" fontId="6" fillId="3"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0" fontId="7" fillId="0" borderId="0" xfId="0" applyNumberFormat="1" applyFont="1" applyFill="1" applyBorder="1" applyAlignment="1">
      <x:alignment horizontal="right" wrapText="1"/>
    </x:xf>
    <x:xf numFmtId="0" fontId="8" fillId="2" borderId="0" xfId="0" applyNumberFormat="1" applyFont="1" applyFill="1" applyBorder="1" applyAlignment="1">
      <x:alignment horizontal="right" wrapText="1"/>
    </x:xf>
    <x:xf numFmtId="0" fontId="0" fillId="4" borderId="0" xfId="0" applyNumberFormat="1" applyFont="1" applyFill="1" applyBorder="1" applyAlignment="1">
      <x:alignment horizontal="right" vertical="center" wrapText="1"/>
    </x:xf>
    <x:xf numFmtId="200" fontId="1" fillId="0" borderId="0" xfId="0" applyNumberFormat="1" applyFont="1" applyFill="1" applyBorder="1" applyAlignment="1">
      <x:alignment horizontal="right" vertical="center"/>
    </x:xf>
    <x:xf numFmtId="201" fontId="4" fillId="0" borderId="0" xfId="0" applyNumberFormat="1" applyFont="1" applyFill="1" applyBorder="1" applyAlignment="1">
      <x:alignment horizontal="right" vertical="center"/>
    </x:xf>
    <x:xf numFmtId="0" fontId="4" fillId="0" borderId="0" xfId="0" applyNumberFormat="1" applyFont="1" applyFill="1" applyBorder="1" applyAlignment="1">
      <x:alignment horizontal="right" vertical="center"/>
    </x:xf>
    <x:xf numFmtId="201" fontId="5"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wrapText="1"/>
    </x:xf>
    <x:xf numFmtId="201" fontId="4" fillId="0" borderId="0" xfId="0" applyNumberFormat="1" applyFont="1" applyFill="1" applyBorder="1" applyAlignment="1">
      <x:alignment horizontal="right" vertical="center" wrapText="1"/>
    </x:xf>
    <x:xf numFmtId="0" fontId="4" fillId="0" borderId="0" xfId="0" applyNumberFormat="1" applyFont="1" applyFill="1" applyBorder="1" applyAlignment="1">
      <x:alignment horizontal="right" vertical="center" wrapText="1"/>
    </x:xf>
    <x:xf numFmtId="201" fontId="5" fillId="0" borderId="0" xfId="0" applyNumberFormat="1" applyFont="1" applyFill="1" applyBorder="1" applyAlignment="1">
      <x:alignment horizontal="right" vertical="center" wrapText="1"/>
    </x:xf>
  </x:cellXfs>
  <x:cellStyles count="1">
    <x:cellStyle name="Normal" xfId="0"/>
  </x:cellStyles>
  <x:dxfs count="1">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bc4eb5d7604c22" /><Relationship Type="http://schemas.openxmlformats.org/officeDocument/2006/relationships/theme" Target="/xl/theme/theme1.xml" Id="R36d9493a63c74b58" /><Relationship Type="http://schemas.openxmlformats.org/officeDocument/2006/relationships/sharedStrings" Target="/xl/sharedStrings.xml" Id="R15ff5d0cda534c0b" /><Relationship Type="http://schemas.openxmlformats.org/officeDocument/2006/relationships/worksheet" Target="/xl/worksheets/sheet1.xml" Id="Rf5d380df645e4e44" /><Relationship Type="http://schemas.openxmlformats.org/officeDocument/2006/relationships/worksheet" Target="/xl/worksheets/sheet2.xml" Id="R12fb39f1cbaa45dc" /><Relationship Type="http://schemas.openxmlformats.org/officeDocument/2006/relationships/worksheet" Target="/xl/worksheets/sheet3.xml" Id="R8d9ad4083bb14b0d" /><Relationship Type="http://schemas.openxmlformats.org/officeDocument/2006/relationships/worksheet" Target="/xl/worksheets/sheet4.xml" Id="Rd08aff9e9ace4277" /><Relationship Type="http://schemas.openxmlformats.org/officeDocument/2006/relationships/worksheet" Target="/xl/worksheets/sheet5.xml" Id="R41540886618f4cd4" /><Relationship Type="http://schemas.openxmlformats.org/officeDocument/2006/relationships/worksheet" Target="/xl/worksheets/sheet6.xml" Id="R734e5e3c5b6c4041" /><Relationship Type="http://schemas.openxmlformats.org/officeDocument/2006/relationships/worksheet" Target="/xl/worksheets/sheet7.xml" Id="R72d916d436d549e3" /><Relationship Type="http://schemas.openxmlformats.org/officeDocument/2006/relationships/worksheet" Target="/xl/worksheets/sheet8.xml" Id="R0159dcd59d3943bb" /><Relationship Type="http://schemas.openxmlformats.org/officeDocument/2006/relationships/worksheet" Target="/xl/worksheets/sheet9.xml" Id="Rbd17a8d403984e54" /><Relationship Type="http://schemas.openxmlformats.org/officeDocument/2006/relationships/worksheet" Target="/xl/worksheets/sheet10.xml" Id="Re337945c593a4d6c" /><Relationship Type="http://schemas.openxmlformats.org/officeDocument/2006/relationships/worksheet" Target="/xl/worksheets/sheet11.xml" Id="R41f2b17bcf844c5f" /><Relationship Type="http://schemas.openxmlformats.org/officeDocument/2006/relationships/worksheet" Target="/xl/worksheets/sheet12.xml" Id="R00ce120dbcb9418e" /><Relationship Type="http://schemas.openxmlformats.org/officeDocument/2006/relationships/worksheet" Target="/xl/worksheets/sheet13.xml" Id="Rafa5ea9ce41e4db4"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c1a70ac65e4b6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دریافت‌ها و پرداخت‌های نقدی ماهانه (تومان)</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Receipts (toman)</c:v>
          </c:tx>
          <c:spPr>
            <a:ln xmlns:a="http://schemas.openxmlformats.org/drawingml/2006/main" w="19050">
              <a:solidFill>
                <a:srgbClr val="245A81"/>
              </a:solidFill>
              <a:prstDash val="solid"/>
            </a:ln>
          </c:spPr>
          <c:marker>
            <c:symbol val="none"/>
          </c:marker>
          <c:cat>
            <c:strRef>
              <c:f>'گزارش ماهانه'!$A$5:$A$17</c:f>
              <c:strCache>
                <c:ptCount val="0"/>
              </c:strCache>
            </c:strRef>
          </c:cat>
          <c:val>
            <c:numRef>
              <c:f>'گزارش ماهانه'!$B$5:$B$17</c:f>
              <c:numCache>
                <c:formatCode>#,##0.0;(#,##0.0);"-"</c:formatCode>
                <c:ptCount val="0"/>
              </c:numCache>
            </c:numRef>
          </c:val>
          <c:smooth val="0"/>
        </c:ser>
        <c:ser>
          <c:idx val="1"/>
          <c:order val="1"/>
          <c:tx>
            <c:v>Payments (toman)</c:v>
          </c:tx>
          <c:spPr>
            <a:ln xmlns:a="http://schemas.openxmlformats.org/drawingml/2006/main" w="19050">
              <a:solidFill>
                <a:srgbClr val="B25E48"/>
              </a:solidFill>
              <a:prstDash val="solid"/>
            </a:ln>
          </c:spPr>
          <c:marker>
            <c:symbol val="none"/>
          </c:marker>
          <c:cat>
            <c:strRef>
              <c:f>'گزارش ماهانه'!$A$5:$A$17</c:f>
              <c:strCache>
                <c:ptCount val="0"/>
              </c:strCache>
            </c:strRef>
          </c:cat>
          <c:val>
            <c:numRef>
              <c:f>'گزارش ماهانه'!$C$5:$C$17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DejaVu Sans"/>
                <a:ea typeface="DejaVu Sans"/>
                <a:cs typeface="DejaVu San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DejaVu Sans"/>
                <a:ea typeface="DejaVu Sans"/>
                <a:cs typeface="DejaVu San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DejaVu Sans"/>
              <a:ea typeface="DejaVu Sans"/>
              <a:cs typeface="DejaVu Sans"/>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c1a70ac65e4b6c"/>
        </a:graphicData>
      </a:graphic>
    </xdr:graphicFrame>
    <xdr:clientData/>
  </xdr:twoCellAnchor>
</xdr:wsDr>
</file>

<file path=xl/tables/table1.xml><?xml version="1.0" encoding="utf-8"?>
<x:table xmlns:x="http://schemas.openxmlformats.org/spreadsheetml/2006/main" id="2" name="FA_Table_0" displayName="FA_Table_0" ref="A4:C19" headerRowCount="1" totalsRowCount="0" totalsRowShown="0">
  <x:autoFilter ref="A4:C19"/>
  <x:tableColumns count="3">
    <x:tableColumn id="1" name="Measure"/>
    <x:tableColumn id="2" name="Amount (toman)"/>
    <x:tableColumn id="3" name="Basis"/>
  </x:tableColumns>
  <x:tableStyleInfo name="TableStyleMedium2" showFirstColumn="0" showLastColumn="0" showRowStripes="1" showColumnStripes="0"/>
</x:table>
</file>

<file path=xl/tables/table2.xml><?xml version="1.0" encoding="utf-8"?>
<x:table xmlns:x="http://schemas.openxmlformats.org/spreadsheetml/2006/main" id="3" name="FA_Table_1" displayName="FA_Table_1" ref="A4:F17" headerRowCount="1" totalsRowCount="0" totalsRowShown="0">
  <x:autoFilter ref="A4:F17"/>
  <x:tableColumns count="6">
    <x:tableColumn id="1" name="Jalali month"/>
    <x:tableColumn id="2" name="Receipts (toman)"/>
    <x:tableColumn id="3" name="Payments (toman)"/>
    <x:tableColumn id="4" name="Net activity (toman)"/>
    <x:tableColumn id="5" name="Cumulative net activity"/>
    <x:tableColumn id="6" name="Review amounts (toman)"/>
  </x:tableColumns>
  <x:tableStyleInfo name="TableStyleMedium2" showFirstColumn="0" showLastColumn="0" showRowStripes="1" showColumnStripes="0"/>
</x:table>
</file>

<file path=xl/tables/table3.xml><?xml version="1.0" encoding="utf-8"?>
<x:table xmlns:x="http://schemas.openxmlformats.org/spreadsheetml/2006/main" id="4" name="FA_Table_2" displayName="FA_Table_2" ref="A4:E16" headerRowCount="1" totalsRowCount="0" totalsRowShown="0">
  <x:autoFilter ref="A4:E16"/>
  <x:tableColumns count="5">
    <x:tableColumn id="1" name="Project"/>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4.xml><?xml version="1.0" encoding="utf-8"?>
<x:table xmlns:x="http://schemas.openxmlformats.org/spreadsheetml/2006/main" id="5" name="FA_Table_3" displayName="FA_Table_3" ref="A4:E17" headerRowCount="1" totalsRowCount="0" totalsRowShown="0">
  <x:autoFilter ref="A4:E17"/>
  <x:tableColumns count="5">
    <x:tableColumn id="1" name="Category"/>
    <x:tableColumn id="2" name="Receipts (toman)"/>
    <x:tableColumn id="3" name="Payments (toman)"/>
    <x:tableColumn id="4" name="Net activity (toman)"/>
    <x:tableColumn id="5" name="Review amounts (toman)"/>
  </x:tableColumns>
  <x:tableStyleInfo name="TableStyleMedium2" showFirstColumn="0" showLastColumn="0" showRowStripes="1" showColumnStripes="0"/>
</x:table>
</file>

<file path=xl/tables/table5.xml><?xml version="1.0" encoding="utf-8"?>
<x:table xmlns:x="http://schemas.openxmlformats.org/spreadsheetml/2006/main" id="7" name="FA_Table_4" displayName="FA_Table_4" ref="A4:K9" headerRowCount="1" totalsRowCount="0" totalsRowShown="0">
  <x:autoFilter ref="A4:K9"/>
  <x:tableColumns count="11">
    <x:tableColumn id="1" name="Transaction ID"/>
    <x:tableColumn id="2" name="Instructor beneficiary"/>
    <x:tableColumn id="3" name="Bank account payee"/>
    <x:tableColumn id="4" name="Course"/>
    <x:tableColumn id="5" name="Jalali date"/>
    <x:tableColumn id="6" name="Gregorian date"/>
    <x:tableColumn id="7" name="Amount (toman)"/>
    <x:tableColumn id="8" name="User-provided card ending (not printed)"/>
    <x:tableColumn id="9" name="Matching basis"/>
    <x:tableColumn id="10" name="Settlement basis"/>
    <x:tableColumn id="11" name="Source reference"/>
  </x:tableColumns>
  <x:tableStyleInfo name="TableStyleMedium2" showFirstColumn="0" showLastColumn="0" showRowStripes="1" showColumnStripes="0"/>
</x:table>
</file>

<file path=xl/tables/table6.xml><?xml version="1.0" encoding="utf-8"?>
<x:table xmlns:x="http://schemas.openxmlformats.org/spreadsheetml/2006/main" id="6" name="FA_Table_5" displayName="FA_Table_5" ref="A4:F47" headerRowCount="1" totalsRowCount="0" totalsRowShown="0">
  <x:autoFilter ref="A4:F47"/>
  <x:tableColumns count="6">
    <x:tableColumn id="1" name="Worksheet"/>
    <x:tableColumn id="2" name="Cell"/>
    <x:tableColumn id="3" name="Original (toman)"/>
    <x:tableColumn id="4" name="Transaction IDs"/>
    <x:tableColumn id="5" name="Disposition"/>
    <x:tableColumn id="6" name="Explanation"/>
  </x:tableColumns>
  <x:tableStyleInfo name="TableStyleMedium2" showFirstColumn="0" showLastColumn="0" showRowStripes="1" showColumnStripes="0"/>
</x:table>
</file>

<file path=xl/tables/table7.xml><?xml version="1.0" encoding="utf-8"?>
<x:table xmlns:x="http://schemas.openxmlformats.org/spreadsheetml/2006/main" id="1" name="FA_Table_6" displayName="FA_Table_6" ref="A4:Y99" headerRowCount="1" totalsRowCount="0" totalsRowShown="0">
  <x:autoFilter ref="A4:Y99"/>
  <x:tableColumns count="25">
    <x:tableColumn id="1" name="ID"/>
    <x:tableColumn id="2" name="Gregorian date"/>
    <x:tableColumn id="3" name="Jalali date"/>
    <x:tableColumn id="4" name="Jalali month"/>
    <x:tableColumn id="5" name="Cash direction"/>
    <x:tableColumn id="6" name="Source amount"/>
    <x:tableColumn id="7" name="Source unit"/>
    <x:tableColumn id="8" name="Amount (toman)"/>
    <x:tableColumn id="9" name="Counterparty"/>
    <x:tableColumn id="10" name="Description"/>
    <x:tableColumn id="11" name="شرح فارسی"/>
    <x:tableColumn id="12" name="Category"/>
    <x:tableColumn id="13" name="Project"/>
    <x:tableColumn id="14" name="Status"/>
    <x:tableColumn id="15" name="Evidence basis"/>
    <x:tableColumn id="16" name="Cash account"/>
    <x:tableColumn id="17" name="Message IDs"/>
    <x:tableColumn id="18" name="Tracking ID"/>
    <x:tableColumn id="19" name="Duplicate of"/>
    <x:tableColumn id="20" name="Review reason"/>
    <x:tableColumn id="21" name="Notes"/>
    <x:tableColumn id="22" name="Source reference"/>
    <x:tableColumn id="23" name="Included receipts"/>
    <x:tableColumn id="24" name="Included payments"/>
    <x:tableColumn id="25" name="Net cash activity"/>
  </x:tableColumns>
  <x:tableStyleInfo name="TableStyleMedium2" showFirstColumn="0" showLastColumn="0" showRowStripes="1" showColumnStripes="0"/>
</x:table>
</file>

<file path=xl/tables/table8.xml><?xml version="1.0" encoding="utf-8"?>
<x:table xmlns:x="http://schemas.openxmlformats.org/spreadsheetml/2006/main" id="8" name="FA_Table_7" displayName="FA_Table_7" ref="A4:K20" headerRowCount="1" totalsRowCount="0" totalsRowShown="0">
  <x:autoFilter ref="A4:K20"/>
  <x:tableColumns count="11">
    <x:tableColumn id="1" name="ID"/>
    <x:tableColumn id="2" name="Jalali date"/>
    <x:tableColumn id="3" name="Supplier"/>
    <x:tableColumn id="4" name="Description"/>
    <x:tableColumn id="5" name="Invoice reference"/>
    <x:tableColumn id="6" name="Gross (toman)"/>
    <x:tableColumn id="7" name="Tax (toman)"/>
    <x:tableColumn id="8" name="Matched transaction IDs"/>
    <x:tableColumn id="9" name="Status"/>
    <x:tableColumn id="10" name="Source reference"/>
    <x:tableColumn id="11" name="Notes"/>
  </x:tableColumns>
  <x:tableStyleInfo name="TableStyleMedium2" showFirstColumn="0" showLastColumn="0" showRowStripes="1" showColumnStripes="0"/>
</x:table>
</file>

<file path=xl/tables/table9.xml><?xml version="1.0" encoding="utf-8"?>
<x:table xmlns:x="http://schemas.openxmlformats.org/spreadsheetml/2006/main" id="9" name="FA_Table_8" displayName="FA_Table_8" ref="A4:H19" headerRowCount="1" totalsRowCount="0" totalsRowShown="0">
  <x:autoFilter ref="A4:H19"/>
  <x:tableColumns count="8">
    <x:tableColumn id="1" name="Issue ID"/>
    <x:tableColumn id="2" name="Priority"/>
    <x:tableColumn id="3" name="Issue"/>
    <x:tableColumn id="4" name="Description"/>
    <x:tableColumn id="5" name="Amount (toman)"/>
    <x:tableColumn id="6" name="Transaction IDs"/>
    <x:tableColumn id="7" name="Required action"/>
    <x:tableColumn id="8" name="Source reference"/>
  </x:tableColumns>
  <x:tableStyleInfo name="TableStyleMedium2" showFirstColumn="0" showLastColumn="0" showRowStripes="1" showColumnStripes="0"/>
</x:table>
</file>

<file path=xl/tables/table10.xml><?xml version="1.0" encoding="utf-8"?>
<x:table xmlns:x="http://schemas.openxmlformats.org/spreadsheetml/2006/main" id="10" name="FA_Table_9" displayName="FA_Table_9" ref="A4:K82" headerRowCount="1" totalsRowCount="0" totalsRowShown="0">
  <x:autoFilter ref="A4:K82"/>
  <x:tableColumns count="11">
    <x:tableColumn id="1" name="Source ID"/>
    <x:tableColumn id="2" name="Repository file"/>
    <x:tableColumn id="3" name="File type"/>
    <x:tableColumn id="4" name="Bytes"/>
    <x:tableColumn id="5" name="SHA-256"/>
    <x:tableColumn id="6" name="Read status"/>
    <x:tableColumn id="7" name="Ledger IDs"/>
    <x:tableColumn id="8" name="Message IDs"/>
    <x:tableColumn id="9" name="Treatment"/>
    <x:tableColumn id="10" name="Notes"/>
    <x:tableColumn id="11" name="GitHub source snapshot"/>
  </x:tableColumns>
  <x:tableStyleInfo name="TableStyleMedium2" showFirstColumn="0" showLastColumn="0" showRowStripes="1" showColumnStripes="0"/>
</x:table>
</file>

<file path=xl/tables/table11.xml><?xml version="1.0" encoding="utf-8"?>
<x:table xmlns:x="http://schemas.openxmlformats.org/spreadsheetml/2006/main" id="11" name="FA_Table_10" displayName="FA_Table_10" ref="A4:G192" headerRowCount="1" totalsRowCount="0" totalsRowShown="0">
  <x:autoFilter ref="A4:G192"/>
  <x:tableColumns count="7">
    <x:tableColumn id="1" name="Message ID"/>
    <x:tableColumn id="2" name="Timestamp as exported"/>
    <x:tableColumn id="3" name="Sender"/>
    <x:tableColumn id="4" name="Message text"/>
    <x:tableColumn id="5" name="Reply reference"/>
    <x:tableColumn id="6" name="Attachments"/>
    <x:tableColumn id="7" name="Unavailable media"/>
  </x:tableColumns>
  <x:tableStyleInfo name="TableStyleMedium2" showFirstColumn="0" showLastColumn="0" showRowStripes="1" showColumnStripes="0"/>
</x:table>
</file>

<file path=xl/tables/table12.xml><?xml version="1.0" encoding="utf-8"?>
<x:table xmlns:x="http://schemas.openxmlformats.org/spreadsheetml/2006/main" id="12" name="FA_Table_11" displayName="FA_Table_11" ref="A4:E3038" headerRowCount="1" totalsRowCount="0" totalsRowShown="0">
  <x:autoFilter ref="A4:E3038"/>
  <x:tableColumns count="5">
    <x:tableColumn id="1" name="Workbook"/>
    <x:tableColumn id="2" name="Worksheet"/>
    <x:tableColumn id="3" name="Cell"/>
    <x:tableColumn id="4" name="Original value"/>
    <x:tableColumn id="5" name="Original formula as text"/>
  </x:tableColumns>
  <x:tableStyleInfo name="TableStyleMedium2" showFirstColumn="0" showLastColumn="0" showRowStripes="1" showColumnStripes="0"/>
</x:table>
</file>

<file path=xl/tables/table13.xml><?xml version="1.0" encoding="utf-8"?>
<x:table xmlns:x="http://schemas.openxmlformats.org/spreadsheetml/2006/main" id="13" name="FA_Table_12" displayName="FA_Table_12" ref="A4:B30" headerRowCount="1" totalsRowCount="0" totalsRowShown="0">
  <x:autoFilter ref="A4:B30"/>
  <x:tableColumns count="2">
    <x:tableColumn id="1" name="Topic"/>
    <x:tableColumn id="2" name="Poli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0031d500a94a28" /></Relationships>
</file>

<file path=xl/worksheets/_rels/sheet2.xml.rels>&#65279;<?xml version="1.0" encoding="utf-8"?><Relationships xmlns="http://schemas.openxmlformats.org/package/2006/relationships"><Relationship Type="http://schemas.openxmlformats.org/officeDocument/2006/relationships/drawing" Target="/xl/drawings/drawing1.xml" Id="Rdb84472cb83b458a" /><Relationship Type="http://schemas.openxmlformats.org/officeDocument/2006/relationships/table" Target="/xl/tables/table2.xml" Id="R6550657f03ff4c74" /></Relationships>
</file>

<file path=xl/worksheets/_rels/sheet3.xml.rels>&#65279;<?xml version="1.0" encoding="utf-8"?><Relationships xmlns="http://schemas.openxmlformats.org/package/2006/relationships"><Relationship Type="http://schemas.openxmlformats.org/officeDocument/2006/relationships/table" Target="/xl/tables/table3.xml" Id="Rbc77d530dab64b16" /></Relationships>
</file>

<file path=xl/worksheets/_rels/sheet4.xml.rels>&#65279;<?xml version="1.0" encoding="utf-8"?><Relationships xmlns="http://schemas.openxmlformats.org/package/2006/relationships"><Relationship Type="http://schemas.openxmlformats.org/officeDocument/2006/relationships/table" Target="/xl/tables/table4.xml" Id="Rbc6cdafe9e904d45" /></Relationships>
</file>

<file path=xl/worksheets/_rels/sheet5.xml.rels>&#65279;<?xml version="1.0" encoding="utf-8"?><Relationships xmlns="http://schemas.openxmlformats.org/package/2006/relationships"><Relationship Type="http://schemas.openxmlformats.org/officeDocument/2006/relationships/table" Target="/xl/tables/table5.xml" Id="R84fcd64f25e84e75" /></Relationships>
</file>

<file path=xl/worksheets/_rels/sheet6.xml.rels>&#65279;<?xml version="1.0" encoding="utf-8"?><Relationships xmlns="http://schemas.openxmlformats.org/package/2006/relationships"><Relationship Type="http://schemas.openxmlformats.org/officeDocument/2006/relationships/table" Target="/xl/tables/table6.xml" Id="R6f544a20c59546ba" /></Relationships>
</file>

<file path=xl/worksheets/_rels/sheet7.xml.rels>&#65279;<?xml version="1.0" encoding="utf-8"?><Relationships xmlns="http://schemas.openxmlformats.org/package/2006/relationships"><Relationship Type="http://schemas.openxmlformats.org/officeDocument/2006/relationships/table" Target="/xl/tables/table7.xml" Id="R77ef82ad7f1b40cd" /></Relationships>
</file>

<file path=xl/worksheets/_rels/sheet8.xml.rels>&#65279;<?xml version="1.0" encoding="utf-8"?><Relationships xmlns="http://schemas.openxmlformats.org/package/2006/relationships"><Relationship Type="http://schemas.openxmlformats.org/officeDocument/2006/relationships/table" Target="/xl/tables/table8.xml" Id="R1260670e234f4cbe" /></Relationships>
</file>

<file path=xl/worksheets/_rels/sheet9.xml.rels>&#65279;<?xml version="1.0" encoding="utf-8"?><Relationships xmlns="http://schemas.openxmlformats.org/package/2006/relationships"><Relationship Type="http://schemas.openxmlformats.org/officeDocument/2006/relationships/table" Target="/xl/tables/table9.xml" Id="R327acf5ddf5f4eaa" /></Relationships>
</file>

<file path=xl/worksheets/_rels/sheet10.xml.rels>&#65279;<?xml version="1.0" encoding="utf-8"?><Relationships xmlns="http://schemas.openxmlformats.org/package/2006/relationships"><Relationship Type="http://schemas.openxmlformats.org/officeDocument/2006/relationships/table" Target="/xl/tables/table10.xml" Id="R3f5d153eadc643ad" /></Relationships>
</file>

<file path=xl/worksheets/_rels/sheet11.xml.rels>&#65279;<?xml version="1.0" encoding="utf-8"?><Relationships xmlns="http://schemas.openxmlformats.org/package/2006/relationships"><Relationship Type="http://schemas.openxmlformats.org/officeDocument/2006/relationships/table" Target="/xl/tables/table11.xml" Id="R165481f059a648ac" /></Relationships>
</file>

<file path=xl/worksheets/_rels/sheet12.xml.rels>&#65279;<?xml version="1.0" encoding="utf-8"?><Relationships xmlns="http://schemas.openxmlformats.org/package/2006/relationships"><Relationship Type="http://schemas.openxmlformats.org/officeDocument/2006/relationships/table" Target="/xl/tables/table12.xml" Id="R1572e1901ad941a4" /></Relationships>
</file>

<file path=xl/worksheets/_rels/sheet13.xml.rels>&#65279;<?xml version="1.0" encoding="utf-8"?><Relationships xmlns="http://schemas.openxmlformats.org/package/2006/relationships"><Relationship Type="http://schemas.openxmlformats.org/officeDocument/2006/relationships/table" Target="/xl/tables/table13.xml" Id="R08c3475422974d7c" /></Relationships>
</file>

<file path=xl/worksheets/sheet1.xml><?xml version="1.0" encoding="utf-8"?>
<x:worksheet xmlns:x="http://schemas.openxmlformats.org/spreadsheetml/2006/main">
  <x:sheetPr>
    <x:tabColor rgb="FF20354D"/>
  </x:sheetPr>
  <x:sheetViews>
    <x:sheetView showGridLines="0" workbookViewId="0"/>
  </x:sheetViews>
  <x:sheetFormatPr defaultRowHeight="15"/>
  <x:cols>
    <x:col min="1" max="1" width="43" hidden="0" customWidth="1"/>
    <x:col min="2" max="2" width="24" hidden="0" customWidth="1"/>
    <x:col min="3" max="3" width="89" hidden="0" customWidth="1"/>
  </x:cols>
  <x:sheetData>
    <x:row r="1" ht="15" hidden="0" customHeight="1">
      <x:c r="A1" s="51"/>
      <x:c r="B1" s="51"/>
      <x:c r="C1" s="51"/>
    </x:row>
    <x:row r="2" ht="16.799999237060547" hidden="0" customHeight="1">
      <x:c r="A2" s="52" t="str">
        <x:v>گزارش مالی انجمن | ۱۰ اکتبر ۲۰۲۶</x:v>
      </x:c>
      <x:c r="B2" s="51"/>
      <x:c r="C2" s="51"/>
    </x:row>
    <x:row r="3" ht="15" hidden="0" customHeight="1">
      <x:c r="A3" s="51"/>
      <x:c r="B3" s="51"/>
      <x:c r="C3" s="51"/>
    </x:row>
    <x:row r="4" ht="15" hidden="0" customHeight="1">
      <x:c r="A4" s="39" t="str">
        <x:v>معیار</x:v>
      </x:c>
      <x:c r="B4" s="39" t="str">
        <x:v>مبلغ (تومان)</x:v>
      </x:c>
      <x:c r="C4" s="39" t="str">
        <x:v>مبنا</x:v>
      </x:c>
    </x:row>
    <x:row r="5" ht="15" hidden="0" customHeight="1">
      <x:c r="A5" s="53" t="str">
        <x:v>دریافت‌های نقدی تأییدشده</x:v>
      </x:c>
      <x:c r="B5" s="54" t="n">
        <x:f>SUM('تراکنش‌ها'!$W$5:$W$99)</x:f>
        <x:v>112552000</x:v>
      </x:c>
      <x:c r="C5" s="53" t="str">
        <x:v>دریافت‌هایی با وضعیت تأییدشده</x:v>
      </x:c>
    </x:row>
    <x:row r="6" ht="15" hidden="0" customHeight="1">
      <x:c r="A6" s="53" t="str">
        <x:v>پرداخت‌های نقدی تأییدشده</x:v>
      </x:c>
      <x:c r="B6" s="54" t="n">
        <x:f>SUM('تراکنش‌ها'!$X$5:$X$99)</x:f>
        <x:v>99085195</x:v>
      </x:c>
      <x:c r="C6" s="53" t="str">
        <x:v>پرداخت‌های با وضعیت تأییدشده</x:v>
      </x:c>
    </x:row>
    <x:row r="7" ht="15" hidden="0" customHeight="1">
      <x:c r="A7" s="55" t="str">
        <x:v>فعالیت نقدی خالص تأییدشده</x:v>
      </x:c>
      <x:c r="B7" s="56" t="n">
        <x:f>B5-B6</x:f>
        <x:v>13466805</x:v>
      </x:c>
      <x:c r="C7" s="55" t="str">
        <x:v>دریافت‌ها منهای پرداخت‌ها؛ بدون احتساب موجودی اولیه</x:v>
      </x:c>
    </x:row>
    <x:row r="8" ht="15" hidden="0" customHeight="1">
      <x:c r="A8" s="53" t="str">
        <x:v>موجودی نقد پایانی تطبیق‌شده با بانک</x:v>
      </x:c>
      <x:c r="B8" s="54" t="str">
        <x:f>"در دسترس نیست"</x:f>
        <x:v>در دسترس نیست</x:v>
      </x:c>
      <x:c r="C8" s="53" t="str">
        <x:v>در دسترس نیست: صورت‌حساب بانکی کامل وجود ندارد و وجوه شخصی درهم‌آمیخته‌اند</x:v>
      </x:c>
    </x:row>
    <x:row r="9" ht="15" hidden="0" customHeight="1">
      <x:c r="A9" s="53" t="str">
        <x:v>دریافت‌های در انتظار بررسی</x:v>
      </x:c>
      <x:c r="B9" s="54" t="n">
        <x:f>SUMIFS('تراکنش‌ها'!$H$5:$H$99,'تراکنش‌ها'!$N$5:$N$99,"نیازمند بررسی",'تراکنش‌ها'!$E$5:$E$99,"دریافت")</x:f>
        <x:v>0</x:v>
      </x:c>
      <x:c r="C9" s="53" t="str">
        <x:v>از مجموع‌های تأییدشده کنار گذاشته شده است</x:v>
      </x:c>
    </x:row>
    <x:row r="10" ht="15" hidden="0" customHeight="1">
      <x:c r="A10" s="53" t="str">
        <x:v>پرداخت‌های در انتظار بررسی</x:v>
      </x:c>
      <x:c r="B10" s="54" t="n">
        <x:f>SUMIFS('تراکنش‌ها'!$H$5:$H$99,'تراکنش‌ها'!$N$5:$N$99,"نیازمند بررسی",'تراکنش‌ها'!$E$5:$E$99,"پرداخت")</x:f>
        <x:v>8334723.9</x:v>
      </x:c>
      <x:c r="C10" s="53" t="str">
        <x:v>از مجموع‌های تأییدشده کنار گذاشته شده است</x:v>
      </x:c>
    </x:row>
    <x:row r="11" ht="15" hidden="0" customHeight="1">
      <x:c r="A11" s="53" t="str">
        <x:v>مبالغ طبقه‌بندی‌نشده در انتظار بررسی</x:v>
      </x:c>
      <x:c r="B11" s="54" t="n">
        <x:f>SUMIFS('تراکنش‌ها'!$H$5:$H$99,'تراکنش‌ها'!$N$5:$N$99,"نیازمند بررسی",'تراکنش‌ها'!$E$5:$E$99,"نامشخص")</x:f>
        <x:v>300000</x:v>
      </x:c>
      <x:c r="C11" s="53" t="str">
        <x:v>جهت نامشخص؛ از مجموع‌ها خارج شده است</x:v>
      </x:c>
    </x:row>
    <x:row r="12" ht="15" hidden="0" customHeight="1">
      <x:c r="A12" s="53" t="str">
        <x:v>انتقال‌های داخلی</x:v>
      </x:c>
      <x:c r="B12" s="54" t="n">
        <x:f>SUMIFS('تراکنش‌ها'!$H$5:$H$99,'تراکنش‌ها'!$E$5:$E$99,"انتقال داخلی",'تراکنش‌ها'!$N$5:$N$99,"تأییدشده")</x:f>
        <x:v>0</x:v>
      </x:c>
      <x:c r="C12" s="53" t="str">
        <x:v>از دریافت‌ها و پرداخت‌های عملیاتی کنار گذاشته شده است</x:v>
      </x:c>
    </x:row>
    <x:row r="13" ht="15" hidden="0" customHeight="1">
      <x:c r="A13" s="53" t="str">
        <x:v>فاکتورهای تأمین‌کننده تطبیق‌نیافته</x:v>
      </x:c>
      <x:c r="B13" s="54" t="n">
        <x:f>SUMIFS('صورتحساب‌ها'!$F$5:$F$20,'صورتحساب‌ها'!$I$5:$I$20,"صورتحساب تطبیق‌نیافته")</x:f>
        <x:v>6416700</x:v>
      </x:c>
      <x:c r="C13" s="53" t="str">
        <x:v>پرداخت‌شده فرض نشده و به‌طور خودکار به‌عنوان بدهی ثبت نشده است</x:v>
      </x:c>
    </x:row>
    <x:row r="14" ht="15" hidden="0" customHeight="1">
      <x:c r="A14" s="53" t="str">
        <x:v>مبالغ کاندیدای تکراری کنارگذاشته‌شده</x:v>
      </x:c>
      <x:c r="B14" s="54" t="n">
        <x:f>SUMIFS('تراکنش‌ها'!$H$5:$H$99,'تراکنش‌ها'!$N$5:$N$99,"تکراری")</x:f>
        <x:v>6129375</x:v>
      </x:c>
      <x:c r="C14" s="53" t="str">
        <x:v>از مجموع‌های تأییدشده کنار گذاشته شده است</x:v>
      </x:c>
    </x:row>
    <x:row r="15" ht="15" hidden="0" customHeight="1">
      <x:c r="A15" s="53" t="str">
        <x:v>تعداد تراکنش‌های تأییدشده</x:v>
      </x:c>
      <x:c r="B15" s="57" t="n">
        <x:f>COUNTIFS('تراکنش‌ها'!$N$5:$N$99,"تأییدشده",'تراکنش‌ها'!$E$5:$E$99,"دریافت")+COUNTIFS('تراکنش‌ها'!$N$5:$N$99,"تأییدشده",'تراکنش‌ها'!$E$5:$E$99,"پرداخت")</x:f>
        <x:v>66</x:v>
      </x:c>
      <x:c r="C15" s="53" t="str">
        <x:v>تعداد سوابق دریافت/پرداخت تأییدشده</x:v>
      </x:c>
    </x:row>
    <x:row r="16" ht="15" hidden="0" customHeight="1">
      <x:c r="A16" s="53" t="str">
        <x:v>تعداد تراکنش‌های نیازمند بررسی</x:v>
      </x:c>
      <x:c r="B16" s="57" t="n">
        <x:f>COUNTIFS('تراکنش‌ها'!$N$5:$N$99,"نیازمند بررسی")</x:f>
        <x:v>21</x:v>
      </x:c>
      <x:c r="C16" s="53" t="str">
        <x:v>تعداد سوابق دفتر با وضعیت نیازمند بررسی</x:v>
      </x:c>
    </x:row>
    <x:row r="17" ht="15" hidden="0" customHeight="1">
      <x:c r="A17" s="53" t="str">
        <x:v>فایل‌های منبع بررسی‌شده</x:v>
      </x:c>
      <x:c r="B17" s="57" t="n">
        <x:f>78</x:f>
        <x:v>78</x:v>
      </x:c>
      <x:c r="C17" s="53" t="str">
        <x:v>دو فایل کاری (ورک‌بوک)، پیام‌های تلگرام، تصاویر کامل، فایل‌های پی‌دی‌اف و گزارش‌های متنی</x:v>
      </x:c>
    </x:row>
    <x:row r="18" ht="15" hidden="0" customHeight="1">
      <x:c r="A18" s="53" t="str">
        <x:v>پیام‌های تلگرام بررسی‌شده</x:v>
      </x:c>
      <x:c r="B18" s="57" t="n">
        <x:f>188</x:f>
        <x:v>188</x:v>
      </x:c>
      <x:c r="C18" s="53" t="str">
        <x:v>شامل پیام‌های سیستمی و اعلان‌های رسانه در دسترس نبودن</x:v>
      </x:c>
    </x:row>
    <x:row r="19" ht="15" hidden="0" customHeight="1">
      <x:c r="A19" s="53" t="str">
        <x:v>موجودی نقد اول دوره انجمن</x:v>
      </x:c>
      <x:c r="B19" s="53" t="str">
        <x:f>"در دسترس نیست"</x:f>
        <x:v>در دسترس نیست</x:v>
      </x:c>
      <x:c r="C19" s="53" t="str">
        <x:v>در دسترس نیست: از مانده امانت‌دار که با وجوه دیگر درهم‌آمیخته است قابل استنباط نیست</x:v>
      </x:c>
    </x:row>
    <x:row r="20" ht="15" hidden="0" customHeight="1">
      <x:c r="A20" s="49"/>
      <x:c r="B20" s="49"/>
      <x:c r="C20" s="49"/>
    </x:row>
    <x:row r="21" ht="15" hidden="0" customHeight="1">
      <x:c r="A21" s="49"/>
      <x:c r="B21" s="49"/>
      <x:c r="C21" s="49"/>
    </x:row>
    <x:row r="22" ht="15" hidden="0" customHeight="1">
      <x:c r="A22" s="58" t="str">
        <x:v>مبنای گزارش‌دهی</x:v>
      </x:c>
      <x:c r="B22" s="49"/>
      <x:c r="C22" s="49"/>
    </x:row>
    <x:row r="23">
      <x:c r="A23" s="47" t="str">
        <x:v>بازسازی دریافت‌ها و پرداخت‌های نقدی. مقادیر تأییدشده شامل اقلام صرفاً دفتری نیز هست، در جایی که به‌وضوح برچسب‌گذاری شده باشند. این مجموعه، صورت‌های مالی تعهدی حسابرسی‌شده نیست.</x:v>
      </x:c>
      <x:c r="B23" s="47"/>
      <x:c r="C23" s="47"/>
    </x:row>
    <x:row r="24">
      <x:c r="A24" s="47"/>
      <x:c r="B24" s="47"/>
      <x:c r="C24" s="47"/>
    </x:row>
    <x:row r="25">
      <x:c r="A25" s="47"/>
      <x:c r="B25" s="47"/>
      <x:c r="C25" s="47"/>
    </x:row>
    <x:row r="26" ht="15" hidden="0" customHeight="1">
      <x:c r="A26" s="49"/>
      <x:c r="B26" s="49"/>
      <x:c r="C26" s="49"/>
    </x:row>
    <x:row r="27" ht="15" hidden="0" customHeight="1">
      <x:c r="A27" s="59" t="str">
        <x:v>ترکیب دریافت‌ها</x:v>
      </x:c>
      <x:c r="B27" s="59" t="str">
        <x:v>مبلغ (تومان)</x:v>
      </x:c>
      <x:c r="C27" s="59" t="str">
        <x:v>مبنا</x:v>
      </x:c>
    </x:row>
    <x:row r="28" ht="15" hidden="0" customHeight="1">
      <x:c r="A28" s="49" t="str">
        <x:v>تحویل هیئت‌مدیره سابق</x:v>
      </x:c>
      <x:c r="B28" s="50" t="n">
        <x:f>SUMIFS('تراکنش‌ها'!$W$5:$W$99,'تراکنش‌ها'!$L$5:$L$99,"وجوه ابتدای دوره")</x:f>
        <x:v>11000000</x:v>
      </x:c>
      <x:c r="C28" s="49" t="str">
        <x:v>وجوه اول دوره منتقل‌شده در طی دوره؛ درآمد عملیاتی نیست</x:v>
      </x:c>
    </x:row>
    <x:row r="29" ht="15" hidden="0" customHeight="1">
      <x:c r="A29" s="49" t="str">
        <x:v>سایر دریافت‌های تأییدشده</x:v>
      </x:c>
      <x:c r="B29" s="50" t="n">
        <x:f>B5-B28</x:f>
        <x:v>101552000</x:v>
      </x:c>
      <x:c r="C29" s="49" t="str">
        <x:v>شامل کمک‌های مالی و دریافت‌های رویداد/دوره مستخرج از دفتر کل</x:v>
      </x:c>
    </x:row>
    <x:row r="30" ht="15" hidden="0" customHeight="1">
      <x:c r="A30" s="49" t="str">
        <x:v>رویداد/دریافت‌های یلدا فقط در دفتر کل</x:v>
      </x:c>
      <x:c r="B30" s="50" t="n">
        <x:v>38790000</x:v>
      </x:c>
      <x:c r="C30" s="49" t="str">
        <x:v>از دفتر کل اصلی / اظهارات خزانه‌دار لحاظ شده؛ مدرک واریز بانکی در انتظار است</x:v>
      </x:c>
    </x:row>
    <x:row r="31" ht="15" hidden="0" customHeight="1">
      <x:c r="A31" s="49"/>
      <x:c r="B31" s="49"/>
      <x:c r="C31" s="49"/>
    </x:row>
    <x:row r="32" ht="15" hidden="0" customHeight="1">
      <x:c r="A32" s="59" t="str">
        <x:v>مدرسه تابستانه ۱۴۰۵</x:v>
      </x:c>
      <x:c r="B32" s="59" t="str">
        <x:v>مبلغ / تعداد تطبیق‌یافته</x:v>
      </x:c>
      <x:c r="C32" s="59" t="str">
        <x:v>تخصیص تأییدشده توسط کاربر</x:v>
      </x:c>
    </x:row>
    <x:row r="33" ht="15" hidden="0" customHeight="1">
      <x:c r="A33" s="49" t="str">
        <x:v>حق‌التدریس‌های شناسایی‌شده</x:v>
      </x:c>
      <x:c r="B33" s="50" t="n">
        <x:v>11500000</x:v>
      </x:c>
      <x:c r="C33" s="49" t="str">
        <x:v>پنج پرداخت شناسایی شد؛ کاربر شش پرداخت را اعلام کرده بود، پرداخت باقی‌مانده تخصیص‌نیافته است</x:v>
      </x:c>
    </x:row>
    <x:row r="34" ht="15" hidden="0" customHeight="1">
      <x:c r="A34" s="49" t="str">
        <x:v>بسته‌های استیکر برنامهٔ معارفه</x:v>
      </x:c>
      <x:c r="B34" s="50" t="n">
        <x:v>950000</x:v>
      </x:c>
      <x:c r="C34" s="49" t="str">
        <x:v>زهرا امیری پرداخت؛ از حق‌الزحمه مدرسان مستثنا شده است</x:v>
      </x:c>
    </x:row>
  </x:sheetData>
  <x:mergeCells>
    <x:mergeCell ref="A2:C2"/>
    <x:mergeCell ref="A23:C25"/>
  </x:mergeCells>
  <x:pageMargins left="0.7" right="0.7" top="0.75" bottom="0.75" header="0.3" footer="0.3"/>
  <x:tableParts count="1">
    <x:tablePart xmlns:r="http://schemas.openxmlformats.org/officeDocument/2006/relationships" r:id="R1a0031d500a94a28"/>
  </x:tableParts>
</x:worksheet>
</file>

<file path=xl/worksheets/sheet2.xml><?xml version="1.0" encoding="utf-8"?>
<x:worksheet xmlns:x="http://schemas.openxmlformats.org/spreadsheetml/2006/main">
  <x:sheetPr>
    <x:tabColor rgb="FF20354D"/>
  </x:sheetPr>
  <x:sheetViews>
    <x:sheetView showGridLines="0" workbookViewId="0"/>
  </x:sheetViews>
  <x:sheetFormatPr defaultRowHeight="15"/>
  <x:cols>
    <x:col min="1" max="1" width="19" hidden="0" customWidth="1"/>
    <x:col min="2" max="2" width="23" hidden="0" customWidth="1"/>
    <x:col min="3" max="3" width="23" hidden="0" customWidth="1"/>
    <x:col min="4" max="4" width="23" hidden="0" customWidth="1"/>
    <x:col min="5" max="5" width="25" hidden="0" customWidth="1"/>
    <x:col min="6" max="6" width="25" hidden="0" customWidth="1"/>
  </x:cols>
  <x:sheetData>
    <x:row r="1" ht="15" hidden="0" customHeight="1">
      <x:c r="A1" s="51"/>
      <x:c r="B1" s="51"/>
      <x:c r="C1" s="51"/>
      <x:c r="D1" s="51"/>
      <x:c r="E1" s="51"/>
      <x:c r="F1" s="51"/>
    </x:row>
    <x:row r="2" ht="16.799999237060547" hidden="0" customHeight="1">
      <x:c r="A2" s="52" t="str">
        <x:v>فعالیت نقدی ماهانه | تقویم جلالی</x:v>
      </x:c>
      <x:c r="B2" s="51"/>
      <x:c r="C2" s="51"/>
      <x:c r="D2" s="51"/>
      <x:c r="E2" s="51"/>
      <x:c r="F2" s="51"/>
    </x:row>
    <x:row r="3" ht="15" hidden="0" customHeight="1">
      <x:c r="A3" s="51"/>
      <x:c r="B3" s="51"/>
      <x:c r="C3" s="51"/>
      <x:c r="D3" s="51"/>
      <x:c r="E3" s="51"/>
      <x:c r="F3" s="51"/>
    </x:row>
    <x:row r="4" ht="15" hidden="0" customHeight="1">
      <x:c r="A4" s="39" t="str">
        <x:v>ماه جلالی</x:v>
      </x:c>
      <x:c r="B4" s="39" t="str">
        <x:v>دریافت‌ها (تومان)</x:v>
      </x:c>
      <x:c r="C4" s="39" t="str">
        <x:v>پرداخت‌ها (تومان)</x:v>
      </x:c>
      <x:c r="D4" s="39" t="str">
        <x:v>فعالیت خالص (تومان)</x:v>
      </x:c>
      <x:c r="E4" s="39" t="str">
        <x:v>فعالیت خالص تجمعی</x:v>
      </x:c>
      <x:c r="F4" s="39" t="str">
        <x:v>مبالغ نیازمند بررسی (تومان)</x:v>
      </x:c>
    </x:row>
    <x:row r="5" ht="15" hidden="0" customHeight="1">
      <x:c r="A5" s="53" t="str">
        <x:v>1404/04</x:v>
      </x:c>
      <x:c r="B5" s="54" t="n">
        <x:f>SUMIFS('تراکنش‌ها'!$W$5:$W$99,'تراکنش‌ها'!$D$5:$D$99,A5)</x:f>
        <x:v>0</x:v>
      </x:c>
      <x:c r="C5" s="54" t="n">
        <x:f>SUMIFS('تراکنش‌ها'!$X$5:$X$99,'تراکنش‌ها'!$D$5:$D$99,A5)</x:f>
        <x:v>400000</x:v>
      </x:c>
      <x:c r="D5" s="54" t="n">
        <x:f>B5-C5</x:f>
        <x:v>-400000</x:v>
      </x:c>
      <x:c r="E5" s="54" t="n">
        <x:f>SUM($D$5:D5)</x:f>
        <x:v>-400000</x:v>
      </x:c>
      <x:c r="F5" s="54" t="n">
        <x:f>SUMIFS('تراکنش‌ها'!$H$5:$H$99,'تراکنش‌ها'!$D$5:$D$99,A5,'تراکنش‌ها'!$N$5:$N$99,"نیازمند بررسی")</x:f>
        <x:v>0</x:v>
      </x:c>
    </x:row>
    <x:row r="6" ht="15" hidden="0" customHeight="1">
      <x:c r="A6" s="53" t="str">
        <x:v>1404/05</x:v>
      </x:c>
      <x:c r="B6" s="54" t="n">
        <x:f>SUMIFS('تراکنش‌ها'!$W$5:$W$99,'تراکنش‌ها'!$D$5:$D$99,A6)</x:f>
        <x:v>33642000</x:v>
      </x:c>
      <x:c r="C6" s="54" t="n">
        <x:f>SUMIFS('تراکنش‌ها'!$X$5:$X$99,'تراکنش‌ها'!$D$5:$D$99,A6)</x:f>
        <x:v>13250900</x:v>
      </x:c>
      <x:c r="D6" s="54" t="n">
        <x:f>B6-C6</x:f>
        <x:v>20391100</x:v>
      </x:c>
      <x:c r="E6" s="54" t="n">
        <x:f>SUM($D$5:D6)</x:f>
        <x:v>19991100</x:v>
      </x:c>
      <x:c r="F6" s="54" t="n">
        <x:f>SUMIFS('تراکنش‌ها'!$H$5:$H$99,'تراکنش‌ها'!$D$5:$D$99,A6,'تراکنش‌ها'!$N$5:$N$99,"نیازمند بررسی")</x:f>
        <x:v>400000</x:v>
      </x:c>
    </x:row>
    <x:row r="7" ht="15" hidden="0" customHeight="1">
      <x:c r="A7" s="53" t="str">
        <x:v>1404/06</x:v>
      </x:c>
      <x:c r="B7" s="54" t="n">
        <x:f>SUMIFS('تراکنش‌ها'!$W$5:$W$99,'تراکنش‌ها'!$D$5:$D$99,A7)</x:f>
        <x:v>4920000</x:v>
      </x:c>
      <x:c r="C7" s="54" t="n">
        <x:f>SUMIFS('تراکنش‌ها'!$X$5:$X$99,'تراکنش‌ها'!$D$5:$D$99,A7)</x:f>
        <x:v>3155000</x:v>
      </x:c>
      <x:c r="D7" s="54" t="n">
        <x:f>B7-C7</x:f>
        <x:v>1765000</x:v>
      </x:c>
      <x:c r="E7" s="54" t="n">
        <x:f>SUM($D$5:D7)</x:f>
        <x:v>21756100</x:v>
      </x:c>
      <x:c r="F7" s="54" t="n">
        <x:f>SUMIFS('تراکنش‌ها'!$H$5:$H$99,'تراکنش‌ها'!$D$5:$D$99,A7,'تراکنش‌ها'!$N$5:$N$99,"نیازمند بررسی")</x:f>
        <x:v>0</x:v>
      </x:c>
    </x:row>
    <x:row r="8" ht="15" hidden="0" customHeight="1">
      <x:c r="A8" s="53" t="str">
        <x:v>1404/07</x:v>
      </x:c>
      <x:c r="B8" s="54" t="n">
        <x:f>SUMIFS('تراکنش‌ها'!$W$5:$W$99,'تراکنش‌ها'!$D$5:$D$99,A8)</x:f>
        <x:v>500000</x:v>
      </x:c>
      <x:c r="C8" s="54" t="n">
        <x:f>SUMIFS('تراکنش‌ها'!$X$5:$X$99,'تراکنش‌ها'!$D$5:$D$99,A8)</x:f>
        <x:v>2845225</x:v>
      </x:c>
      <x:c r="D8" s="54" t="n">
        <x:f>B8-C8</x:f>
        <x:v>-2345225</x:v>
      </x:c>
      <x:c r="E8" s="54" t="n">
        <x:f>SUM($D$5:D8)</x:f>
        <x:v>19410875</x:v>
      </x:c>
      <x:c r="F8" s="54" t="n">
        <x:f>SUMIFS('تراکنش‌ها'!$H$5:$H$99,'تراکنش‌ها'!$D$5:$D$99,A8,'تراکنش‌ها'!$N$5:$N$99,"نیازمند بررسی")</x:f>
        <x:v>0</x:v>
      </x:c>
    </x:row>
    <x:row r="9" ht="15" hidden="0" customHeight="1">
      <x:c r="A9" s="53" t="str">
        <x:v>1404/08</x:v>
      </x:c>
      <x:c r="B9" s="54" t="n">
        <x:f>SUMIFS('تراکنش‌ها'!$W$5:$W$99,'تراکنش‌ها'!$D$5:$D$99,A9)</x:f>
        <x:v>11000000</x:v>
      </x:c>
      <x:c r="C9" s="54" t="n">
        <x:f>SUMIFS('تراکنش‌ها'!$X$5:$X$99,'تراکنش‌ها'!$D$5:$D$99,A9)</x:f>
        <x:v>10103700</x:v>
      </x:c>
      <x:c r="D9" s="54" t="n">
        <x:f>B9-C9</x:f>
        <x:v>896300</x:v>
      </x:c>
      <x:c r="E9" s="54" t="n">
        <x:f>SUM($D$5:D9)</x:f>
        <x:v>20307175</x:v>
      </x:c>
      <x:c r="F9" s="54" t="n">
        <x:f>SUMIFS('تراکنش‌ها'!$H$5:$H$99,'تراکنش‌ها'!$D$5:$D$99,A9,'تراکنش‌ها'!$N$5:$N$99,"نیازمند بررسی")</x:f>
        <x:v>313000</x:v>
      </x:c>
    </x:row>
    <x:row r="10" ht="15" hidden="0" customHeight="1">
      <x:c r="A10" s="53" t="str">
        <x:v>1404/09</x:v>
      </x:c>
      <x:c r="B10" s="54" t="n">
        <x:f>SUMIFS('تراکنش‌ها'!$W$5:$W$99,'تراکنش‌ها'!$D$5:$D$99,A10)</x:f>
        <x:v>23000000</x:v>
      </x:c>
      <x:c r="C10" s="54" t="n">
        <x:f>SUMIFS('تراکنش‌ها'!$X$5:$X$99,'تراکنش‌ها'!$D$5:$D$99,A10)</x:f>
        <x:v>1020000</x:v>
      </x:c>
      <x:c r="D10" s="54" t="n">
        <x:f>B10-C10</x:f>
        <x:v>21980000</x:v>
      </x:c>
      <x:c r="E10" s="54" t="n">
        <x:f>SUM($D$5:D10)</x:f>
        <x:v>42287175</x:v>
      </x:c>
      <x:c r="F10" s="54" t="n">
        <x:f>SUMIFS('تراکنش‌ها'!$H$5:$H$99,'تراکنش‌ها'!$D$5:$D$99,A10,'تراکنش‌ها'!$N$5:$N$99,"نیازمند بررسی")</x:f>
        <x:v>0</x:v>
      </x:c>
    </x:row>
    <x:row r="11" ht="15" hidden="0" customHeight="1">
      <x:c r="A11" s="53" t="str">
        <x:v>1404/10</x:v>
      </x:c>
      <x:c r="B11" s="54" t="n">
        <x:f>SUMIFS('تراکنش‌ها'!$W$5:$W$99,'تراکنش‌ها'!$D$5:$D$99,A11)</x:f>
        <x:v>16490000</x:v>
      </x:c>
      <x:c r="C11" s="54" t="n">
        <x:f>SUMIFS('تراکنش‌ها'!$X$5:$X$99,'تراکنش‌ها'!$D$5:$D$99,A11)</x:f>
        <x:v>2317000</x:v>
      </x:c>
      <x:c r="D11" s="54" t="n">
        <x:f>B11-C11</x:f>
        <x:v>14173000</x:v>
      </x:c>
      <x:c r="E11" s="54" t="n">
        <x:f>SUM($D$5:D11)</x:f>
        <x:v>56460175</x:v>
      </x:c>
      <x:c r="F11" s="54" t="n">
        <x:f>SUMIFS('تراکنش‌ها'!$H$5:$H$99,'تراکنش‌ها'!$D$5:$D$99,A11,'تراکنش‌ها'!$N$5:$N$99,"نیازمند بررسی")</x:f>
        <x:v>7921723.9</x:v>
      </x:c>
    </x:row>
    <x:row r="12" ht="15" hidden="0" customHeight="1">
      <x:c r="A12" s="53" t="str">
        <x:v>1404/12</x:v>
      </x:c>
      <x:c r="B12" s="54" t="n">
        <x:f>SUMIFS('تراکنش‌ها'!$W$5:$W$99,'تراکنش‌ها'!$D$5:$D$99,A12)</x:f>
        <x:v>0</x:v>
      </x:c>
      <x:c r="C12" s="54" t="n">
        <x:f>SUMIFS('تراکنش‌ها'!$X$5:$X$99,'تراکنش‌ها'!$D$5:$D$99,A12)</x:f>
        <x:v>1801220</x:v>
      </x:c>
      <x:c r="D12" s="54" t="n">
        <x:f>B12-C12</x:f>
        <x:v>-1801220</x:v>
      </x:c>
      <x:c r="E12" s="54" t="n">
        <x:f>SUM($D$5:D12)</x:f>
        <x:v>54658955</x:v>
      </x:c>
      <x:c r="F12" s="54" t="n">
        <x:f>SUMIFS('تراکنش‌ها'!$H$5:$H$99,'تراکنش‌ها'!$D$5:$D$99,A12,'تراکنش‌ها'!$N$5:$N$99,"نیازمند بررسی")</x:f>
        <x:v>0</x:v>
      </x:c>
    </x:row>
    <x:row r="13" ht="15" hidden="0" customHeight="1">
      <x:c r="A13" s="53" t="str">
        <x:v>1405/02</x:v>
      </x:c>
      <x:c r="B13" s="54" t="n">
        <x:f>SUMIFS('تراکنش‌ها'!$W$5:$W$99,'تراکنش‌ها'!$D$5:$D$99,A13)</x:f>
        <x:v>0</x:v>
      </x:c>
      <x:c r="C13" s="54" t="n">
        <x:f>SUMIFS('تراکنش‌ها'!$X$5:$X$99,'تراکنش‌ها'!$D$5:$D$99,A13)</x:f>
        <x:v>4050000</x:v>
      </x:c>
      <x:c r="D13" s="54" t="n">
        <x:f>B13-C13</x:f>
        <x:v>-4050000</x:v>
      </x:c>
      <x:c r="E13" s="54" t="n">
        <x:f>SUM($D$5:D13)</x:f>
        <x:v>50608955</x:v>
      </x:c>
      <x:c r="F13" s="54" t="n">
        <x:f>SUMIFS('تراکنش‌ها'!$H$5:$H$99,'تراکنش‌ها'!$D$5:$D$99,A13,'تراکنش‌ها'!$N$5:$N$99,"نیازمند بررسی")</x:f>
        <x:v>0</x:v>
      </x:c>
    </x:row>
    <x:row r="14" ht="15" hidden="0" customHeight="1">
      <x:c r="A14" s="53" t="str">
        <x:v>1405/05</x:v>
      </x:c>
      <x:c r="B14" s="54" t="n">
        <x:f>SUMIFS('تراکنش‌ها'!$W$5:$W$99,'تراکنش‌ها'!$D$5:$D$99,A14)</x:f>
        <x:v>0</x:v>
      </x:c>
      <x:c r="C14" s="54" t="n">
        <x:f>SUMIFS('تراکنش‌ها'!$X$5:$X$99,'تراکنش‌ها'!$D$5:$D$99,A14)</x:f>
        <x:v>11217000</x:v>
      </x:c>
      <x:c r="D14" s="54" t="n">
        <x:f>B14-C14</x:f>
        <x:v>-11217000</x:v>
      </x:c>
      <x:c r="E14" s="54" t="n">
        <x:f>SUM($D$5:D14)</x:f>
        <x:v>39391955</x:v>
      </x:c>
      <x:c r="F14" s="54" t="n">
        <x:f>SUMIFS('تراکنش‌ها'!$H$5:$H$99,'تراکنش‌ها'!$D$5:$D$99,A14,'تراکنش‌ها'!$N$5:$N$99,"نیازمند بررسی")</x:f>
        <x:v>0</x:v>
      </x:c>
    </x:row>
    <x:row r="15" ht="15" hidden="0" customHeight="1">
      <x:c r="A15" s="53" t="str">
        <x:v>1405/06</x:v>
      </x:c>
      <x:c r="B15" s="54" t="n">
        <x:f>SUMIFS('تراکنش‌ها'!$W$5:$W$99,'تراکنش‌ها'!$D$5:$D$99,A15)</x:f>
        <x:v>0</x:v>
      </x:c>
      <x:c r="C15" s="54" t="n">
        <x:f>SUMIFS('تراکنش‌ها'!$X$5:$X$99,'تراکنش‌ها'!$D$5:$D$99,A15)</x:f>
        <x:v>9150000</x:v>
      </x:c>
      <x:c r="D15" s="54" t="n">
        <x:f>B15-C15</x:f>
        <x:v>-9150000</x:v>
      </x:c>
      <x:c r="E15" s="54" t="n">
        <x:f>SUM($D$5:D15)</x:f>
        <x:v>30241955</x:v>
      </x:c>
      <x:c r="F15" s="54" t="n">
        <x:f>SUMIFS('تراکنش‌ها'!$H$5:$H$99,'تراکنش‌ها'!$D$5:$D$99,A15,'تراکنش‌ها'!$N$5:$N$99,"نیازمند بررسی")</x:f>
        <x:v>0</x:v>
      </x:c>
    </x:row>
    <x:row r="16" ht="15" hidden="0" customHeight="1">
      <x:c r="A16" s="53" t="str">
        <x:v>1405/07</x:v>
      </x:c>
      <x:c r="B16" s="54" t="n">
        <x:f>SUMIFS('تراکنش‌ها'!$W$5:$W$99,'تراکنش‌ها'!$D$5:$D$99,A16)</x:f>
        <x:v>23000000</x:v>
      </x:c>
      <x:c r="C16" s="54" t="n">
        <x:f>SUMIFS('تراکنش‌ها'!$X$5:$X$99,'تراکنش‌ها'!$D$5:$D$99,A16)</x:f>
        <x:v>39775150</x:v>
      </x:c>
      <x:c r="D16" s="54" t="n">
        <x:f>B16-C16</x:f>
        <x:v>-16775150</x:v>
      </x:c>
      <x:c r="E16" s="54" t="n">
        <x:f>SUM($D$5:D16)</x:f>
        <x:v>13466805</x:v>
      </x:c>
      <x:c r="F16" s="54" t="n">
        <x:f>SUMIFS('تراکنش‌ها'!$H$5:$H$99,'تراکنش‌ها'!$D$5:$D$99,A16,'تراکنش‌ها'!$N$5:$N$99,"نیازمند بررسی")</x:f>
        <x:v>0</x:v>
      </x:c>
    </x:row>
    <x:row r="17" ht="15" hidden="0" customHeight="1">
      <x:c r="A17" s="53" t="str">
        <x:v>بدون تاریخ</x:v>
      </x:c>
      <x:c r="B17" s="54" t="n">
        <x:f>SUMIFS('تراکنش‌ها'!$W$5:$W$99,'تراکنش‌ها'!$D$5:$D$99,A17)</x:f>
        <x:v>0</x:v>
      </x:c>
      <x:c r="C17" s="54" t="n">
        <x:f>SUMIFS('تراکنش‌ها'!$X$5:$X$99,'تراکنش‌ها'!$D$5:$D$99,A17)</x:f>
        <x:v>0</x:v>
      </x:c>
      <x:c r="D17" s="54" t="n">
        <x:f>B17-C17</x:f>
        <x:v>0</x:v>
      </x:c>
      <x:c r="E17" s="54" t="n">
        <x:f>SUM($D$5:D17)</x:f>
        <x:v>13466805</x:v>
      </x:c>
      <x:c r="F17" s="54" t="n">
        <x:f>SUMIFS('تراکنش‌ها'!$H$5:$H$99,'تراکنش‌ها'!$D$5:$D$99,A17,'تراکنش‌ها'!$N$5:$N$99,"نیازمند بررسی")</x:f>
        <x:v>0</x:v>
      </x:c>
    </x:row>
  </x:sheetData>
  <x:mergeCells>
    <x:mergeCell ref="A2:F2"/>
  </x:mergeCells>
  <x:pageMargins left="0.7" right="0.7" top="0.75" bottom="0.75" header="0.3" footer="0.3"/>
  <x:drawing xmlns:r="http://schemas.openxmlformats.org/officeDocument/2006/relationships" r:id="Rdb84472cb83b458a"/>
  <x:tableParts count="1">
    <x:tablePart xmlns:r="http://schemas.openxmlformats.org/officeDocument/2006/relationships" r:id="R6550657f03ff4c74"/>
  </x:tableParts>
</x:worksheet>
</file>

<file path=xl/worksheets/sheet3.xml><?xml version="1.0" encoding="utf-8"?>
<x:worksheet xmlns:x="http://schemas.openxmlformats.org/spreadsheetml/2006/main">
  <x:sheetPr>
    <x:tabColor rgb="FF20354D"/>
  </x:sheetPr>
  <x:sheetViews>
    <x:sheetView showGridLines="0" workbookViewId="0"/>
  </x:sheetViews>
  <x:sheetFormatPr defaultRowHeight="15"/>
  <x:cols>
    <x:col min="1" max="1" width="45" hidden="0" customWidth="1"/>
    <x:col min="2" max="2" width="24" hidden="0" customWidth="1"/>
    <x:col min="3" max="3" width="24" hidden="0" customWidth="1"/>
    <x:col min="4" max="4" width="25" hidden="0" customWidth="1"/>
    <x:col min="5" max="5" width="25" hidden="0" customWidth="1"/>
  </x:cols>
  <x:sheetData>
    <x:row r="1" ht="15" hidden="0" customHeight="1">
      <x:c r="A1" s="51"/>
      <x:c r="B1" s="51"/>
      <x:c r="C1" s="51"/>
      <x:c r="D1" s="51"/>
      <x:c r="E1" s="51"/>
    </x:row>
    <x:row r="2" ht="16.799999237060547" hidden="0" customHeight="1">
      <x:c r="A2" s="52" t="str">
        <x:v>فعالیت نقدی پروژه | نه سودآوری تعهدی</x:v>
      </x:c>
      <x:c r="B2" s="51"/>
      <x:c r="C2" s="51"/>
      <x:c r="D2" s="51"/>
      <x:c r="E2" s="51"/>
    </x:row>
    <x:row r="3" ht="15" hidden="0" customHeight="1">
      <x:c r="A3" s="51"/>
      <x:c r="B3" s="51"/>
      <x:c r="C3" s="51"/>
      <x:c r="D3" s="51"/>
      <x:c r="E3" s="51"/>
    </x:row>
    <x:row r="4" ht="15" hidden="0" customHeight="1">
      <x:c r="A4" s="39" t="str">
        <x:v>پروژه</x:v>
      </x:c>
      <x:c r="B4" s="39" t="str">
        <x:v>دریافت‌ها (تومان)</x:v>
      </x:c>
      <x:c r="C4" s="39" t="str">
        <x:v>پرداخت‌ها (تومان)</x:v>
      </x:c>
      <x:c r="D4" s="39" t="str">
        <x:v>فعالیت خالص (تومان)</x:v>
      </x:c>
      <x:c r="E4" s="39" t="str">
        <x:v>مبالغ نیازمند بررسی (تومان)</x:v>
      </x:c>
    </x:row>
    <x:row r="5" ht="15" hidden="0" customHeight="1">
      <x:c r="A5" s="53" t="str">
        <x:v>عملیات انجمن</x:v>
      </x:c>
      <x:c r="B5" s="54" t="n">
        <x:f>SUMIFS('تراکنش‌ها'!$W$5:$W$99,'تراکنش‌ها'!$M$5:$M$99,A5)</x:f>
        <x:v>34000000</x:v>
      </x:c>
      <x:c r="C5" s="54" t="n">
        <x:f>SUMIFS('تراکنش‌ها'!$X$5:$X$99,'تراکنش‌ها'!$M$5:$M$99,A5)</x:f>
        <x:v>3084700</x:v>
      </x:c>
      <x:c r="D5" s="54" t="n">
        <x:f>B5-C5</x:f>
        <x:v>30915300</x:v>
      </x:c>
      <x:c r="E5" s="54" t="n">
        <x:f>SUMIFS('تراکنش‌ها'!$H$5:$H$99,'تراکنش‌ها'!$M$5:$M$99,A5,'تراکنش‌ها'!$N$5:$N$99,"نیازمند بررسی")</x:f>
        <x:v>13000</x:v>
      </x:c>
    </x:row>
    <x:row r="6" ht="15" hidden="0" customHeight="1">
      <x:c r="A6" s="53" t="str">
        <x:v>غرفه‌های 1404</x:v>
      </x:c>
      <x:c r="B6" s="54" t="n">
        <x:f>SUMIFS('تراکنش‌ها'!$W$5:$W$99,'تراکنش‌ها'!$M$5:$M$99,A6)</x:f>
        <x:v>0</x:v>
      </x:c>
      <x:c r="C6" s="54" t="n">
        <x:f>SUMIFS('تراکنش‌ها'!$X$5:$X$99,'تراکنش‌ها'!$M$5:$M$99,A6)</x:f>
        <x:v>1995000</x:v>
      </x:c>
      <x:c r="D6" s="54" t="n">
        <x:f>B6-C6</x:f>
        <x:v>-1995000</x:v>
      </x:c>
      <x:c r="E6" s="54" t="n">
        <x:f>SUMIFS('تراکنش‌ها'!$H$5:$H$99,'تراکنش‌ها'!$M$5:$M$99,A6,'تراکنش‌ها'!$N$5:$N$99,"نیازمند بررسی")</x:f>
        <x:v>0</x:v>
      </x:c>
    </x:row>
    <x:row r="7" ht="15" hidden="0" customHeight="1">
      <x:c r="A7" s="53" t="str">
        <x:v>جشن ورودی‌های ۱۴۰۴</x:v>
      </x:c>
      <x:c r="B7" s="54" t="n">
        <x:f>SUMIFS('تراکنش‌ها'!$W$5:$W$99,'تراکنش‌ها'!$M$5:$M$99,A7)</x:f>
        <x:v>0</x:v>
      </x:c>
      <x:c r="C7" s="54" t="n">
        <x:f>SUMIFS('تراکنش‌ها'!$X$5:$X$99,'تراکنش‌ها'!$M$5:$M$99,A7)</x:f>
        <x:v>5774000</x:v>
      </x:c>
      <x:c r="D7" s="54" t="n">
        <x:f>B7-C7</x:f>
        <x:v>-5774000</x:v>
      </x:c>
      <x:c r="E7" s="54" t="n">
        <x:f>SUMIFS('تراکنش‌ها'!$H$5:$H$99,'تراکنش‌ها'!$M$5:$M$99,A7,'تراکنش‌ها'!$N$5:$N$99,"نیازمند بررسی")</x:f>
        <x:v>300000</x:v>
      </x:c>
    </x:row>
    <x:row r="8" ht="15" hidden="0" customHeight="1">
      <x:c r="A8" s="53" t="str">
        <x:v>برنامهٔ معارفه ۱۴۰۴</x:v>
      </x:c>
      <x:c r="B8" s="54" t="n">
        <x:f>SUMIFS('تراکنش‌ها'!$W$5:$W$99,'تراکنش‌ها'!$M$5:$M$99,A8)</x:f>
        <x:v>4920000</x:v>
      </x:c>
      <x:c r="C8" s="54" t="n">
        <x:f>SUMIFS('تراکنش‌ها'!$X$5:$X$99,'تراکنش‌ها'!$M$5:$M$99,A8)</x:f>
        <x:v>3155000</x:v>
      </x:c>
      <x:c r="D8" s="54" t="n">
        <x:f>B8-C8</x:f>
        <x:v>1765000</x:v>
      </x:c>
      <x:c r="E8" s="54" t="n">
        <x:f>SUMIFS('تراکنش‌ها'!$H$5:$H$99,'تراکنش‌ها'!$M$5:$M$99,A8,'تراکنش‌ها'!$N$5:$N$99,"نیازمند بررسی")</x:f>
        <x:v>0</x:v>
      </x:c>
    </x:row>
    <x:row r="9" ht="15" hidden="0" customHeight="1">
      <x:c r="A9" s="53" t="str">
        <x:v>برنامهٔ معارفه ۱۴۰۵</x:v>
      </x:c>
      <x:c r="B9" s="54" t="n">
        <x:f>SUMIFS('تراکنش‌ها'!$W$5:$W$99,'تراکنش‌ها'!$M$5:$M$99,A9)</x:f>
        <x:v>23000000</x:v>
      </x:c>
      <x:c r="C9" s="54" t="n">
        <x:f>SUMIFS('تراکنش‌ها'!$X$5:$X$99,'تراکنش‌ها'!$M$5:$M$99,A9)</x:f>
        <x:v>5950000</x:v>
      </x:c>
      <x:c r="D9" s="54" t="n">
        <x:f>B9-C9</x:f>
        <x:v>17050000</x:v>
      </x:c>
      <x:c r="E9" s="54" t="n">
        <x:f>SUMIFS('تراکنش‌ها'!$H$5:$H$99,'تراکنش‌ها'!$M$5:$M$99,A9,'تراکنش‌ها'!$N$5:$N$99,"نیازمند بررسی")</x:f>
        <x:v>0</x:v>
      </x:c>
    </x:row>
    <x:row r="10" ht="15" hidden="0" customHeight="1">
      <x:c r="A10" s="53" t="str">
        <x:v>مجمع اساتید مهر</x:v>
      </x:c>
      <x:c r="B10" s="54" t="n">
        <x:f>SUMIFS('تراکنش‌ها'!$W$5:$W$99,'تراکنش‌ها'!$M$5:$M$99,A10)</x:f>
        <x:v>500000</x:v>
      </x:c>
      <x:c r="C10" s="54" t="n">
        <x:f>SUMIFS('تراکنش‌ها'!$X$5:$X$99,'تراکنش‌ها'!$M$5:$M$99,A10)</x:f>
        <x:v>1142375</x:v>
      </x:c>
      <x:c r="D10" s="54" t="n">
        <x:f>B10-C10</x:f>
        <x:v>-642375</x:v>
      </x:c>
      <x:c r="E10" s="54" t="n">
        <x:f>SUMIFS('تراکنش‌ها'!$H$5:$H$99,'تراکنش‌ها'!$M$5:$M$99,A10,'تراکنش‌ها'!$N$5:$N$99,"نیازمند بررسی")</x:f>
        <x:v>0</x:v>
      </x:c>
    </x:row>
    <x:row r="11" ht="15" hidden="0" customHeight="1">
      <x:c r="A11" s="53" t="str">
        <x:v>مدرسه تابستانه ۱۴۰۴</x:v>
      </x:c>
      <x:c r="B11" s="54" t="n">
        <x:f>SUMIFS('تراکنش‌ها'!$W$5:$W$99,'تراکنش‌ها'!$M$5:$M$99,A11)</x:f>
        <x:v>33642000</x:v>
      </x:c>
      <x:c r="C11" s="54" t="n">
        <x:f>SUMIFS('تراکنش‌ها'!$X$5:$X$99,'تراکنش‌ها'!$M$5:$M$99,A11)</x:f>
        <x:v>12900900</x:v>
      </x:c>
      <x:c r="D11" s="54" t="n">
        <x:f>B11-C11</x:f>
        <x:v>20741100</x:v>
      </x:c>
      <x:c r="E11" s="54" t="n">
        <x:f>SUMIFS('تراکنش‌ها'!$H$5:$H$99,'تراکنش‌ها'!$M$5:$M$99,A11,'تراکنش‌ها'!$N$5:$N$99,"نیازمند بررسی")</x:f>
        <x:v>400000</x:v>
      </x:c>
    </x:row>
    <x:row r="12" ht="15" hidden="0" customHeight="1">
      <x:c r="A12" s="53" t="str">
        <x:v>مدرسه تابستانه ۱۴۰۵</x:v>
      </x:c>
      <x:c r="B12" s="54" t="n">
        <x:f>SUMIFS('تراکنش‌ها'!$W$5:$W$99,'تراکنش‌ها'!$M$5:$M$99,A12)</x:f>
        <x:v>0</x:v>
      </x:c>
      <x:c r="C12" s="54" t="n">
        <x:f>SUMIFS('تراکنش‌ها'!$X$5:$X$99,'تراکنش‌ها'!$M$5:$M$99,A12)</x:f>
        <x:v>11500000</x:v>
      </x:c>
      <x:c r="D12" s="54" t="n">
        <x:f>B12-C12</x:f>
        <x:v>-11500000</x:v>
      </x:c>
      <x:c r="E12" s="54" t="n">
        <x:f>SUMIFS('تراکنش‌ها'!$H$5:$H$99,'تراکنش‌ها'!$M$5:$M$99,A12,'تراکنش‌ها'!$N$5:$N$99,"نیازمند بررسی")</x:f>
        <x:v>0</x:v>
      </x:c>
    </x:row>
    <x:row r="13" ht="15" hidden="0" customHeight="1">
      <x:c r="A13" s="53" t="str">
        <x:v>انجمن چای و فیزیک</x:v>
      </x:c>
      <x:c r="B13" s="54" t="n">
        <x:f>SUMIFS('تراکنش‌ها'!$W$5:$W$99,'تراکنش‌ها'!$M$5:$M$99,A13)</x:f>
        <x:v>0</x:v>
      </x:c>
      <x:c r="C13" s="54" t="n">
        <x:f>SUMIFS('تراکنش‌ها'!$X$5:$X$99,'تراکنش‌ها'!$M$5:$M$99,A13)</x:f>
        <x:v>1702850</x:v>
      </x:c>
      <x:c r="D13" s="54" t="n">
        <x:f>B13-C13</x:f>
        <x:v>-1702850</x:v>
      </x:c>
      <x:c r="E13" s="54" t="n">
        <x:f>SUMIFS('تراکنش‌ها'!$H$5:$H$99,'تراکنش‌ها'!$M$5:$M$99,A13,'تراکنش‌ها'!$N$5:$N$99,"نیازمند بررسی")</x:f>
        <x:v>0</x:v>
      </x:c>
    </x:row>
    <x:row r="14" ht="15" hidden="0" customHeight="1">
      <x:c r="A14" s="53" t="str">
        <x:v>تخصیص‌نیافته</x:v>
      </x:c>
      <x:c r="B14" s="54" t="n">
        <x:f>SUMIFS('تراکنش‌ها'!$W$5:$W$99,'تراکنش‌ها'!$M$5:$M$99,A14)</x:f>
        <x:v>0</x:v>
      </x:c>
      <x:c r="C14" s="54" t="n">
        <x:f>SUMIFS('تراکنش‌ها'!$X$5:$X$99,'تراکنش‌ها'!$M$5:$M$99,A14)</x:f>
        <x:v>45513370</x:v>
      </x:c>
      <x:c r="D14" s="54" t="n">
        <x:f>B14-C14</x:f>
        <x:v>-45513370</x:v>
      </x:c>
      <x:c r="E14" s="54" t="n">
        <x:f>SUMIFS('تراکنش‌ها'!$H$5:$H$99,'تراکنش‌ها'!$M$5:$M$99,A14,'تراکنش‌ها'!$N$5:$N$99,"نیازمند بررسی")</x:f>
        <x:v>0</x:v>
      </x:c>
    </x:row>
    <x:row r="15" ht="15" hidden="0" customHeight="1">
      <x:c r="A15" s="53" t="str">
        <x:v>نامشخص (احتمالاً مدرسه تابستانی 1405)</x:v>
      </x:c>
      <x:c r="B15" s="54" t="n">
        <x:f>SUMIFS('تراکنش‌ها'!$W$5:$W$99,'تراکنش‌ها'!$M$5:$M$99,A15)</x:f>
        <x:v>0</x:v>
      </x:c>
      <x:c r="C15" s="54" t="n">
        <x:f>SUMIFS('تراکنش‌ها'!$X$5:$X$99,'تراکنش‌ها'!$M$5:$M$99,A15)</x:f>
        <x:v>0</x:v>
      </x:c>
      <x:c r="D15" s="54" t="n">
        <x:f>B15-C15</x:f>
        <x:v>0</x:v>
      </x:c>
      <x:c r="E15" s="54" t="n">
        <x:f>SUMIFS('تراکنش‌ها'!$H$5:$H$99,'تراکنش‌ها'!$M$5:$M$99,A15,'تراکنش‌ها'!$N$5:$N$99,"نیازمند بررسی")</x:f>
        <x:v>0</x:v>
      </x:c>
    </x:row>
    <x:row r="16" ht="15" hidden="0" customHeight="1">
      <x:c r="A16" s="53" t="str">
        <x:v>یلدا ۱۴۰۴</x:v>
      </x:c>
      <x:c r="B16" s="54" t="n">
        <x:f>SUMIFS('تراکنش‌ها'!$W$5:$W$99,'تراکنش‌ها'!$M$5:$M$99,A16)</x:f>
        <x:v>16490000</x:v>
      </x:c>
      <x:c r="C16" s="54" t="n">
        <x:f>SUMIFS('تراکنش‌ها'!$X$5:$X$99,'تراکنش‌ها'!$M$5:$M$99,A16)</x:f>
        <x:v>6367000</x:v>
      </x:c>
      <x:c r="D16" s="54" t="n">
        <x:f>B16-C16</x:f>
        <x:v>10123000</x:v>
      </x:c>
      <x:c r="E16" s="54" t="n">
        <x:f>SUMIFS('تراکنش‌ها'!$H$5:$H$99,'تراکنش‌ها'!$M$5:$M$99,A16,'تراکنش‌ها'!$N$5:$N$99,"نیازمند بررسی")</x:f>
        <x:v>7921723.9</x:v>
      </x:c>
    </x:row>
  </x:sheetData>
  <x:mergeCells>
    <x:mergeCell ref="A2:E2"/>
  </x:mergeCells>
  <x:pageMargins left="0.7" right="0.7" top="0.75" bottom="0.75" header="0.3" footer="0.3"/>
  <x:tableParts count="1">
    <x:tablePart xmlns:r="http://schemas.openxmlformats.org/officeDocument/2006/relationships" r:id="Rbc77d530dab64b16"/>
  </x:tableParts>
</x:worksheet>
</file>

<file path=xl/worksheets/sheet4.xml><?xml version="1.0" encoding="utf-8"?>
<x:worksheet xmlns:x="http://schemas.openxmlformats.org/spreadsheetml/2006/main">
  <x:sheetPr>
    <x:tabColor rgb="FFEDF2F7"/>
  </x:sheetPr>
  <x:sheetViews>
    <x:sheetView showGridLines="0" workbookViewId="0"/>
  </x:sheetViews>
  <x:sheetFormatPr defaultRowHeight="15"/>
  <x:cols>
    <x:col min="1" max="1" width="35" hidden="0" customWidth="1"/>
    <x:col min="2" max="2" width="24" hidden="0" customWidth="1"/>
    <x:col min="3" max="3" width="24" hidden="0" customWidth="1"/>
    <x:col min="4" max="4" width="25" hidden="0" customWidth="1"/>
    <x:col min="5" max="5" width="25" hidden="0" customWidth="1"/>
  </x:cols>
  <x:sheetData>
    <x:row r="1" ht="15" hidden="0" customHeight="1">
      <x:c r="A1" s="51"/>
      <x:c r="B1" s="51"/>
      <x:c r="C1" s="51"/>
      <x:c r="D1" s="51"/>
      <x:c r="E1" s="51"/>
    </x:row>
    <x:row r="2" ht="16.799999237060547" hidden="0" customHeight="1">
      <x:c r="A2" s="52" t="str">
        <x:v>دریافت‌ها و پرداخت‌های نقدی بر حسب دسته‌بندی</x:v>
      </x:c>
      <x:c r="B2" s="51"/>
      <x:c r="C2" s="51"/>
      <x:c r="D2" s="51"/>
      <x:c r="E2" s="51"/>
    </x:row>
    <x:row r="3" ht="15" hidden="0" customHeight="1">
      <x:c r="A3" s="51"/>
      <x:c r="B3" s="51"/>
      <x:c r="C3" s="51"/>
      <x:c r="D3" s="51"/>
      <x:c r="E3" s="51"/>
    </x:row>
    <x:row r="4" ht="15" hidden="0" customHeight="1">
      <x:c r="A4" s="39" t="str">
        <x:v>دسته‌بندی</x:v>
      </x:c>
      <x:c r="B4" s="39" t="str">
        <x:v>دریافت‌ها (تومان)</x:v>
      </x:c>
      <x:c r="C4" s="39" t="str">
        <x:v>پرداخت‌ها (تومان)</x:v>
      </x:c>
      <x:c r="D4" s="39" t="str">
        <x:v>فعالیت خالص (تومان)</x:v>
      </x:c>
      <x:c r="E4" s="39" t="str">
        <x:v>مبالغ نیازمند بررسی (تومان)</x:v>
      </x:c>
    </x:row>
    <x:row r="5" ht="15" hidden="0" customHeight="1">
      <x:c r="A5" s="53" t="str">
        <x:v>تبلیغات</x:v>
      </x:c>
      <x:c r="B5" s="54" t="n">
        <x:f>SUMIFS('تراکنش‌ها'!$W$5:$W$99,'تراکنش‌ها'!$L$5:$L$99,A5)</x:f>
        <x:v>0</x:v>
      </x:c>
      <x:c r="C5" s="54" t="n">
        <x:f>SUMIFS('تراکنش‌ها'!$X$5:$X$99,'تراکنش‌ها'!$L$5:$L$99,A5)</x:f>
        <x:v>400000</x:v>
      </x:c>
      <x:c r="D5" s="54" t="n">
        <x:f>B5-C5</x:f>
        <x:v>-400000</x:v>
      </x:c>
      <x:c r="E5" s="54" t="n">
        <x:f>SUMIFS('تراکنش‌ها'!$H$5:$H$99,'تراکنش‌ها'!$L$5:$L$99,A5,'تراکنش‌ها'!$N$5:$N$99,"نیازمند بررسی")</x:f>
        <x:v>400000</x:v>
      </x:c>
    </x:row>
    <x:row r="6" ht="15" hidden="0" customHeight="1">
      <x:c r="A6" s="53" t="str">
        <x:v>کارمزدهای بانکی</x:v>
      </x:c>
      <x:c r="B6" s="54" t="n">
        <x:f>SUMIFS('تراکنش‌ها'!$W$5:$W$99,'تراکنش‌ها'!$L$5:$L$99,A6)</x:f>
        <x:v>0</x:v>
      </x:c>
      <x:c r="C6" s="54" t="n">
        <x:f>SUMIFS('تراکنش‌ها'!$X$5:$X$99,'تراکنش‌ها'!$L$5:$L$99,A6)</x:f>
        <x:v>900</x:v>
      </x:c>
      <x:c r="D6" s="54" t="n">
        <x:f>B6-C6</x:f>
        <x:v>-900</x:v>
      </x:c>
      <x:c r="E6" s="54" t="n">
        <x:f>SUMIFS('تراکنش‌ها'!$H$5:$H$99,'تراکنش‌ها'!$L$5:$L$99,A6,'تراکنش‌ها'!$N$5:$N$99,"نیازمند بررسی")</x:f>
        <x:v>0</x:v>
      </x:c>
    </x:row>
    <x:row r="7" ht="15" hidden="0" customHeight="1">
      <x:c r="A7" s="53" t="str">
        <x:v>شهریه دوره‌ها</x:v>
      </x:c>
      <x:c r="B7" s="54" t="n">
        <x:f>SUMIFS('تراکنش‌ها'!$W$5:$W$99,'تراکنش‌ها'!$L$5:$L$99,A7)</x:f>
        <x:v>33642000</x:v>
      </x:c>
      <x:c r="C7" s="54" t="n">
        <x:f>SUMIFS('تراکنش‌ها'!$X$5:$X$99,'تراکنش‌ها'!$L$5:$L$99,A7)</x:f>
        <x:v>0</x:v>
      </x:c>
      <x:c r="D7" s="54" t="n">
        <x:f>B7-C7</x:f>
        <x:v>33642000</x:v>
      </x:c>
      <x:c r="E7" s="54" t="n">
        <x:f>SUMIFS('تراکنش‌ها'!$H$5:$H$99,'تراکنش‌ها'!$L$5:$L$99,A7,'تراکنش‌ها'!$N$5:$N$99,"نیازمند بررسی")</x:f>
        <x:v>0</x:v>
      </x:c>
    </x:row>
    <x:row r="8" ht="15" hidden="0" customHeight="1">
      <x:c r="A8" s="53" t="str">
        <x:v>کمک‌های مالی</x:v>
      </x:c>
      <x:c r="B8" s="54" t="n">
        <x:f>SUMIFS('تراکنش‌ها'!$W$5:$W$99,'تراکنش‌ها'!$L$5:$L$99,A8)</x:f>
        <x:v>39990000</x:v>
      </x:c>
      <x:c r="C8" s="54" t="n">
        <x:f>SUMIFS('تراکنش‌ها'!$X$5:$X$99,'تراکنش‌ها'!$L$5:$L$99,A8)</x:f>
        <x:v>0</x:v>
      </x:c>
      <x:c r="D8" s="54" t="n">
        <x:f>B8-C8</x:f>
        <x:v>39990000</x:v>
      </x:c>
      <x:c r="E8" s="54" t="n">
        <x:f>SUMIFS('تراکنش‌ها'!$H$5:$H$99,'تراکنش‌ها'!$L$5:$L$99,A8,'تراکنش‌ها'!$N$5:$N$99,"نیازمند بررسی")</x:f>
        <x:v>0</x:v>
      </x:c>
    </x:row>
    <x:row r="9" ht="15" hidden="0" customHeight="1">
      <x:c r="A9" s="53" t="str">
        <x:v>تجهیزات</x:v>
      </x:c>
      <x:c r="B9" s="54" t="n">
        <x:f>SUMIFS('تراکنش‌ها'!$W$5:$W$99,'تراکنش‌ها'!$L$5:$L$99,A9)</x:f>
        <x:v>0</x:v>
      </x:c>
      <x:c r="C9" s="54" t="n">
        <x:f>SUMIFS('تراکنش‌ها'!$X$5:$X$99,'تراکنش‌ها'!$L$5:$L$99,A9)</x:f>
        <x:v>3545000</x:v>
      </x:c>
      <x:c r="D9" s="54" t="n">
        <x:f>B9-C9</x:f>
        <x:v>-3545000</x:v>
      </x:c>
      <x:c r="E9" s="54" t="n">
        <x:f>SUMIFS('تراکنش‌ها'!$H$5:$H$99,'تراکنش‌ها'!$L$5:$L$99,A9,'تراکنش‌ها'!$N$5:$N$99,"نیازمند بررسی")</x:f>
        <x:v>0</x:v>
      </x:c>
    </x:row>
    <x:row r="10" ht="15" hidden="0" customHeight="1">
      <x:c r="A10" s="53" t="str">
        <x:v>رویدادها</x:v>
      </x:c>
      <x:c r="B10" s="54" t="n">
        <x:f>SUMIFS('تراکنش‌ها'!$W$5:$W$99,'تراکنش‌ها'!$L$5:$L$99,A10)</x:f>
        <x:v>27920000</x:v>
      </x:c>
      <x:c r="C10" s="54" t="n">
        <x:f>SUMIFS('تراکنش‌ها'!$X$5:$X$99,'تراکنش‌ها'!$L$5:$L$99,A10)</x:f>
        <x:v>20196000</x:v>
      </x:c>
      <x:c r="D10" s="54" t="n">
        <x:f>B10-C10</x:f>
        <x:v>7724000</x:v>
      </x:c>
      <x:c r="E10" s="54" t="n">
        <x:f>SUMIFS('تراکنش‌ها'!$H$5:$H$99,'تراکنش‌ها'!$L$5:$L$99,A10,'تراکنش‌ها'!$N$5:$N$99,"نیازمند بررسی")</x:f>
        <x:v>7921723.9</x:v>
      </x:c>
    </x:row>
    <x:row r="11" ht="15" hidden="0" customHeight="1">
      <x:c r="A11" s="53" t="str">
        <x:v>پذیرایی</x:v>
      </x:c>
      <x:c r="B11" s="54" t="n">
        <x:f>SUMIFS('تراکنش‌ها'!$W$5:$W$99,'تراکنش‌ها'!$L$5:$L$99,A11)</x:f>
        <x:v>0</x:v>
      </x:c>
      <x:c r="C11" s="54" t="n">
        <x:f>SUMIFS('تراکنش‌ها'!$X$5:$X$99,'تراکنش‌ها'!$L$5:$L$99,A11)</x:f>
        <x:v>12978125</x:v>
      </x:c>
      <x:c r="D11" s="54" t="n">
        <x:f>B11-C11</x:f>
        <x:v>-12978125</x:v>
      </x:c>
      <x:c r="E11" s="54" t="n">
        <x:f>SUMIFS('تراکنش‌ها'!$H$5:$H$99,'تراکنش‌ها'!$L$5:$L$99,A11,'تراکنش‌ها'!$N$5:$N$99,"نیازمند بررسی")</x:f>
        <x:v>0</x:v>
      </x:c>
    </x:row>
    <x:row r="12" ht="15" hidden="0" customHeight="1">
      <x:c r="A12" s="53" t="str">
        <x:v>وجوه ابتدای دوره</x:v>
      </x:c>
      <x:c r="B12" s="54" t="n">
        <x:f>SUMIFS('تراکنش‌ها'!$W$5:$W$99,'تراکنش‌ها'!$L$5:$L$99,A12)</x:f>
        <x:v>11000000</x:v>
      </x:c>
      <x:c r="C12" s="54" t="n">
        <x:f>SUMIFS('تراکنش‌ها'!$X$5:$X$99,'تراکنش‌ها'!$L$5:$L$99,A12)</x:f>
        <x:v>0</x:v>
      </x:c>
      <x:c r="D12" s="54" t="n">
        <x:f>B12-C12</x:f>
        <x:v>11000000</x:v>
      </x:c>
      <x:c r="E12" s="54" t="n">
        <x:f>SUMIFS('تراکنش‌ها'!$H$5:$H$99,'تراکنش‌ها'!$L$5:$L$99,A12,'تراکنش‌ها'!$N$5:$N$99,"نیازمند بررسی")</x:f>
        <x:v>0</x:v>
      </x:c>
    </x:row>
    <x:row r="13" ht="15" hidden="0" customHeight="1">
      <x:c r="A13" s="53" t="str">
        <x:v>چاپ</x:v>
      </x:c>
      <x:c r="B13" s="54" t="n">
        <x:f>SUMIFS('تراکنش‌ها'!$W$5:$W$99,'تراکنش‌ها'!$L$5:$L$99,A13)</x:f>
        <x:v>0</x:v>
      </x:c>
      <x:c r="C13" s="54" t="n">
        <x:f>SUMIFS('تراکنش‌ها'!$X$5:$X$99,'تراکنش‌ها'!$L$5:$L$99,A13)</x:f>
        <x:v>193600</x:v>
      </x:c>
      <x:c r="D13" s="54" t="n">
        <x:f>B13-C13</x:f>
        <x:v>-193600</x:v>
      </x:c>
      <x:c r="E13" s="54" t="n">
        <x:f>SUMIFS('تراکنش‌ها'!$H$5:$H$99,'تراکنش‌ها'!$L$5:$L$99,A13,'تراکنش‌ها'!$N$5:$N$99,"نیازمند بررسی")</x:f>
        <x:v>13000</x:v>
      </x:c>
    </x:row>
    <x:row r="14" ht="15" hidden="0" customHeight="1">
      <x:c r="A14" s="53" t="str">
        <x:v>ملزومات</x:v>
      </x:c>
      <x:c r="B14" s="54" t="n">
        <x:f>SUMIFS('تراکنش‌ها'!$W$5:$W$99,'تراکنش‌ها'!$L$5:$L$99,A14)</x:f>
        <x:v>0</x:v>
      </x:c>
      <x:c r="C14" s="54" t="n">
        <x:f>SUMIFS('تراکنش‌ها'!$X$5:$X$99,'تراکنش‌ها'!$L$5:$L$99,A14)</x:f>
        <x:v>2246100</x:v>
      </x:c>
      <x:c r="D14" s="54" t="n">
        <x:f>B14-C14</x:f>
        <x:v>-2246100</x:v>
      </x:c>
      <x:c r="E14" s="54" t="n">
        <x:f>SUMIFS('تراکنش‌ها'!$H$5:$H$99,'تراکنش‌ها'!$L$5:$L$99,A14,'تراکنش‌ها'!$N$5:$N$99,"نیازمند بررسی")</x:f>
        <x:v>0</x:v>
      </x:c>
    </x:row>
    <x:row r="15" ht="15" hidden="0" customHeight="1">
      <x:c r="A15" s="53" t="str">
        <x:v>تدریس</x:v>
      </x:c>
      <x:c r="B15" s="54" t="n">
        <x:f>SUMIFS('تراکنش‌ها'!$W$5:$W$99,'تراکنش‌ها'!$L$5:$L$99,A15)</x:f>
        <x:v>0</x:v>
      </x:c>
      <x:c r="C15" s="54" t="n">
        <x:f>SUMIFS('تراکنش‌ها'!$X$5:$X$99,'تراکنش‌ها'!$L$5:$L$99,A15)</x:f>
        <x:v>24000000</x:v>
      </x:c>
      <x:c r="D15" s="54" t="n">
        <x:f>B15-C15</x:f>
        <x:v>-24000000</x:v>
      </x:c>
      <x:c r="E15" s="54" t="n">
        <x:f>SUMIFS('تراکنش‌ها'!$H$5:$H$99,'تراکنش‌ها'!$L$5:$L$99,A15,'تراکنش‌ها'!$N$5:$N$99,"نیازمند بررسی")</x:f>
        <x:v>0</x:v>
      </x:c>
    </x:row>
    <x:row r="16" ht="15" hidden="0" customHeight="1">
      <x:c r="A16" s="53" t="str">
        <x:v>انتقال‌ها</x:v>
      </x:c>
      <x:c r="B16" s="54" t="n">
        <x:f>SUMIFS('تراکنش‌ها'!$W$5:$W$99,'تراکنش‌ها'!$L$5:$L$99,A16)</x:f>
        <x:v>0</x:v>
      </x:c>
      <x:c r="C16" s="54" t="n">
        <x:f>SUMIFS('تراکنش‌ها'!$X$5:$X$99,'تراکنش‌ها'!$L$5:$L$99,A16)</x:f>
        <x:v>0</x:v>
      </x:c>
      <x:c r="D16" s="54" t="n">
        <x:f>B16-C16</x:f>
        <x:v>0</x:v>
      </x:c>
      <x:c r="E16" s="54" t="n">
        <x:f>SUMIFS('تراکنش‌ها'!$H$5:$H$99,'تراکنش‌ها'!$L$5:$L$99,A16,'تراکنش‌ها'!$N$5:$N$99,"نیازمند بررسی")</x:f>
        <x:v>0</x:v>
      </x:c>
    </x:row>
    <x:row r="17" ht="15" hidden="0" customHeight="1">
      <x:c r="A17" s="53" t="str">
        <x:v>طبقه‌بندی‌نشده</x:v>
      </x:c>
      <x:c r="B17" s="54" t="n">
        <x:f>SUMIFS('تراکنش‌ها'!$W$5:$W$99,'تراکنش‌ها'!$L$5:$L$99,A17)</x:f>
        <x:v>0</x:v>
      </x:c>
      <x:c r="C17" s="54" t="n">
        <x:f>SUMIFS('تراکنش‌ها'!$X$5:$X$99,'تراکنش‌ها'!$L$5:$L$99,A17)</x:f>
        <x:v>35525470</x:v>
      </x:c>
      <x:c r="D17" s="54" t="n">
        <x:f>B17-C17</x:f>
        <x:v>-35525470</x:v>
      </x:c>
      <x:c r="E17" s="54" t="n">
        <x:f>SUMIFS('تراکنش‌ها'!$H$5:$H$99,'تراکنش‌ها'!$L$5:$L$99,A17,'تراکنش‌ها'!$N$5:$N$99,"نیازمند بررسی")</x:f>
        <x:v>300000</x:v>
      </x:c>
    </x:row>
  </x:sheetData>
  <x:mergeCells>
    <x:mergeCell ref="A2:E2"/>
  </x:mergeCells>
  <x:pageMargins left="0.7" right="0.7" top="0.75" bottom="0.75" header="0.3" footer="0.3"/>
  <x:tableParts count="1">
    <x:tablePart xmlns:r="http://schemas.openxmlformats.org/officeDocument/2006/relationships" r:id="Rbc6cdafe9e904d45"/>
  </x:tableParts>
</x:worksheet>
</file>

<file path=xl/worksheets/sheet5.xml><?xml version="1.0" encoding="utf-8"?>
<x:worksheet xmlns:x="http://schemas.openxmlformats.org/spreadsheetml/2006/main">
  <x:sheetPr>
    <x:tabColor rgb="FFEDF2F7"/>
  </x:sheetPr>
  <x:sheetViews>
    <x:sheetView showGridLines="0" workbookViewId="0"/>
  </x:sheetViews>
  <x:sheetFormatPr defaultRowHeight="15"/>
  <x:cols>
    <x:col min="1" max="1" width="20" hidden="0" customWidth="1"/>
    <x:col min="2" max="2" width="38" hidden="0" customWidth="1"/>
    <x:col min="3" max="3" width="42" hidden="0" customWidth="1"/>
    <x:col min="4" max="4" width="43" hidden="0" customWidth="1"/>
    <x:col min="5" max="5" width="18" hidden="0" customWidth="1"/>
    <x:col min="6" max="6" width="18" hidden="0" customWidth="1"/>
    <x:col min="7" max="7" width="25" hidden="0" customWidth="1"/>
    <x:col min="8" max="8" width="24" hidden="0" customWidth="1"/>
    <x:col min="9" max="9" width="100" hidden="0" customWidth="1"/>
    <x:col min="10" max="10" width="85" hidden="0" customWidth="1"/>
    <x:col min="11" max="11" width="100" hidden="0" customWidth="1"/>
  </x:cols>
  <x:sheetData>
    <x:row r="1" ht="15" hidden="0" customHeight="1">
      <x:c r="A1" s="51"/>
      <x:c r="B1" s="51"/>
      <x:c r="C1" s="51"/>
      <x:c r="D1" s="51"/>
      <x:c r="E1" s="51"/>
      <x:c r="F1" s="51"/>
      <x:c r="G1" s="51"/>
      <x:c r="H1" s="51"/>
      <x:c r="I1" s="51"/>
      <x:c r="J1" s="51"/>
      <x:c r="K1" s="51"/>
    </x:row>
    <x:row r="2" ht="16.799999237060547" hidden="0" customHeight="1">
      <x:c r="A2" s="52" t="str">
        <x:v>پرداخت‌های حق‌التدریس مدرسه تابستانه ۱۴۰۵ | پنج مورد از شش مورد شناسایی شده است</x:v>
      </x:c>
      <x:c r="B2" s="51"/>
      <x:c r="C2" s="51"/>
      <x:c r="D2" s="51"/>
      <x:c r="E2" s="51"/>
      <x:c r="F2" s="51"/>
      <x:c r="G2" s="51"/>
      <x:c r="H2" s="51"/>
      <x:c r="I2" s="51"/>
      <x:c r="J2" s="51"/>
      <x:c r="K2" s="51"/>
    </x:row>
    <x:row r="3" ht="15" hidden="0" customHeight="1">
      <x:c r="A3" s="51"/>
      <x:c r="B3" s="51"/>
      <x:c r="C3" s="51"/>
      <x:c r="D3" s="51"/>
      <x:c r="E3" s="51"/>
      <x:c r="F3" s="51"/>
      <x:c r="G3" s="51"/>
      <x:c r="H3" s="51"/>
      <x:c r="I3" s="51"/>
      <x:c r="J3" s="51"/>
      <x:c r="K3" s="51"/>
    </x:row>
    <x:row r="4" ht="24" hidden="0" customHeight="1">
      <x:c r="A4" s="39" t="str">
        <x:v>شناسهٔ تراکنش</x:v>
      </x:c>
      <x:c r="B4" s="39" t="str">
        <x:v>ذی‌نفع مدرس</x:v>
      </x:c>
      <x:c r="C4" s="39" t="str">
        <x:v>دریافت‌کننده وجه در حساب بانکی</x:v>
      </x:c>
      <x:c r="D4" s="39" t="str">
        <x:v>درس</x:v>
      </x:c>
      <x:c r="E4" s="39" t="str">
        <x:v>تاریخ جلالی</x:v>
      </x:c>
      <x:c r="F4" s="39" t="str">
        <x:v>تاریخ میلادی</x:v>
      </x:c>
      <x:c r="G4" s="39" t="str">
        <x:v>مبلغ (تومان)</x:v>
      </x:c>
      <x:c r="H4" s="39" t="str">
        <x:v>کارت ارائه‌شده توسط کاربر با چهار رقم پایانی (چاپ‌نشده)</x:v>
      </x:c>
      <x:c r="I4" s="39" t="str">
        <x:v>مبنای تطبیق</x:v>
      </x:c>
      <x:c r="J4" s="39" t="str">
        <x:v>مبنای تسویه</x:v>
      </x:c>
      <x:c r="K4" s="39" t="str">
        <x:v>ارجاع منبع</x:v>
      </x:c>
    </x:row>
    <x:row r="5" ht="24" hidden="0" customHeight="1">
      <x:c r="A5" s="53" t="str">
        <x:v>TX0083</x:v>
      </x:c>
      <x:c r="B5" s="53" t="str">
        <x:v>زهرا صالح کوشالی</x:v>
      </x:c>
      <x:c r="C5" s="53" t="str">
        <x:v>زهرا صالح کوشالی</x:v>
      </x:c>
      <x:c r="D5" s="53" t="str">
        <x:v>دوره مشخص نشده</x:v>
      </x:c>
      <x:c r="E5" s="53" t="str">
        <x:v>1405/06/30</x:v>
      </x:c>
      <x:c r="F5" s="53" t="str">
        <x:v>2026-09-21</x:v>
      </x:c>
      <x:c r="G5" s="54" t="n">
        <x:v>600000</x:v>
      </x:c>
      <x:c r="H5" s="53" t="str">
        <x:v>6104</x:v>
      </x:c>
      <x:c r="I5" s="53" t="str">
        <x:v>نام گیرندهٔ نرمال‌شده دقیقاً مطابقت دارد؛ منبع شبا/پل است و انتقال کارت‌به‌کارت نیست.</x:v>
      </x:c>
      <x:c r="J5" s="53" t="str">
        <x:v>تأییدیه کاربر؛ اعلان موقت اولیه حفظ شده است</x:v>
      </x:c>
      <x:c r="K5" s="53" t="str">
        <x:v>recipts/photo_1_2026-10-10_11-09-04.jpg
reports/2026-10-10/user_confirmation_2026-10-10.json</x:v>
      </x:c>
    </x:row>
    <x:row r="6" ht="24" hidden="0" customHeight="1">
      <x:c r="A6" s="53" t="str">
        <x:v>TX0084</x:v>
      </x:c>
      <x:c r="B6" s="53" t="str">
        <x:v>رضا فرهادی</x:v>
      </x:c>
      <x:c r="C6" s="53" t="str">
        <x:v>رضا فرهادی</x:v>
      </x:c>
      <x:c r="D6" s="53" t="str">
        <x:v>دوره مشخص نشده</x:v>
      </x:c>
      <x:c r="E6" s="53" t="str">
        <x:v>1405/06/30</x:v>
      </x:c>
      <x:c r="F6" s="53" t="str">
        <x:v>2026-09-21</x:v>
      </x:c>
      <x:c r="G6" s="54" t="n">
        <x:v>1200000</x:v>
      </x:c>
      <x:c r="H6" s="53" t="str">
        <x:v>2692</x:v>
      </x:c>
      <x:c r="I6" s="53" t="str">
        <x:v>نام گیرندهٔ نرمال‌شده دقیقاً مطابقت دارد؛ منبع انتقال شبا/پل است.</x:v>
      </x:c>
      <x:c r="J6" s="53" t="str">
        <x:v>تأییدیه کاربر؛ اعلان موقت اولیه حفظ شده است</x:v>
      </x:c>
      <x:c r="K6" s="53" t="str">
        <x:v>recipts/photo_2_2026-10-10_11-09-04.jpg
reports/2026-10-10/user_confirmation_2026-10-10.json</x:v>
      </x:c>
    </x:row>
    <x:row r="7" ht="24" hidden="0" customHeight="1">
      <x:c r="A7" s="53" t="str">
        <x:v>TX0085</x:v>
      </x:c>
      <x:c r="B7" s="53" t="str">
        <x:v>ابوالفضل احمدی</x:v>
      </x:c>
      <x:c r="C7" s="53" t="str">
        <x:v>علیرضا کچویی محقق یعقوبی</x:v>
      </x:c>
      <x:c r="D7" s="53" t="str">
        <x:v>لاتک و رابط برنامه‌نویسی</x:v>
      </x:c>
      <x:c r="E7" s="53" t="str">
        <x:v>1405/06/30</x:v>
      </x:c>
      <x:c r="F7" s="53" t="str">
        <x:v>2026-09-21</x:v>
      </x:c>
      <x:c r="G7" s="54" t="n">
        <x:v>2400000</x:v>
      </x:c>
      <x:c r="H7" s="53" t="str"/>
      <x:c r="I7" s="53" t="str">
        <x:v>تأیید صریح کاربر مبنی بر اینکه پرداخت به علیرضا حق‌التدریس ابوالفضل بوده است.</x:v>
      </x:c>
      <x:c r="J7" s="53" t="str">
        <x:v>رسید و تأیید کاربر</x:v>
      </x:c>
      <x:c r="K7" s="53" t="str">
        <x:v>recipts/photo_3_2026-10-10_11-09-04.jpg
reports/2026-10-10/user_confirmation_2026-10-10.json</x:v>
      </x:c>
    </x:row>
    <x:row r="8" ht="24" hidden="0" customHeight="1">
      <x:c r="A8" s="53" t="str">
        <x:v>TX0086</x:v>
      </x:c>
      <x:c r="B8" s="53" t="str">
        <x:v>بهاره خویش خواه</x:v>
      </x:c>
      <x:c r="C8" s="53" t="str">
        <x:v>بهاره خویش‌خواه</x:v>
      </x:c>
      <x:c r="D8" s="53" t="str">
        <x:v>شبیه‌سازی فیزیکی با پایتون</x:v>
      </x:c>
      <x:c r="E8" s="53" t="str">
        <x:v>1405/07/01</x:v>
      </x:c>
      <x:c r="F8" s="53" t="str">
        <x:v>2026-09-23</x:v>
      </x:c>
      <x:c r="G8" s="54" t="n">
        <x:v>4700000</x:v>
      </x:c>
      <x:c r="H8" s="53" t="str">
        <x:v>5740</x:v>
      </x:c>
      <x:c r="I8" s="53" t="str">
        <x:v>نام گیرندهٔ نرمال‌شده و مبلغ اعلام‌شده دقیقاً مطابقت دارند. رسید مربوط به انتقال شبا/پایا است، بنابراین کارت ارائه‌شده اطلاعات تماس تأییدکننده است و تطابق دقیق کارت روی سند محسوب نمی‌شود.</x:v>
      </x:c>
      <x:c r="J8" s="53" t="str">
        <x:v>رسید و تأیید کاربر</x:v>
      </x:c>
      <x:c r="K8" s="53" t="str">
        <x:v>recipts/photo_7_2026-10-10_11-09-04.jpg
reports/2026-10-10/user_confirmation_2026-10-10.json</x:v>
      </x:c>
    </x:row>
    <x:row r="9" ht="24" hidden="0" customHeight="1">
      <x:c r="A9" s="53" t="str">
        <x:v>TX0087</x:v>
      </x:c>
      <x:c r="B9" s="53" t="str">
        <x:v>ایلیا اصغریان دهکردی</x:v>
      </x:c>
      <x:c r="C9" s="53" t="str">
        <x:v>ایلیا اصغریان دهکردی</x:v>
      </x:c>
      <x:c r="D9" s="53" t="str">
        <x:v>دوره مشخص نشده</x:v>
      </x:c>
      <x:c r="E9" s="53" t="str">
        <x:v>1405/07/01</x:v>
      </x:c>
      <x:c r="F9" s="53" t="str">
        <x:v>2026-09-23</x:v>
      </x:c>
      <x:c r="G9" s="54" t="n">
        <x:v>2600000</x:v>
      </x:c>
      <x:c r="H9" s="53" t="str">
        <x:v>6676</x:v>
      </x:c>
      <x:c r="I9" s="53" t="str">
        <x:v>نام گیرندهٔ نرمال‌شده دقیقاً مطابقت دارد؛ انتقال بلو به بلو به شبا. کارت را کاربر ارائه کرده و روی رسید چاپ نشده است.</x:v>
      </x:c>
      <x:c r="J9" s="53" t="str">
        <x:v>رسید و تأیید کاربر</x:v>
      </x:c>
      <x:c r="K9" s="53" t="str">
        <x:v>recipts/photo_8_2026-10-10_11-09-04.jpg
reports/2026-10-10/user_confirmation_2026-10-10.json</x:v>
      </x:c>
    </x:row>
    <x:row r="10" ht="15" hidden="0" customHeight="1">
      <x:c r="A10" s="49"/>
      <x:c r="B10" s="49"/>
      <x:c r="C10" s="49"/>
      <x:c r="D10" s="49"/>
      <x:c r="E10" s="49"/>
      <x:c r="F10" s="49"/>
      <x:c r="G10" s="49"/>
      <x:c r="H10" s="49"/>
      <x:c r="I10" s="49"/>
      <x:c r="J10" s="49"/>
      <x:c r="K10" s="49"/>
    </x:row>
    <x:row r="11" ht="15" hidden="0" customHeight="1">
      <x:c r="A11" s="49"/>
      <x:c r="B11" s="49"/>
      <x:c r="C11" s="49"/>
      <x:c r="D11" s="49"/>
      <x:c r="E11" s="49"/>
      <x:c r="F11" s="49"/>
      <x:c r="G11" s="49"/>
      <x:c r="H11" s="49"/>
      <x:c r="I11" s="49"/>
      <x:c r="J11" s="49"/>
      <x:c r="K11" s="49"/>
    </x:row>
    <x:row r="12" ht="15" hidden="0" customHeight="1">
      <x:c r="A12" s="60" t="str">
        <x:v>پرداخت ششم مدرس: هنوز شناسایی نشده؛ پرداخت‌های پوشه که قبلاً ثبت شده‌اند نباید تکراری ثبت شوند.</x:v>
      </x:c>
      <x:c r="B12" s="60"/>
      <x:c r="C12" s="60"/>
      <x:c r="D12" s="60"/>
      <x:c r="E12" s="60"/>
      <x:c r="F12" s="60"/>
      <x:c r="G12" s="49"/>
      <x:c r="H12" s="49"/>
      <x:c r="I12" s="49"/>
      <x:c r="J12" s="49"/>
      <x:c r="K12" s="49"/>
    </x:row>
    <x:row r="13" ht="15" hidden="0" customHeight="1">
      <x:c r="A13" s="60"/>
      <x:c r="B13" s="60"/>
      <x:c r="C13" s="60"/>
      <x:c r="D13" s="60"/>
      <x:c r="E13" s="60"/>
      <x:c r="F13" s="60"/>
      <x:c r="G13" s="49"/>
      <x:c r="H13" s="49"/>
      <x:c r="I13" s="49"/>
      <x:c r="J13" s="49"/>
      <x:c r="K13" s="49"/>
    </x:row>
    <x:row r="14" ht="15" hidden="0" customHeight="1">
      <x:c r="A14" s="60"/>
      <x:c r="B14" s="60"/>
      <x:c r="C14" s="60"/>
      <x:c r="D14" s="60"/>
      <x:c r="E14" s="60"/>
      <x:c r="F14" s="60"/>
      <x:c r="G14" s="49"/>
      <x:c r="H14" s="49"/>
      <x:c r="I14" s="49"/>
      <x:c r="J14" s="49"/>
      <x:c r="K14" s="49"/>
    </x:row>
  </x:sheetData>
  <x:mergeCells>
    <x:mergeCell ref="A2:F2"/>
    <x:mergeCell ref="A12:F14"/>
  </x:mergeCells>
  <x:pageMargins left="0.7" right="0.7" top="0.75" bottom="0.75" header="0.3" footer="0.3"/>
  <x:tableParts count="1">
    <x:tablePart xmlns:r="http://schemas.openxmlformats.org/officeDocument/2006/relationships" r:id="R84fcd64f25e84e75"/>
  </x:tableParts>
</x:worksheet>
</file>

<file path=xl/worksheets/sheet6.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24" hidden="0" customWidth="1"/>
    <x:col min="2" max="2" width="14" hidden="0" customWidth="1"/>
    <x:col min="3" max="3" width="24" hidden="0" customWidth="1"/>
    <x:col min="4" max="4" width="30" hidden="0" customWidth="1"/>
    <x:col min="5" max="5" width="22" hidden="0" customWidth="1"/>
    <x:col min="6" max="6" width="110" hidden="0" customWidth="1"/>
  </x:cols>
  <x:sheetData>
    <x:row r="1" ht="15" hidden="0" customHeight="1">
      <x:c r="A1" s="51"/>
      <x:c r="B1" s="51"/>
      <x:c r="C1" s="51"/>
      <x:c r="D1" s="51"/>
      <x:c r="E1" s="51"/>
      <x:c r="F1" s="51"/>
    </x:row>
    <x:row r="2" ht="16.799999237060547" hidden="0" customHeight="1">
      <x:c r="A2" s="52" t="str">
        <x:v>ردیف‌های دفتر کل اصلی تطبیق‌داده‌شده با مستندات</x:v>
      </x:c>
      <x:c r="B2" s="51"/>
      <x:c r="C2" s="51"/>
      <x:c r="D2" s="51"/>
      <x:c r="E2" s="51"/>
      <x:c r="F2" s="51"/>
    </x:row>
    <x:row r="3" ht="15" hidden="0" customHeight="1">
      <x:c r="A3" s="51"/>
      <x:c r="B3" s="51"/>
      <x:c r="C3" s="51"/>
      <x:c r="D3" s="51"/>
      <x:c r="E3" s="51"/>
      <x:c r="F3" s="51"/>
    </x:row>
    <x:row r="4" ht="15" hidden="0" customHeight="1">
      <x:c r="A4" s="39" t="str">
        <x:v>برگه</x:v>
      </x:c>
      <x:c r="B4" s="39" t="str">
        <x:v>سلول</x:v>
      </x:c>
      <x:c r="C4" s="39" t="str">
        <x:v>اصلی (تومان)</x:v>
      </x:c>
      <x:c r="D4" s="39" t="str">
        <x:v>شناسه‌های تراکنش</x:v>
      </x:c>
      <x:c r="E4" s="39" t="str">
        <x:v>وضعیت نهایی</x:v>
      </x:c>
      <x:c r="F4" s="39" t="str">
        <x:v>توضیح</x:v>
      </x:c>
    </x:row>
    <x:row r="5" ht="15" hidden="0" customHeight="1">
      <x:c r="A5" s="53" t="str">
        <x:v>مجموع</x:v>
      </x:c>
      <x:c r="B5" s="53" t="str">
        <x:v>B3</x:v>
      </x:c>
      <x:c r="C5" s="54" t="n">
        <x:v>33642000</x:v>
      </x:c>
      <x:c r="D5" s="53" t="str">
        <x:v>TX0001</x:v>
      </x:c>
      <x:c r="E5" s="53" t="str">
        <x:v>حفظ‌شده</x:v>
      </x:c>
      <x:c r="F5" s="53" t="str">
        <x:v>مستخرج از دفتر کل. گزارش‌های دوره تا حدود ۱٬۰۰۰ مؤید آن هستند.</x:v>
      </x:c>
    </x:row>
    <x:row r="6" ht="15" hidden="0" customHeight="1">
      <x:c r="A6" s="53" t="str">
        <x:v>مجموع</x:v>
      </x:c>
      <x:c r="B6" s="53" t="str">
        <x:v>D2</x:v>
      </x:c>
      <x:c r="C6" s="54" t="n">
        <x:v>3500000</x:v>
      </x:c>
      <x:c r="D6" s="53" t="str">
        <x:v>TX0003</x:v>
      </x:c>
      <x:c r="E6" s="53" t="str">
        <x:v>حفظ‌شده</x:v>
      </x:c>
      <x:c r="F6" s="53" t="str">
        <x:v>رسید.</x:v>
      </x:c>
    </x:row>
    <x:row r="7" ht="15" hidden="0" customHeight="1">
      <x:c r="A7" s="53" t="str">
        <x:v>مجموع</x:v>
      </x:c>
      <x:c r="B7" s="53" t="str">
        <x:v>D3</x:v>
      </x:c>
      <x:c r="C7" s="54" t="n">
        <x:v>3000000</x:v>
      </x:c>
      <x:c r="D7" s="53" t="str">
        <x:v>TX0002</x:v>
      </x:c>
      <x:c r="E7" s="53" t="str">
        <x:v>حفظ‌شده</x:v>
      </x:c>
      <x:c r="F7" s="53" t="str">
        <x:v>رسید.</x:v>
      </x:c>
    </x:row>
    <x:row r="8" ht="15" hidden="0" customHeight="1">
      <x:c r="A8" s="53" t="str">
        <x:v>مجموع</x:v>
      </x:c>
      <x:c r="B8" s="53" t="str">
        <x:v>D4</x:v>
      </x:c>
      <x:c r="C8" s="54" t="n">
        <x:v>3700000</x:v>
      </x:c>
      <x:c r="D8" s="53" t="str">
        <x:v>TX0004</x:v>
      </x:c>
      <x:c r="E8" s="53" t="str">
        <x:v>حفظ‌شده</x:v>
      </x:c>
      <x:c r="F8" s="53" t="str">
        <x:v>رسید و پیامک.</x:v>
      </x:c>
    </x:row>
    <x:row r="9" ht="15" hidden="0" customHeight="1">
      <x:c r="A9" s="53" t="str">
        <x:v>مجموع</x:v>
      </x:c>
      <x:c r="B9" s="53" t="str">
        <x:v>D5</x:v>
      </x:c>
      <x:c r="C9" s="54" t="n">
        <x:v>500000</x:v>
      </x:c>
      <x:c r="D9" s="53" t="str">
        <x:v>TX0005</x:v>
      </x:c>
      <x:c r="E9" s="53" t="str">
        <x:v>حفظ‌شده</x:v>
      </x:c>
      <x:c r="F9" s="53" t="str">
        <x:v>رسید.</x:v>
      </x:c>
    </x:row>
    <x:row r="10" ht="15" hidden="0" customHeight="1">
      <x:c r="A10" s="53" t="str">
        <x:v>مجموع</x:v>
      </x:c>
      <x:c r="B10" s="53" t="str">
        <x:v>D6</x:v>
      </x:c>
      <x:c r="C10" s="54" t="n">
        <x:v>600000</x:v>
      </x:c>
      <x:c r="D10" s="53" t="str">
        <x:v>TX0006</x:v>
      </x:c>
      <x:c r="E10" s="53" t="str">
        <x:v>حفظ‌شده</x:v>
      </x:c>
      <x:c r="F10" s="53" t="str">
        <x:v>رسید.</x:v>
      </x:c>
    </x:row>
    <x:row r="11" ht="15" hidden="0" customHeight="1">
      <x:c r="A11" s="53" t="str">
        <x:v>مجموع</x:v>
      </x:c>
      <x:c r="B11" s="53" t="str">
        <x:v>D7</x:v>
      </x:c>
      <x:c r="C11" s="54" t="n">
        <x:v>600000</x:v>
      </x:c>
      <x:c r="D11" s="53" t="str">
        <x:v>TX0007, TX0008</x:v>
      </x:c>
      <x:c r="E11" s="53" t="str">
        <x:v>اصلاح‌شده</x:v>
      </x:c>
      <x:c r="F11" s="53" t="str">
        <x:v>به‌علاوه کارمزد جداگانه ۹۰۰ تومان.</x:v>
      </x:c>
    </x:row>
    <x:row r="12" ht="15" hidden="0" customHeight="1">
      <x:c r="A12" s="53" t="str">
        <x:v>مجموع</x:v>
      </x:c>
      <x:c r="B12" s="53" t="str">
        <x:v>D8</x:v>
      </x:c>
      <x:c r="C12" s="54" t="n">
        <x:v>300000</x:v>
      </x:c>
      <x:c r="D12" s="53" t="str">
        <x:v>TX0011</x:v>
      </x:c>
      <x:c r="E12" s="53" t="str">
        <x:v>حفظ‌شده</x:v>
      </x:c>
      <x:c r="F12" s="53" t="str">
        <x:v>رسید.</x:v>
      </x:c>
    </x:row>
    <x:row r="13" ht="15" hidden="0" customHeight="1">
      <x:c r="A13" s="53" t="str">
        <x:v>مجموع</x:v>
      </x:c>
      <x:c r="B13" s="53" t="str">
        <x:v>D9</x:v>
      </x:c>
      <x:c r="C13" s="54" t="n">
        <x:v>400000</x:v>
      </x:c>
      <x:c r="D13" s="53" t="str">
        <x:v>TX0009</x:v>
      </x:c>
      <x:c r="E13" s="53" t="str">
        <x:v>حفظ‌شده</x:v>
      </x:c>
      <x:c r="F13" s="53" t="str">
        <x:v>رسید.</x:v>
      </x:c>
    </x:row>
    <x:row r="14" ht="15" hidden="0" customHeight="1">
      <x:c r="A14" s="53" t="str">
        <x:v>مجموع</x:v>
      </x:c>
      <x:c r="B14" s="53" t="str">
        <x:v>D10</x:v>
      </x:c>
      <x:c r="C14" s="54" t="n">
        <x:v>300000</x:v>
      </x:c>
      <x:c r="D14" s="53" t="str">
        <x:v>TX0012</x:v>
      </x:c>
      <x:c r="E14" s="53" t="str">
        <x:v>حفظ‌شده</x:v>
      </x:c>
      <x:c r="F14" s="53" t="str">
        <x:v>رسید.</x:v>
      </x:c>
    </x:row>
    <x:row r="15" ht="15" hidden="0" customHeight="1">
      <x:c r="A15" s="53" t="str">
        <x:v>مجموع</x:v>
      </x:c>
      <x:c r="B15" s="53" t="str">
        <x:v>D11</x:v>
      </x:c>
      <x:c r="C15" s="54" t="n">
        <x:v>750000</x:v>
      </x:c>
      <x:c r="D15" s="53" t="str">
        <x:v>TX0013</x:v>
      </x:c>
      <x:c r="E15" s="53" t="str">
        <x:v>حفظ‌شده</x:v>
      </x:c>
      <x:c r="F15" s="53" t="str">
        <x:v>صرفاً مستخرج از دفتر کل.</x:v>
      </x:c>
    </x:row>
    <x:row r="16" ht="15" hidden="0" customHeight="1">
      <x:c r="A16" s="53" t="str">
        <x:v>مجموع</x:v>
      </x:c>
      <x:c r="B16" s="53" t="str">
        <x:v>D12</x:v>
      </x:c>
      <x:c r="C16" s="54" t="n">
        <x:v>400000</x:v>
      </x:c>
      <x:c r="D16" s="53" t="str">
        <x:v>TX0010</x:v>
      </x:c>
      <x:c r="E16" s="53" t="str">
        <x:v>نیازمند بررسی</x:v>
      </x:c>
      <x:c r="F16" s="53" t="str">
        <x:v>احتمالاً تکراری D9.</x:v>
      </x:c>
    </x:row>
    <x:row r="17" ht="15" hidden="0" customHeight="1">
      <x:c r="A17" s="53" t="str">
        <x:v>مجموع</x:v>
      </x:c>
      <x:c r="B17" s="53" t="str">
        <x:v>B15</x:v>
      </x:c>
      <x:c r="C17" s="54" t="n">
        <x:v>4920000</x:v>
      </x:c>
      <x:c r="D17" s="53" t="str">
        <x:v>TX0014</x:v>
      </x:c>
      <x:c r="E17" s="53" t="str">
        <x:v>حفظ‌شده</x:v>
      </x:c>
      <x:c r="F17" s="53" t="str">
        <x:v>ناخالص. انتقال خالص (TX0018) انتقال داخلی است.</x:v>
      </x:c>
    </x:row>
    <x:row r="18" ht="15" hidden="0" customHeight="1">
      <x:c r="A18" s="53" t="str">
        <x:v>مجموع</x:v>
      </x:c>
      <x:c r="B18" s="53" t="str">
        <x:v>D15</x:v>
      </x:c>
      <x:c r="C18" s="54" t="n">
        <x:v>100000</x:v>
      </x:c>
      <x:c r="D18" s="53" t="str">
        <x:v>TX0015</x:v>
      </x:c>
      <x:c r="E18" s="53" t="str">
        <x:v>حفظ‌شده</x:v>
      </x:c>
      <x:c r="F18" s="53" t="str">
        <x:v>رسید.</x:v>
      </x:c>
    </x:row>
    <x:row r="19" ht="15" hidden="0" customHeight="1">
      <x:c r="A19" s="53" t="str">
        <x:v>مجموع</x:v>
      </x:c>
      <x:c r="B19" s="53" t="str">
        <x:v>D16</x:v>
      </x:c>
      <x:c r="C19" s="54" t="n">
        <x:v>2866000</x:v>
      </x:c>
      <x:c r="D19" s="53" t="str">
        <x:v>TX0016</x:v>
      </x:c>
      <x:c r="E19" s="53" t="str">
        <x:v>حفظ‌شده</x:v>
      </x:c>
      <x:c r="F19" s="53" t="str">
        <x:v>مستخرج از دفتر کل.</x:v>
      </x:c>
    </x:row>
    <x:row r="20" ht="15" hidden="0" customHeight="1">
      <x:c r="A20" s="53" t="str">
        <x:v>مجموع</x:v>
      </x:c>
      <x:c r="B20" s="53" t="str">
        <x:v>D17</x:v>
      </x:c>
      <x:c r="C20" s="54" t="n">
        <x:v>189000</x:v>
      </x:c>
      <x:c r="D20" s="53" t="str">
        <x:v>TX0017</x:v>
      </x:c>
      <x:c r="E20" s="53" t="str">
        <x:v>حفظ‌شده</x:v>
      </x:c>
      <x:c r="F20" s="53" t="str">
        <x:v>مستخرج از دفتر کل.</x:v>
      </x:c>
    </x:row>
    <x:row r="21" ht="15" hidden="0" customHeight="1">
      <x:c r="A21" s="53" t="str">
        <x:v>مجموع</x:v>
      </x:c>
      <x:c r="B21" s="53" t="str">
        <x:v>B19</x:v>
      </x:c>
      <x:c r="C21" s="54" t="n">
        <x:v>500000</x:v>
      </x:c>
      <x:c r="D21" s="53" t="str">
        <x:v>TX0019</x:v>
      </x:c>
      <x:c r="E21" s="53" t="str">
        <x:v>حفظ‌شده</x:v>
      </x:c>
      <x:c r="F21" s="53" t="str">
        <x:v>رسید.</x:v>
      </x:c>
    </x:row>
    <x:row r="22" ht="15" hidden="0" customHeight="1">
      <x:c r="A22" s="53" t="str">
        <x:v>مجموع</x:v>
      </x:c>
      <x:c r="B22" s="53" t="str">
        <x:v>D19</x:v>
      </x:c>
      <x:c r="C22" s="54" t="n">
        <x:v>90000</x:v>
      </x:c>
      <x:c r="D22" s="53" t="str">
        <x:v>TX0020</x:v>
      </x:c>
      <x:c r="E22" s="53" t="str">
        <x:v>حفظ‌شده</x:v>
      </x:c>
      <x:c r="F22" s="53" t="str">
        <x:v>رسید.</x:v>
      </x:c>
    </x:row>
    <x:row r="23" ht="15" hidden="0" customHeight="1">
      <x:c r="A23" s="53" t="str">
        <x:v>مجموع</x:v>
      </x:c>
      <x:c r="B23" s="53" t="str">
        <x:v>D20</x:v>
      </x:c>
      <x:c r="C23" s="54" t="n">
        <x:v>1052375</x:v>
      </x:c>
      <x:c r="D23" s="53" t="str">
        <x:v>TX0024</x:v>
      </x:c>
      <x:c r="E23" s="53" t="str">
        <x:v>حفظ‌شده</x:v>
      </x:c>
      <x:c r="F23" s="53" t="str">
        <x:v>رسید.</x:v>
      </x:c>
    </x:row>
    <x:row r="24" ht="15" hidden="0" customHeight="1">
      <x:c r="A24" s="53" t="str">
        <x:v>مجموع</x:v>
      </x:c>
      <x:c r="B24" s="53" t="str">
        <x:v>D21</x:v>
      </x:c>
      <x:c r="C24" s="54" t="n">
        <x:v>790000</x:v>
      </x:c>
      <x:c r="D24" s="53" t="str">
        <x:v>TX0021</x:v>
      </x:c>
      <x:c r="E24" s="53" t="str">
        <x:v>حفظ‌شده</x:v>
      </x:c>
      <x:c r="F24" s="53" t="str">
        <x:v>رسید.</x:v>
      </x:c>
    </x:row>
    <x:row r="25" ht="15" hidden="0" customHeight="1">
      <x:c r="A25" s="53" t="str">
        <x:v>مجموع</x:v>
      </x:c>
      <x:c r="B25" s="53" t="str">
        <x:v>D22</x:v>
      </x:c>
      <x:c r="C25" s="54" t="n">
        <x:v>912850</x:v>
      </x:c>
      <x:c r="D25" s="53" t="str">
        <x:v>TX0023</x:v>
      </x:c>
      <x:c r="E25" s="53" t="str">
        <x:v>حفظ‌شده</x:v>
      </x:c>
      <x:c r="F25" s="53" t="str">
        <x:v>رسید.</x:v>
      </x:c>
    </x:row>
    <x:row r="26" ht="15" hidden="0" customHeight="1">
      <x:c r="A26" s="53" t="str">
        <x:v>مجموع</x:v>
      </x:c>
      <x:c r="B26" s="53" t="str">
        <x:v>D23</x:v>
      </x:c>
      <x:c r="C26" s="54" t="n">
        <x:v>1052375</x:v>
      </x:c>
      <x:c r="D26" s="53" t="str">
        <x:v>TX0025</x:v>
      </x:c>
      <x:c r="E26" s="53" t="str">
        <x:v>تکراری</x:v>
      </x:c>
      <x:c r="F26" s="53" t="str">
        <x:v>همان شیرینی D20.</x:v>
      </x:c>
    </x:row>
    <x:row r="27" ht="15" hidden="0" customHeight="1">
      <x:c r="A27" s="53" t="str">
        <x:v>مجموع</x:v>
      </x:c>
      <x:c r="B27" s="53" t="str">
        <x:v>B25</x:v>
      </x:c>
      <x:c r="C27" s="54" t="n">
        <x:v>11000000</x:v>
      </x:c>
      <x:c r="D27" s="53" t="str">
        <x:v>TX0026, TX0027</x:v>
      </x:c>
      <x:c r="E27" s="53" t="str">
        <x:v>بازطبقه‌بندی‌شده</x:v>
      </x:c>
      <x:c r="F27" s="53" t="str">
        <x:v>به 10 میلیون + 1 میلیون تقسیم شده است. وجوه اولیه، نه درآمد.</x:v>
      </x:c>
    </x:row>
    <x:row r="28" ht="15" hidden="0" customHeight="1">
      <x:c r="A28" s="53" t="str">
        <x:v>مجموع</x:v>
      </x:c>
      <x:c r="B28" s="53" t="str">
        <x:v>D25</x:v>
      </x:c>
      <x:c r="C28" s="54" t="n">
        <x:v>725000</x:v>
      </x:c>
      <x:c r="D28" s="53" t="str">
        <x:v>TX0032</x:v>
      </x:c>
      <x:c r="E28" s="53" t="str">
        <x:v>حفظ‌شده</x:v>
      </x:c>
      <x:c r="F28" s="53" t="str">
        <x:v>رسید و فاکتور.</x:v>
      </x:c>
    </x:row>
    <x:row r="29" ht="15" hidden="0" customHeight="1">
      <x:c r="A29" s="53" t="str">
        <x:v>مجموع</x:v>
      </x:c>
      <x:c r="B29" s="53" t="str">
        <x:v>D26</x:v>
      </x:c>
      <x:c r="C29" s="54" t="n">
        <x:v>120000</x:v>
      </x:c>
      <x:c r="D29" s="53" t="str">
        <x:v>TX0037</x:v>
      </x:c>
      <x:c r="E29" s="53" t="str">
        <x:v>حفظ‌شده</x:v>
      </x:c>
      <x:c r="F29" s="53" t="str">
        <x:v>رسید.</x:v>
      </x:c>
    </x:row>
    <x:row r="30" ht="15" hidden="0" customHeight="1">
      <x:c r="A30" s="53" t="str">
        <x:v>مجموع</x:v>
      </x:c>
      <x:c r="B30" s="53" t="str">
        <x:v>D27</x:v>
      </x:c>
      <x:c r="C30" s="54" t="n">
        <x:v>1310000</x:v>
      </x:c>
      <x:c r="D30" s="53" t="str">
        <x:v>TX0038</x:v>
      </x:c>
      <x:c r="E30" s="53" t="str">
        <x:v>حفظ‌شده</x:v>
      </x:c>
      <x:c r="F30" s="53" t="str">
        <x:v>رسید.</x:v>
      </x:c>
    </x:row>
    <x:row r="31" ht="15" hidden="0" customHeight="1">
      <x:c r="A31" s="53" t="str">
        <x:v>مجموع</x:v>
      </x:c>
      <x:c r="B31" s="53" t="str">
        <x:v>D28</x:v>
      </x:c>
      <x:c r="C31" s="54" t="n">
        <x:v>4344000</x:v>
      </x:c>
      <x:c r="D31" s="53" t="str">
        <x:v>TX0033, TX0034, TX0035</x:v>
      </x:c>
      <x:c r="E31" s="53" t="str">
        <x:v>حفظ‌شده</x:v>
      </x:c>
      <x:c r="F31" s="53" t="str">
        <x:v>به سه خرید تقسیم شده است.</x:v>
      </x:c>
    </x:row>
    <x:row r="32" ht="15" hidden="0" customHeight="1">
      <x:c r="A32" s="53" t="str">
        <x:v>مجموع</x:v>
      </x:c>
      <x:c r="B32" s="53" t="str">
        <x:v>D29</x:v>
      </x:c>
      <x:c r="C32" s="54" t="n">
        <x:v>300000</x:v>
      </x:c>
      <x:c r="D32" s="53" t="str">
        <x:v>TX0036</x:v>
      </x:c>
      <x:c r="E32" s="53" t="str">
        <x:v>نیازمند بررسی</x:v>
      </x:c>
      <x:c r="F32" s="53" t="str">
        <x:v>جهت نامشخص.</x:v>
      </x:c>
    </x:row>
    <x:row r="33" ht="15" hidden="0" customHeight="1">
      <x:c r="A33" s="53" t="str">
        <x:v>مجموع</x:v>
      </x:c>
      <x:c r="B33" s="53" t="str">
        <x:v>D30</x:v>
      </x:c>
      <x:c r="C33" s="54" t="n">
        <x:v>70000</x:v>
      </x:c>
      <x:c r="D33" s="53" t="str">
        <x:v>TX0028</x:v>
      </x:c>
      <x:c r="E33" s="53" t="str">
        <x:v>حفظ‌شده</x:v>
      </x:c>
      <x:c r="F33" s="53" t="str">
        <x:v>رسید.</x:v>
      </x:c>
    </x:row>
    <x:row r="34" ht="15" hidden="0" customHeight="1">
      <x:c r="A34" s="53" t="str">
        <x:v>مجموع</x:v>
      </x:c>
      <x:c r="B34" s="53" t="str">
        <x:v>D31</x:v>
      </x:c>
      <x:c r="C34" s="54" t="n">
        <x:v>310000</x:v>
      </x:c>
      <x:c r="D34" s="53" t="str">
        <x:v>TX0029</x:v>
      </x:c>
      <x:c r="E34" s="53" t="str">
        <x:v>حفظ‌شده</x:v>
      </x:c>
      <x:c r="F34" s="53" t="str">
        <x:v>سطر پیام.</x:v>
      </x:c>
    </x:row>
    <x:row r="35" ht="15" hidden="0" customHeight="1">
      <x:c r="A35" s="53" t="str">
        <x:v>مجموع</x:v>
      </x:c>
      <x:c r="B35" s="53" t="str">
        <x:v>D32</x:v>
      </x:c>
      <x:c r="C35" s="54" t="n">
        <x:v>1760000</x:v>
      </x:c>
      <x:c r="D35" s="53" t="str">
        <x:v>TX0030</x:v>
      </x:c>
      <x:c r="E35" s="53" t="str">
        <x:v>حفظ‌شده</x:v>
      </x:c>
      <x:c r="F35" s="53" t="str">
        <x:v>سطر پیام.</x:v>
      </x:c>
    </x:row>
    <x:row r="36" ht="15" hidden="0" customHeight="1">
      <x:c r="A36" s="53" t="str">
        <x:v>مجموع</x:v>
      </x:c>
      <x:c r="B36" s="53" t="str">
        <x:v>D33</x:v>
      </x:c>
      <x:c r="C36" s="54" t="n">
        <x:v>230000</x:v>
      </x:c>
      <x:c r="D36" s="53" t="str">
        <x:v>TX0031</x:v>
      </x:c>
      <x:c r="E36" s="53" t="str">
        <x:v>اصلاح‌شده</x:v>
      </x:c>
      <x:c r="F36" s="53" t="str">
        <x:v>رسید مبلغ 235,000 را نشان می‌دهد.</x:v>
      </x:c>
    </x:row>
    <x:row r="37" ht="15" hidden="0" customHeight="1">
      <x:c r="A37" s="53" t="str">
        <x:v>مجموع</x:v>
      </x:c>
      <x:c r="B37" s="53" t="str">
        <x:v>D34</x:v>
      </x:c>
      <x:c r="C37" s="54" t="n">
        <x:v>1226100</x:v>
      </x:c>
      <x:c r="D37" s="53" t="str">
        <x:v>TX0039</x:v>
      </x:c>
      <x:c r="E37" s="53" t="str">
        <x:v>حفظ‌شده</x:v>
      </x:c>
      <x:c r="F37" s="53" t="str">
        <x:v>سطر پیام.</x:v>
      </x:c>
    </x:row>
    <x:row r="38" ht="15" hidden="0" customHeight="1">
      <x:c r="A38" s="53" t="str">
        <x:v>مجموع</x:v>
      </x:c>
      <x:c r="B38" s="53" t="str">
        <x:v>D35</x:v>
      </x:c>
      <x:c r="C38" s="54" t="n">
        <x:v>2300</x:v>
      </x:c>
      <x:c r="D38" s="53" t="str">
        <x:v>TX0040</x:v>
      </x:c>
      <x:c r="E38" s="53" t="str">
        <x:v>حفظ‌شده</x:v>
      </x:c>
      <x:c r="F38" s="53" t="str">
        <x:v>سطر پیام.</x:v>
      </x:c>
    </x:row>
    <x:row r="39" ht="15" hidden="0" customHeight="1">
      <x:c r="A39" s="53" t="str">
        <x:v>مجموع</x:v>
      </x:c>
      <x:c r="B39" s="53" t="str">
        <x:v>D36</x:v>
      </x:c>
      <x:c r="C39" s="54" t="n">
        <x:v>1300</x:v>
      </x:c>
      <x:c r="D39" s="53" t="str">
        <x:v>TX0041</x:v>
      </x:c>
      <x:c r="E39" s="53" t="str">
        <x:v>حفظ‌شده</x:v>
      </x:c>
      <x:c r="F39" s="53" t="str">
        <x:v>سطر پیام.</x:v>
      </x:c>
    </x:row>
    <x:row r="40" ht="15" hidden="0" customHeight="1">
      <x:c r="A40" s="53" t="str">
        <x:v>مجموع</x:v>
      </x:c>
      <x:c r="B40" s="53" t="str">
        <x:v>B38</x:v>
      </x:c>
      <x:c r="C40" s="54" t="n">
        <x:v>10000000</x:v>
      </x:c>
      <x:c r="D40" s="53" t="str">
        <x:v>TX0044</x:v>
      </x:c>
      <x:c r="E40" s="53" t="str">
        <x:v>حفظ‌شده</x:v>
      </x:c>
      <x:c r="F40" s="53" t="str">
        <x:v>رسید، بدون تاریخ.</x:v>
      </x:c>
    </x:row>
    <x:row r="41" ht="15" hidden="0" customHeight="1">
      <x:c r="A41" s="53" t="str">
        <x:v>مجموع</x:v>
      </x:c>
      <x:c r="B41" s="53" t="str">
        <x:v>B39</x:v>
      </x:c>
      <x:c r="C41" s="54" t="n">
        <x:v>7000000</x:v>
      </x:c>
      <x:c r="D41" s="53" t="str">
        <x:v>TX0045</x:v>
      </x:c>
      <x:c r="E41" s="53" t="str">
        <x:v>حفظ‌شده</x:v>
      </x:c>
      <x:c r="F41" s="53" t="str">
        <x:v>صرفاً مستخرج از دفتر کل.</x:v>
      </x:c>
    </x:row>
    <x:row r="42" ht="15" hidden="0" customHeight="1">
      <x:c r="A42" s="53" t="str">
        <x:v>مجموع</x:v>
      </x:c>
      <x:c r="B42" s="53" t="str">
        <x:v>B40</x:v>
      </x:c>
      <x:c r="C42" s="54" t="n">
        <x:v>6000000</x:v>
      </x:c>
      <x:c r="D42" s="53" t="str">
        <x:v>TX0046</x:v>
      </x:c>
      <x:c r="E42" s="53" t="str">
        <x:v>حفظ‌شده</x:v>
      </x:c>
      <x:c r="F42" s="53" t="str">
        <x:v>رسید با تاریخ ۱۴۰۴/۰۹/۲۸. کارمزد سمت فرستنده به مبلغ 2,500 هزینه انجمن نیست.</x:v>
      </x:c>
    </x:row>
    <x:row r="43" ht="24" hidden="0" customHeight="1">
      <x:c r="A43" s="53" t="str">
        <x:v>مجموع</x:v>
      </x:c>
      <x:c r="B43" s="53" t="str">
        <x:v>B42</x:v>
      </x:c>
      <x:c r="C43" s="54" t="n">
        <x:v>15790000</x:v>
      </x:c>
      <x:c r="D43" s="53" t="str">
        <x:v>TX0047</x:v>
      </x:c>
      <x:c r="E43" s="53" t="str">
        <x:v>حفظ‌شده</x:v>
      </x:c>
      <x:c r="F43" s="53" t="str">
        <x:v>مجموع خزانه‌دار (message116، message121). خطوط پیامک بانک سپه با این رقم جمع نمی‌شوند. برداشت 10,003,780 (TX0049) درآمد نیست. بر مبنای دفتر اصلی/اظهارات خزانه‌دار افشاشده نگه داشته شده است؛ تأیید واریز بانکی در انتظار است.</x:v>
      </x:c>
    </x:row>
    <x:row r="44" ht="15" hidden="0" customHeight="1">
      <x:c r="A44" s="53" t="str">
        <x:v>مجموع</x:v>
      </x:c>
      <x:c r="B44" s="53" t="str">
        <x:v>D42</x:v>
      </x:c>
      <x:c r="C44" s="54" t="n">
        <x:v>2137000</x:v>
      </x:c>
      <x:c r="D44" s="53" t="str">
        <x:v>TX0050</x:v>
      </x:c>
      <x:c r="E44" s="53" t="str">
        <x:v>حفظ‌شده</x:v>
      </x:c>
      <x:c r="F44" s="53" t="str">
        <x:v>رسید بازپرداخت به بردیا. TX0051 تصویر تکراری است. فیش‌های داوطلبان TX0052 تا TX0055 جزئیات پشتیبان هستند و اضافه نشده‌اند.</x:v>
      </x:c>
    </x:row>
    <x:row r="45" ht="15" hidden="0" customHeight="1">
      <x:c r="A45" s="53" t="str">
        <x:v>مجموع</x:v>
      </x:c>
      <x:c r="B45" s="53" t="str">
        <x:v>B43</x:v>
      </x:c>
      <x:c r="C45" s="54" t="n">
        <x:v>700000</x:v>
      </x:c>
      <x:c r="D45" s="53" t="str">
        <x:v>TX0048</x:v>
      </x:c>
      <x:c r="E45" s="53" t="str">
        <x:v>حفظ‌شده</x:v>
      </x:c>
      <x:c r="F45" s="53" t="str">
        <x:v>وجه نقد اعلام‌شده در پیام. نگهداری فیزیکی وجه نقد مستند نشده است.</x:v>
      </x:c>
    </x:row>
    <x:row r="46" ht="24" hidden="0" customHeight="1">
      <x:c r="A46" s="53" t="str">
        <x:v>مجموع</x:v>
      </x:c>
      <x:c r="B46" s="53" t="str">
        <x:v>B45</x:v>
      </x:c>
      <x:c r="C46" s="54" t="n">
        <x:v>23000000</x:v>
      </x:c>
      <x:c r="D46" s="53" t="str">
        <x:v>TX0093</x:v>
      </x:c>
      <x:c r="E46" s="53" t="str">
        <x:v>حفظ‌شده</x:v>
      </x:c>
      <x:c r="F46" s="53" t="str">
        <x:v>مستخرج از دفتر کل. مبلغ ناخالص پلتفرم ۲۷٬۲۳۵٬۰۰۰ (TX0094) جمع‌پذیر نیست. پل تسویه در انتظار است (ISS004). بر مبنای افشاشده دفتر کل اصلی/اظهارنامه خزانه‌دار نگه داشته شده است؛ تأیید واریز بانکی در انتظار است.</x:v>
      </x:c>
    </x:row>
    <x:row r="47" ht="15" hidden="0" customHeight="1">
      <x:c r="A47" s="53" t="str">
        <x:v>مجموع</x:v>
      </x:c>
      <x:c r="B47" s="53" t="str">
        <x:v>D45</x:v>
      </x:c>
      <x:c r="C47" s="54" t="n">
        <x:v>5000000</x:v>
      </x:c>
      <x:c r="D47" s="53" t="str">
        <x:v>TX0095</x:v>
      </x:c>
      <x:c r="E47" s="53" t="str">
        <x:v>حفظ‌شده</x:v>
      </x:c>
      <x:c r="F47" s="53" t="str">
        <x:v>صرفاً مستخرج از دفتر کل. مبلغ گرد، بدون رسید.</x:v>
      </x:c>
    </x:row>
  </x:sheetData>
  <x:mergeCells>
    <x:mergeCell ref="A2:F2"/>
  </x:mergeCells>
  <x:pageMargins left="0.7" right="0.7" top="0.75" bottom="0.75" header="0.3" footer="0.3"/>
  <x:tableParts count="1">
    <x:tablePart xmlns:r="http://schemas.openxmlformats.org/officeDocument/2006/relationships" r:id="R6f544a20c59546ba"/>
  </x:tableParts>
</x:worksheet>
</file>

<file path=xl/worksheets/sheet7.xml><?xml version="1.0" encoding="utf-8"?>
<x:worksheet xmlns:x="http://schemas.openxmlformats.org/spreadsheetml/2006/main">
  <x:sheetPr>
    <x:tabColor rgb="FFEDF2F7"/>
  </x:sheetPr>
  <x:sheetViews>
    <x:sheetView showGridLines="0" workbookViewId="0">
      <x:pane xSplit="1" ySplit="4" topLeftCell="B5" activePane="bottomRight" state="frozen"/>
    </x:sheetView>
  </x:sheetViews>
  <x:sheetFormatPr defaultRowHeight="15"/>
  <x:cols>
    <x:col min="1" max="1" width="12" hidden="0" customWidth="1"/>
    <x:col min="2" max="2" width="14" hidden="0" customWidth="1"/>
    <x:col min="3" max="3" width="14" hidden="0" customWidth="1"/>
    <x:col min="4" max="4" width="14" hidden="0" customWidth="1"/>
    <x:col min="5" max="5" width="18" hidden="0" customWidth="1"/>
    <x:col min="6" max="6" width="17" hidden="0" customWidth="1"/>
    <x:col min="7" max="7" width="12" hidden="0" customWidth="1"/>
    <x:col min="8" max="8" width="19" hidden="0" customWidth="1"/>
    <x:col min="9" max="9" width="30" hidden="0" customWidth="1"/>
    <x:col min="10" max="10" width="58" hidden="0" customWidth="1"/>
    <x:col min="11" max="11" width="58" hidden="0" customWidth="1"/>
    <x:col min="12" max="12" width="22" hidden="0" customWidth="1"/>
    <x:col min="13" max="13" width="32" hidden="0" customWidth="1"/>
    <x:col min="14" max="14" width="18" hidden="0" customWidth="1"/>
    <x:col min="15" max="15" width="24" hidden="0" customWidth="1"/>
    <x:col min="16" max="16" width="25" hidden="0" customWidth="1"/>
    <x:col min="17" max="17" width="24" hidden="0" customWidth="1"/>
    <x:col min="18" max="18" width="26" hidden="0" customWidth="1"/>
    <x:col min="19" max="19" width="15" hidden="0" customWidth="1"/>
    <x:col min="20" max="20" width="70" hidden="0" customWidth="1"/>
    <x:col min="21" max="21" width="80" hidden="0" customWidth="1"/>
    <x:col min="22" max="22" width="85" hidden="0" customWidth="1"/>
    <x:col min="23" max="23" width="20" hidden="0" customWidth="1"/>
    <x:col min="24" max="24" width="20" hidden="0" customWidth="1"/>
    <x:col min="25" max="25" width="20" hidden="0" customWidth="1"/>
  </x:cols>
  <x:sheetData>
    <x:row r="1" ht="15" hidden="0" customHeight="1">
      <x:c r="A1" s="51"/>
      <x:c r="B1" s="51"/>
      <x:c r="C1" s="51"/>
      <x:c r="D1" s="51"/>
      <x:c r="E1" s="51"/>
      <x:c r="F1" s="51"/>
      <x:c r="G1" s="51"/>
      <x:c r="H1" s="51"/>
      <x:c r="I1" s="51"/>
      <x:c r="J1" s="51"/>
      <x:c r="K1" s="51"/>
      <x:c r="L1" s="51"/>
      <x:c r="M1" s="51"/>
      <x:c r="N1" s="51"/>
      <x:c r="O1" s="51"/>
      <x:c r="P1" s="51"/>
      <x:c r="Q1" s="51"/>
      <x:c r="R1" s="51"/>
      <x:c r="S1" s="51"/>
      <x:c r="T1" s="51"/>
      <x:c r="U1" s="51"/>
      <x:c r="V1" s="51"/>
      <x:c r="W1" s="51"/>
      <x:c r="X1" s="51"/>
      <x:c r="Y1" s="51"/>
    </x:row>
    <x:row r="2" ht="16.799999237060547" hidden="0" customHeight="1">
      <x:c r="A2" s="52" t="str">
        <x:v>دفتر کل تراکنش‌های انجمن | همه مبالغ به تومان</x:v>
      </x:c>
      <x:c r="B2" s="51"/>
      <x:c r="C2" s="51"/>
      <x:c r="D2" s="51"/>
      <x:c r="E2" s="51"/>
      <x:c r="F2" s="51"/>
      <x:c r="G2" s="51"/>
      <x:c r="H2" s="51"/>
      <x:c r="I2" s="51"/>
      <x:c r="J2" s="51"/>
      <x:c r="K2" s="51"/>
      <x:c r="L2" s="51"/>
      <x:c r="M2" s="51"/>
      <x:c r="N2" s="51"/>
      <x:c r="O2" s="51"/>
      <x:c r="P2" s="51"/>
      <x:c r="Q2" s="51"/>
      <x:c r="R2" s="51"/>
      <x:c r="S2" s="51"/>
      <x:c r="T2" s="51"/>
      <x:c r="U2" s="51"/>
      <x:c r="V2" s="51"/>
      <x:c r="W2" s="51"/>
      <x:c r="X2" s="51"/>
      <x:c r="Y2" s="51"/>
    </x:row>
    <x:row r="3" ht="15" hidden="0" customHeight="1">
      <x:c r="A3" s="51"/>
      <x:c r="B3" s="51"/>
      <x:c r="C3" s="51"/>
      <x:c r="D3" s="51"/>
      <x:c r="E3" s="51"/>
      <x:c r="F3" s="51"/>
      <x:c r="G3" s="51"/>
      <x:c r="H3" s="51"/>
      <x:c r="I3" s="51"/>
      <x:c r="J3" s="51"/>
      <x:c r="K3" s="51"/>
      <x:c r="L3" s="51"/>
      <x:c r="M3" s="51"/>
      <x:c r="N3" s="51"/>
      <x:c r="O3" s="51"/>
      <x:c r="P3" s="51"/>
      <x:c r="Q3" s="51"/>
      <x:c r="R3" s="51"/>
      <x:c r="S3" s="51"/>
      <x:c r="T3" s="51"/>
      <x:c r="U3" s="51"/>
      <x:c r="V3" s="51"/>
      <x:c r="W3" s="51"/>
      <x:c r="X3" s="51"/>
      <x:c r="Y3" s="51"/>
    </x:row>
    <x:row r="4" ht="15" hidden="0" customHeight="1">
      <x:c r="A4" s="39" t="str">
        <x:v>شناسه</x:v>
      </x:c>
      <x:c r="B4" s="39" t="str">
        <x:v>تاریخ میلادی</x:v>
      </x:c>
      <x:c r="C4" s="39" t="str">
        <x:v>تاریخ جلالی</x:v>
      </x:c>
      <x:c r="D4" s="39" t="str">
        <x:v>ماه جلالی</x:v>
      </x:c>
      <x:c r="E4" s="39" t="str">
        <x:v>جهت نقدی</x:v>
      </x:c>
      <x:c r="F4" s="39" t="str">
        <x:v>مبلغ منبع</x:v>
      </x:c>
      <x:c r="G4" s="39" t="str">
        <x:v>واحد منبع</x:v>
      </x:c>
      <x:c r="H4" s="39" t="str">
        <x:v>مبلغ (تومان)</x:v>
      </x:c>
      <x:c r="I4" s="39" t="str">
        <x:v>طرف حساب</x:v>
      </x:c>
      <x:c r="J4" s="39" t="str">
        <x:v>شرح</x:v>
      </x:c>
      <x:c r="K4" s="39" t="str">
        <x:v>شرح فارسی</x:v>
      </x:c>
      <x:c r="L4" s="39" t="str">
        <x:v>دسته‌بندی</x:v>
      </x:c>
      <x:c r="M4" s="39" t="str">
        <x:v>پروژه</x:v>
      </x:c>
      <x:c r="N4" s="39" t="str">
        <x:v>وضعیت</x:v>
      </x:c>
      <x:c r="O4" s="39" t="str">
        <x:v>مبنای مستندات</x:v>
      </x:c>
      <x:c r="P4" s="39" t="str">
        <x:v>حساب نقدی</x:v>
      </x:c>
      <x:c r="Q4" s="39" t="str">
        <x:v>شناسه‌های پیام</x:v>
      </x:c>
      <x:c r="R4" s="39" t="str">
        <x:v>شناسهٔ پیگیری</x:v>
      </x:c>
      <x:c r="S4" s="39" t="str">
        <x:v>تکراری از</x:v>
      </x:c>
      <x:c r="T4" s="39" t="str">
        <x:v>دلیل بررسی</x:v>
      </x:c>
      <x:c r="U4" s="39" t="str">
        <x:v>یادداشت‌ها</x:v>
      </x:c>
      <x:c r="V4" s="39" t="str">
        <x:v>ارجاع منبع</x:v>
      </x:c>
      <x:c r="W4" s="39" t="str">
        <x:v>دریافت‌های لحاظ‌شده</x:v>
      </x:c>
      <x:c r="X4" s="39" t="str">
        <x:v>پرداخت‌های لحاظ‌شده</x:v>
      </x:c>
      <x:c r="Y4" s="39" t="str">
        <x:v>فعالیت نقدی خالص</x:v>
      </x:c>
    </x:row>
    <x:row r="5" ht="60" hidden="0" customHeight="1">
      <x:c r="A5" s="53" t="str">
        <x:v>TX0001</x:v>
      </x:c>
      <x:c r="B5" s="65"/>
      <x:c r="C5" s="53"/>
      <x:c r="D5" s="53" t="str">
        <x:v>1404/05</x:v>
      </x:c>
      <x:c r="E5" s="53" t="str">
        <x:v>دریافت</x:v>
      </x:c>
      <x:c r="F5" s="66" t="n">
        <x:v>33642000</x:v>
      </x:c>
      <x:c r="G5" s="67" t="str">
        <x:v>تومان</x:v>
      </x:c>
      <x:c r="H5" s="66" t="n">
        <x:v>33642000</x:v>
      </x:c>
      <x:c r="I5" s="53" t="str">
        <x:v>دانشجویان مدرسه تابستانه (تجمیعی)</x:v>
      </x:c>
      <x:c r="J5" s="53" t="str">
        <x:v>دریافت‌های ثبت‌نام مدرسه تابستانه، تجمیعی</x:v>
      </x:c>
      <x:c r="K5" s="53" t="str">
        <x:v>درآمد ثبت‌نام مدرسه تابستانه</x:v>
      </x:c>
      <x:c r="L5" s="53" t="str">
        <x:v>شهریه دوره‌ها</x:v>
      </x:c>
      <x:c r="M5" s="53" t="str">
        <x:v>مدرسه تابستانه ۱۴۰۴</x:v>
      </x:c>
      <x:c r="N5" s="53" t="str">
        <x:v>تأییدشده</x:v>
      </x:c>
      <x:c r="O5" s="53" t="str">
        <x:v>دفتر اصلی</x:v>
      </x:c>
      <x:c r="P5" s="53" t="str">
        <x:v>SHAHR-8966</x:v>
      </x:c>
      <x:c r="Q5" s="53" t="str">
        <x:v>message6, message7, message8</x:v>
      </x:c>
      <x:c r="R5" s="53"/>
      <x:c r="S5" s="53"/>
      <x:c r="T5" s="53" t="str">
        <x:v>مدرکی از واریز به بانک وجود ندارد.</x:v>
      </x:c>
      <x:c r="U5" s="53" t="str">
        <x:v>مستخرج از دفتر کل. فایل کاری پالایش‌شده سهراب ملکی را طرف حساب نام برده است؛ این نادرست است. مجموع گزارش‌های دوره ۱۱٬۶۰۱+۱۲٬۲۶۱+۹٬۷۸۱=۳۳٬۶۴۳ (ظاهراً هزار تومان) است که ۱٬۰۰۰ تومان بیشتر از دفتر کل است.</x:v>
      </x:c>
      <x:c r="V5" s="53" t="str">
        <x:v>Anjoman accounting.xlsx#مجموع!B3
Anjoman accounting.xlsx#مرداد!B2
telegram export/files/report_Python.txt
telegram export/files/report_LaTeX.txt
telegram export/files/report_Mathematica.txt</x:v>
      </x:c>
      <x:c r="W5" s="68" t="n">
        <x:f>IF(AND(N5="تأییدشده",E5="دریافت",ISNUMBER(H5)),H5,0)</x:f>
        <x:v>33642000</x:v>
      </x:c>
      <x:c r="X5" s="68" t="n">
        <x:f>IF(AND(N5="تأییدشده",E5="پرداخت",ISNUMBER(H5)),H5,0)</x:f>
        <x:v>0</x:v>
      </x:c>
      <x:c r="Y5" s="68" t="n">
        <x:f>W5-X5</x:f>
        <x:v>33642000</x:v>
      </x:c>
    </x:row>
    <x:row r="6" ht="24" hidden="0" customHeight="1">
      <x:c r="A6" s="53" t="str">
        <x:v>TX0002</x:v>
      </x:c>
      <x:c r="B6" s="65" t="d">
        <x:v>2025-07-24T00:00:00.000Z</x:v>
      </x:c>
      <x:c r="C6" s="53" t="str">
        <x:v>1404/05/02</x:v>
      </x:c>
      <x:c r="D6" s="53" t="str">
        <x:v>1404/05</x:v>
      </x:c>
      <x:c r="E6" s="53" t="str">
        <x:v>پرداخت</x:v>
      </x:c>
      <x:c r="F6" s="66" t="n">
        <x:v>30000000</x:v>
      </x:c>
      <x:c r="G6" s="67" t="str">
        <x:v>ریال</x:v>
      </x:c>
      <x:c r="H6" s="66" t="n">
        <x:v>3000000</x:v>
      </x:c>
      <x:c r="I6" s="53" t="str">
        <x:v>سهراب ملکی</x:v>
      </x:c>
      <x:c r="J6" s="53" t="str">
        <x:v>حق‌الزحمه مدرس ریاضیکا (متمتیکا)، تسویه کامل</x:v>
      </x:c>
      <x:c r="K6" s="53" t="str">
        <x:v>حق‌الزحمه کامل مدرس متمتیکا</x:v>
      </x:c>
      <x:c r="L6" s="53" t="str">
        <x:v>تدریس</x:v>
      </x:c>
      <x:c r="M6" s="53" t="str">
        <x:v>مدرسه تابستانه ۱۴۰۴</x:v>
      </x:c>
      <x:c r="N6" s="53" t="str">
        <x:v>تأییدشده</x:v>
      </x:c>
      <x:c r="O6" s="53" t="str">
        <x:v>رسید و پیام</x:v>
      </x:c>
      <x:c r="P6" s="53" t="str">
        <x:v>SHAHR-8966</x:v>
      </x:c>
      <x:c r="Q6" s="53" t="str">
        <x:v>message25, message12</x:v>
      </x:c>
      <x:c r="R6" s="53" t="str">
        <x:v>130034187178</x:v>
      </x:c>
      <x:c r="S6" s="53"/>
      <x:c r="T6" s="53" t="str"/>
      <x:c r="U6" s="53" t="str">
        <x:v>message12 مقدار 2,934 را محاسبه کرد؛ گرد کردن به 100 هزار (message14) عدد 2,900 را می‌دهد، اما 3,000 پرداخت شد.</x:v>
      </x:c>
      <x:c r="V6" s="53" t="str">
        <x:v>telegram export/photos/photo_1@24-07-2025_21-00-16.jpg
Anjoman accounting.xlsx#مجموع!D3</x:v>
      </x:c>
      <x:c r="W6" s="68" t="n">
        <x:f>IF(AND(N6="تأییدشده",E6="دریافت",ISNUMBER(H6)),H6,0)</x:f>
        <x:v>0</x:v>
      </x:c>
      <x:c r="X6" s="68" t="n">
        <x:f>IF(AND(N6="تأییدشده",E6="پرداخت",ISNUMBER(H6)),H6,0)</x:f>
        <x:v>3000000</x:v>
      </x:c>
      <x:c r="Y6" s="68" t="n">
        <x:f>W6-X6</x:f>
        <x:v>-3000000</x:v>
      </x:c>
    </x:row>
    <x:row r="7" ht="24" hidden="0" customHeight="1">
      <x:c r="A7" s="53" t="str">
        <x:v>TX0003</x:v>
      </x:c>
      <x:c r="B7" s="65" t="d">
        <x:v>2025-07-24T00:00:00.000Z</x:v>
      </x:c>
      <x:c r="C7" s="53" t="str">
        <x:v>1404/05/02</x:v>
      </x:c>
      <x:c r="D7" s="53" t="str">
        <x:v>1404/05</x:v>
      </x:c>
      <x:c r="E7" s="53" t="str">
        <x:v>پرداخت</x:v>
      </x:c>
      <x:c r="F7" s="66" t="n">
        <x:v>35000000</x:v>
      </x:c>
      <x:c r="G7" s="67" t="str">
        <x:v>ریال</x:v>
      </x:c>
      <x:c r="H7" s="66" t="n">
        <x:v>3500000</x:v>
      </x:c>
      <x:c r="I7" s="53" t="str">
        <x:v>امیرمحمد جوشقانی</x:v>
      </x:c>
      <x:c r="J7" s="53" t="str">
        <x:v>حق‌الزحمه مدرس پایتون</x:v>
      </x:c>
      <x:c r="K7" s="53" t="str">
        <x:v>حق‌الزحمه کامل مدرس پایتون</x:v>
      </x:c>
      <x:c r="L7" s="53" t="str">
        <x:v>تدریس</x:v>
      </x:c>
      <x:c r="M7" s="53" t="str">
        <x:v>مدرسه تابستانه ۱۴۰۴</x:v>
      </x:c>
      <x:c r="N7" s="53" t="str">
        <x:v>تأییدشده</x:v>
      </x:c>
      <x:c r="O7" s="53" t="str">
        <x:v>رسید و پیام</x:v>
      </x:c>
      <x:c r="P7" s="53" t="str">
        <x:v>SHAHR-8966</x:v>
      </x:c>
      <x:c r="Q7" s="53" t="str">
        <x:v>message26, message10</x:v>
      </x:c>
      <x:c r="R7" s="53" t="str">
        <x:v>130034190881</x:v>
      </x:c>
      <x:c r="S7" s="53"/>
      <x:c r="T7" s="53" t="str"/>
      <x:c r="U7" s="53" t="str">
        <x:v>در message10 مقدار ۳٬۴۸۰ محاسبه شد و به ۳٬۵۰۰ گرد شد.</x:v>
      </x:c>
      <x:c r="V7" s="53" t="str">
        <x:v>telegram export/photos/photo_2@24-07-2025_21-00-17.jpg
Anjoman accounting.xlsx#مجموع!D2</x:v>
      </x:c>
      <x:c r="W7" s="68" t="n">
        <x:f>IF(AND(N7="تأییدشده",E7="دریافت",ISNUMBER(H7)),H7,0)</x:f>
        <x:v>0</x:v>
      </x:c>
      <x:c r="X7" s="68" t="n">
        <x:f>IF(AND(N7="تأییدشده",E7="پرداخت",ISNUMBER(H7)),H7,0)</x:f>
        <x:v>3500000</x:v>
      </x:c>
      <x:c r="Y7" s="68" t="n">
        <x:f>W7-X7</x:f>
        <x:v>-3500000</x:v>
      </x:c>
    </x:row>
    <x:row r="8" ht="36" hidden="0" customHeight="1">
      <x:c r="A8" s="53" t="str">
        <x:v>TX0004</x:v>
      </x:c>
      <x:c r="B8" s="65" t="d">
        <x:v>2025-07-24T00:00:00.000Z</x:v>
      </x:c>
      <x:c r="C8" s="53" t="str">
        <x:v>1404/05/02</x:v>
      </x:c>
      <x:c r="D8" s="53" t="str">
        <x:v>1404/05</x:v>
      </x:c>
      <x:c r="E8" s="53" t="str">
        <x:v>پرداخت</x:v>
      </x:c>
      <x:c r="F8" s="66" t="n">
        <x:v>37000000</x:v>
      </x:c>
      <x:c r="G8" s="67" t="str">
        <x:v>ریال</x:v>
      </x:c>
      <x:c r="H8" s="66" t="n">
        <x:v>3700000</x:v>
      </x:c>
      <x:c r="I8" s="53" t="str">
        <x:v>متین جوکارتنگ کرمی</x:v>
      </x:c>
      <x:c r="J8" s="53" t="str">
        <x:v>حق‌التدریس لاتک، انتقال پل</x:v>
      </x:c>
      <x:c r="K8" s="53" t="str">
        <x:v>حق‌الزحمه کامل مدرس لتک (پل، تادیه دیون)</x:v>
      </x:c>
      <x:c r="L8" s="53" t="str">
        <x:v>تدریس</x:v>
      </x:c>
      <x:c r="M8" s="53" t="str">
        <x:v>مدرسه تابستانه ۱۴۰۴</x:v>
      </x:c>
      <x:c r="N8" s="53" t="str">
        <x:v>تأییدشده</x:v>
      </x:c>
      <x:c r="O8" s="53" t="str">
        <x:v>رسید و پیام</x:v>
      </x:c>
      <x:c r="P8" s="53" t="str">
        <x:v>SHAHR-8966</x:v>
      </x:c>
      <x:c r="Q8" s="53" t="str">
        <x:v>message27, message28, message13</x:v>
      </x:c>
      <x:c r="R8" s="53" t="str">
        <x:v>140405020613114740052</x:v>
      </x:c>
      <x:c r="S8" s="53"/>
      <x:c r="T8" s="53" t="str"/>
      <x:c r="U8" s="53" t="str">
        <x:v>پیامک موجود در message28 همان تراکنش است (مانده پس از آن 230,203,965 ریال). یک بار شمارش شده است.</x:v>
      </x:c>
      <x:c r="V8" s="53" t="str">
        <x:v>telegram export/photos/photo_3@24-07-2025_21-02-51.jpg
telegram export/messages.html#message28
Anjoman accounting.xlsx#مجموع!D4</x:v>
      </x:c>
      <x:c r="W8" s="68" t="n">
        <x:f>IF(AND(N8="تأییدشده",E8="دریافت",ISNUMBER(H8)),H8,0)</x:f>
        <x:v>0</x:v>
      </x:c>
      <x:c r="X8" s="68" t="n">
        <x:f>IF(AND(N8="تأییدشده",E8="پرداخت",ISNUMBER(H8)),H8,0)</x:f>
        <x:v>3700000</x:v>
      </x:c>
      <x:c r="Y8" s="68" t="n">
        <x:f>W8-X8</x:f>
        <x:v>-3700000</x:v>
      </x:c>
    </x:row>
    <x:row r="9" ht="24" hidden="0" customHeight="1">
      <x:c r="A9" s="53" t="str">
        <x:v>TX0005</x:v>
      </x:c>
      <x:c r="B9" s="65" t="d">
        <x:v>2025-07-25T00:00:00.000Z</x:v>
      </x:c>
      <x:c r="C9" s="53" t="str">
        <x:v>1404/05/03</x:v>
      </x:c>
      <x:c r="D9" s="53" t="str">
        <x:v>1404/05</x:v>
      </x:c>
      <x:c r="E9" s="53" t="str">
        <x:v>پرداخت</x:v>
      </x:c>
      <x:c r="F9" s="66" t="n">
        <x:v>5000000</x:v>
      </x:c>
      <x:c r="G9" s="67" t="str">
        <x:v>ریال</x:v>
      </x:c>
      <x:c r="H9" s="66" t="n">
        <x:v>500000</x:v>
      </x:c>
      <x:c r="I9" s="53" t="str">
        <x:v>ابراهیم خسروانی</x:v>
      </x:c>
      <x:c r="J9" s="53" t="str">
        <x:v>دستیار آموزشی، فرم‌ها و هزینه برگه</x:v>
      </x:c>
      <x:c r="K9" s="53" t="str">
        <x:v>حق‌الزحمه TA، فرم و شیت</x:v>
      </x:c>
      <x:c r="L9" s="53" t="str">
        <x:v>تدریس</x:v>
      </x:c>
      <x:c r="M9" s="53" t="str">
        <x:v>مدرسه تابستانه ۱۴۰۴</x:v>
      </x:c>
      <x:c r="N9" s="53" t="str">
        <x:v>تأییدشده</x:v>
      </x:c>
      <x:c r="O9" s="53" t="str">
        <x:v>رسید و پیام</x:v>
      </x:c>
      <x:c r="P9" s="53" t="str">
        <x:v>SHAHR-8966</x:v>
      </x:c>
      <x:c r="Q9" s="53" t="str">
        <x:v>message29</x:v>
      </x:c>
      <x:c r="R9" s="53" t="str">
        <x:v>130034551287</x:v>
      </x:c>
      <x:c r="S9" s="53"/>
      <x:c r="T9" s="53" t="str"/>
      <x:c r="U9" s="53" t="str"/>
      <x:c r="V9" s="53" t="str">
        <x:v>telegram export/photos/photo_4@25-07-2025_04-04-24.jpg
Anjoman accounting.xlsx#مجموع!D5</x:v>
      </x:c>
      <x:c r="W9" s="68" t="n">
        <x:f>IF(AND(N9="تأییدشده",E9="دریافت",ISNUMBER(H9)),H9,0)</x:f>
        <x:v>0</x:v>
      </x:c>
      <x:c r="X9" s="68" t="n">
        <x:f>IF(AND(N9="تأییدشده",E9="پرداخت",ISNUMBER(H9)),H9,0)</x:f>
        <x:v>500000</x:v>
      </x:c>
      <x:c r="Y9" s="68" t="n">
        <x:f>W9-X9</x:f>
        <x:v>-500000</x:v>
      </x:c>
    </x:row>
    <x:row r="10" ht="24" hidden="0" customHeight="1">
      <x:c r="A10" s="53" t="str">
        <x:v>TX0006</x:v>
      </x:c>
      <x:c r="B10" s="65" t="d">
        <x:v>2025-07-25T00:00:00.000Z</x:v>
      </x:c>
      <x:c r="C10" s="53" t="str">
        <x:v>1404/05/03</x:v>
      </x:c>
      <x:c r="D10" s="53" t="str">
        <x:v>1404/05</x:v>
      </x:c>
      <x:c r="E10" s="53" t="str">
        <x:v>پرداخت</x:v>
      </x:c>
      <x:c r="F10" s="66" t="n">
        <x:v>6000000</x:v>
      </x:c>
      <x:c r="G10" s="67" t="str">
        <x:v>ریال</x:v>
      </x:c>
      <x:c r="H10" s="66" t="n">
        <x:v>600000</x:v>
      </x:c>
      <x:c r="I10" s="53" t="str">
        <x:v>سپهر طلائی</x:v>
      </x:c>
      <x:c r="J10" s="53" t="str">
        <x:v>پشتیبانی ثبت‌نام و حق‌الزحمه دستیار آموزشی پایتون</x:v>
      </x:c>
      <x:c r="K10" s="53" t="str">
        <x:v>حق‌الزحمه ثبت‌نام و TA پایتون</x:v>
      </x:c>
      <x:c r="L10" s="53" t="str">
        <x:v>تدریس</x:v>
      </x:c>
      <x:c r="M10" s="53" t="str">
        <x:v>مدرسه تابستانه ۱۴۰۴</x:v>
      </x:c>
      <x:c r="N10" s="53" t="str">
        <x:v>تأییدشده</x:v>
      </x:c>
      <x:c r="O10" s="53" t="str">
        <x:v>رسید و پیام</x:v>
      </x:c>
      <x:c r="P10" s="53" t="str">
        <x:v>SHAHR-8966</x:v>
      </x:c>
      <x:c r="Q10" s="53" t="str">
        <x:v>message30</x:v>
      </x:c>
      <x:c r="R10" s="53" t="str">
        <x:v>130034536896</x:v>
      </x:c>
      <x:c r="S10" s="53"/>
      <x:c r="T10" s="53" t="str"/>
      <x:c r="U10" s="53" t="str">
        <x:v>پیامکی در دسترس نیست، بنابراین کارمزد انتقال نامشخص است.</x:v>
      </x:c>
      <x:c r="V10" s="53" t="str">
        <x:v>telegram export/photos/photo_5@25-07-2025_04-08-41.jpg
Anjoman accounting.xlsx#مجموع!D6</x:v>
      </x:c>
      <x:c r="W10" s="68" t="n">
        <x:f>IF(AND(N10="تأییدشده",E10="دریافت",ISNUMBER(H10)),H10,0)</x:f>
        <x:v>0</x:v>
      </x:c>
      <x:c r="X10" s="68" t="n">
        <x:f>IF(AND(N10="تأییدشده",E10="پرداخت",ISNUMBER(H10)),H10,0)</x:f>
        <x:v>600000</x:v>
      </x:c>
      <x:c r="Y10" s="68" t="n">
        <x:f>W10-X10</x:f>
        <x:v>-600000</x:v>
      </x:c>
    </x:row>
    <x:row r="11" ht="36" hidden="0" customHeight="1">
      <x:c r="A11" s="53" t="str">
        <x:v>TX0007</x:v>
      </x:c>
      <x:c r="B11" s="65" t="d">
        <x:v>2025-07-25T00:00:00.000Z</x:v>
      </x:c>
      <x:c r="C11" s="53" t="str">
        <x:v>1404/05/03</x:v>
      </x:c>
      <x:c r="D11" s="53" t="str">
        <x:v>1404/05</x:v>
      </x:c>
      <x:c r="E11" s="53" t="str">
        <x:v>پرداخت</x:v>
      </x:c>
      <x:c r="F11" s="66" t="n">
        <x:v>6000000</x:v>
      </x:c>
      <x:c r="G11" s="67" t="str">
        <x:v>ریال</x:v>
      </x:c>
      <x:c r="H11" s="66" t="n">
        <x:v>600000</x:v>
      </x:c>
      <x:c r="I11" s="53" t="str">
        <x:v>محمدامین عزیزی</x:v>
      </x:c>
      <x:c r="J11" s="53" t="str">
        <x:v>ثبت‌نام، حسابداری و حق‌الزحمه دستیار آموزشی پایتون</x:v>
      </x:c>
      <x:c r="K11" s="53" t="str">
        <x:v>حق‌الزحمه ثبت‌نام، حسابداری و TA پایتون</x:v>
      </x:c>
      <x:c r="L11" s="53" t="str">
        <x:v>تدریس</x:v>
      </x:c>
      <x:c r="M11" s="53" t="str">
        <x:v>مدرسه تابستانه ۱۴۰۴</x:v>
      </x:c>
      <x:c r="N11" s="53" t="str">
        <x:v>تأییدشده</x:v>
      </x:c>
      <x:c r="O11" s="53" t="str">
        <x:v>رسید و پیام</x:v>
      </x:c>
      <x:c r="P11" s="53" t="str">
        <x:v>SHAHR-8966</x:v>
      </x:c>
      <x:c r="Q11" s="53" t="str">
        <x:v>message31, message32, message33, message34</x:v>
      </x:c>
      <x:c r="R11" s="53" t="str">
        <x:v>130035112458</x:v>
      </x:c>
      <x:c r="S11" s="53"/>
      <x:c r="T11" s="53" t="str"/>
      <x:c r="U11" s="53" t="str">
        <x:v>پیامک یک برداشت 6,009,000 ریالی را نشان می‌دهد که مجموع اصل مبلغ و کارمزد است (نگاه کنید به TX0008).</x:v>
      </x:c>
      <x:c r="V11" s="53" t="str">
        <x:v>telegram export/photos/photo_6@25-07-2025_15-53-39.jpg
telegram export/messages.html#message32
Anjoman accounting.xlsx#مجموع!D7</x:v>
      </x:c>
      <x:c r="W11" s="68" t="n">
        <x:f>IF(AND(N11="تأییدشده",E11="دریافت",ISNUMBER(H11)),H11,0)</x:f>
        <x:v>0</x:v>
      </x:c>
      <x:c r="X11" s="68" t="n">
        <x:f>IF(AND(N11="تأییدشده",E11="پرداخت",ISNUMBER(H11)),H11,0)</x:f>
        <x:v>600000</x:v>
      </x:c>
      <x:c r="Y11" s="68" t="n">
        <x:f>W11-X11</x:f>
        <x:v>-600000</x:v>
      </x:c>
    </x:row>
    <x:row r="12" ht="15" hidden="0" customHeight="1">
      <x:c r="A12" s="53" t="str">
        <x:v>TX0008</x:v>
      </x:c>
      <x:c r="B12" s="65" t="d">
        <x:v>2025-07-25T00:00:00.000Z</x:v>
      </x:c>
      <x:c r="C12" s="53" t="str">
        <x:v>1404/05/03</x:v>
      </x:c>
      <x:c r="D12" s="53" t="str">
        <x:v>1404/05</x:v>
      </x:c>
      <x:c r="E12" s="53" t="str">
        <x:v>پرداخت</x:v>
      </x:c>
      <x:c r="F12" s="66" t="n">
        <x:v>9000</x:v>
      </x:c>
      <x:c r="G12" s="67" t="str">
        <x:v>ریال</x:v>
      </x:c>
      <x:c r="H12" s="66" t="n">
        <x:v>900</x:v>
      </x:c>
      <x:c r="I12" s="53" t="str">
        <x:v>بانک شهر</x:v>
      </x:c>
      <x:c r="J12" s="53" t="str">
        <x:v>کارمزد انتقال کارتی (برداشت پیامکی ۶,۰۰۹,۰۰۰ منهای اصل مبلغ ۶,۰۰۰,۰۰۰ ریال)</x:v>
      </x:c>
      <x:c r="K12" s="53" t="str">
        <x:v>کارمزد انتقال کارت به کارت</x:v>
      </x:c>
      <x:c r="L12" s="53" t="str">
        <x:v>کارمزدهای بانکی</x:v>
      </x:c>
      <x:c r="M12" s="53" t="str">
        <x:v>مدرسه تابستانه ۱۴۰۴</x:v>
      </x:c>
      <x:c r="N12" s="53" t="str">
        <x:v>تأییدشده</x:v>
      </x:c>
      <x:c r="O12" s="53" t="str">
        <x:v>صرفاً پیام</x:v>
      </x:c>
      <x:c r="P12" s="53" t="str">
        <x:v>SHAHR-8966</x:v>
      </x:c>
      <x:c r="Q12" s="53" t="str">
        <x:v>message32</x:v>
      </x:c>
      <x:c r="R12" s="53"/>
      <x:c r="S12" s="53"/>
      <x:c r="T12" s="53" t="str"/>
      <x:c r="U12" s="53" t="str">
        <x:v>کارمزد فقط برای همین انتقال تأییدشده است. در دفتر اولیه موجود نیست.</x:v>
      </x:c>
      <x:c r="V12" s="53" t="str">
        <x:v>telegram export/messages.html#message32</x:v>
      </x:c>
      <x:c r="W12" s="68" t="n">
        <x:f>IF(AND(N12="تأییدشده",E12="دریافت",ISNUMBER(H12)),H12,0)</x:f>
        <x:v>0</x:v>
      </x:c>
      <x:c r="X12" s="68" t="n">
        <x:f>IF(AND(N12="تأییدشده",E12="پرداخت",ISNUMBER(H12)),H12,0)</x:f>
        <x:v>900</x:v>
      </x:c>
      <x:c r="Y12" s="68" t="n">
        <x:f>W12-X12</x:f>
        <x:v>-900</x:v>
      </x:c>
    </x:row>
    <x:row r="13" ht="36" hidden="0" customHeight="1">
      <x:c r="A13" s="53" t="str">
        <x:v>TX0009</x:v>
      </x:c>
      <x:c r="B13" s="65" t="d">
        <x:v>2025-07-19T00:00:00.000Z</x:v>
      </x:c>
      <x:c r="C13" s="53" t="str">
        <x:v>1404/04/28</x:v>
      </x:c>
      <x:c r="D13" s="53" t="str">
        <x:v>1404/04</x:v>
      </x:c>
      <x:c r="E13" s="53" t="str">
        <x:v>پرداخت</x:v>
      </x:c>
      <x:c r="F13" s="66" t="n">
        <x:v>4000000</x:v>
      </x:c>
      <x:c r="G13" s="67" t="str">
        <x:v>ریال</x:v>
      </x:c>
      <x:c r="H13" s="66" t="n">
        <x:v>400000</x:v>
      </x:c>
      <x:c r="I13" s="53" t="str">
        <x:v>محمدحسین مشک افشان</x:v>
      </x:c>
      <x:c r="J13" s="53" t="str">
        <x:v>تبلیغات مدرسه تابستانه در کانال مهمات شریف</x:v>
      </x:c>
      <x:c r="K13" s="53" t="str">
        <x:v>تبلیغ مدرسه تابستانه در مهمات شریف</x:v>
      </x:c>
      <x:c r="L13" s="53" t="str">
        <x:v>تبلیغات</x:v>
      </x:c>
      <x:c r="M13" s="53" t="str">
        <x:v>مدرسه تابستانه ۱۴۰۴</x:v>
      </x:c>
      <x:c r="N13" s="53" t="str">
        <x:v>تأییدشده</x:v>
      </x:c>
      <x:c r="O13" s="53" t="str">
        <x:v>رسید و پیام</x:v>
      </x:c>
      <x:c r="P13" s="53" t="str">
        <x:v>SHAHR-8966</x:v>
      </x:c>
      <x:c r="Q13" s="53" t="str">
        <x:v>message43, message44, message45, message46</x:v>
      </x:c>
      <x:c r="R13" s="53" t="str">
        <x:v>130018173424</x:v>
      </x:c>
      <x:c r="S13" s="53"/>
      <x:c r="T13" s="53" t="str"/>
      <x:c r="U13" s="53" t="str">
        <x:v>پیش از مرداد تاریخ‌گذاری شده است. دفتر آن را ذیل مرداد قرار داده است.</x:v>
      </x:c>
      <x:c r="V13" s="53" t="str">
        <x:v>telegram export/photos/photo_8@12-08-2025_09-58-34.jpg
telegram export/photos/photo_9@12-08-2025_09-58-34.jpg
Anjoman accounting.xlsx#مجموع!D9</x:v>
      </x:c>
      <x:c r="W13" s="68" t="n">
        <x:f>IF(AND(N13="تأییدشده",E13="دریافت",ISNUMBER(H13)),H13,0)</x:f>
        <x:v>0</x:v>
      </x:c>
      <x:c r="X13" s="68" t="n">
        <x:f>IF(AND(N13="تأییدشده",E13="پرداخت",ISNUMBER(H13)),H13,0)</x:f>
        <x:v>400000</x:v>
      </x:c>
      <x:c r="Y13" s="68" t="n">
        <x:f>W13-X13</x:f>
        <x:v>-400000</x:v>
      </x:c>
    </x:row>
    <x:row r="14" ht="24" hidden="0" customHeight="1">
      <x:c r="A14" s="53" t="str">
        <x:v>TX0010</x:v>
      </x:c>
      <x:c r="B14" s="65"/>
      <x:c r="C14" s="53"/>
      <x:c r="D14" s="53" t="str">
        <x:v>1404/05</x:v>
      </x:c>
      <x:c r="E14" s="53" t="str">
        <x:v>پرداخت</x:v>
      </x:c>
      <x:c r="F14" s="66" t="n">
        <x:v>400000</x:v>
      </x:c>
      <x:c r="G14" s="67" t="str">
        <x:v>تومان</x:v>
      </x:c>
      <x:c r="H14" s="66" t="n">
        <x:v>400000</x:v>
      </x:c>
      <x:c r="I14" s="53" t="str">
        <x:v>حسن شیری</x:v>
      </x:c>
      <x:c r="J14" s="53" t="str">
        <x:v>ردیف دوم آگهی مهمات شریف منتسب به حسن</x:v>
      </x:c>
      <x:c r="K14" s="53" t="str">
        <x:v>تبلیغات مهمات شریف (ردیف دوم)</x:v>
      </x:c>
      <x:c r="L14" s="53" t="str">
        <x:v>تبلیغات</x:v>
      </x:c>
      <x:c r="M14" s="53" t="str">
        <x:v>مدرسه تابستانه ۱۴۰۴</x:v>
      </x:c>
      <x:c r="N14" s="53" t="str">
        <x:v>نیازمند بررسی</x:v>
      </x:c>
      <x:c r="O14" s="53" t="str">
        <x:v>دفتر اصلی</x:v>
      </x:c>
      <x:c r="P14" s="53" t="str">
        <x:v>نامشخص</x:v>
      </x:c>
      <x:c r="Q14" s="53" t="str">
        <x:v>message57</x:v>
      </x:c>
      <x:c r="R14" s="53"/>
      <x:c r="S14" s="53" t="str">
        <x:v>TX0009</x:v>
      </x:c>
      <x:c r="T14" s="53" t="str">
        <x:v>ثبت مضاعف احتمالی تبلیغ ۴۰۰٬۰۰۰ تومانی دارای رسید. پیام ۵۷ نشان می‌دهد حسن تبلیغ را ثبت کرده است، اما فقط یک پرداخت وجود دارد.</x:v>
      </x:c>
      <x:c r="U14" s="53" t="str">
        <x:v>از مجموع‌های تأییدشده کنار گذاشته شده است.</x:v>
      </x:c>
      <x:c r="V14" s="53" t="str">
        <x:v>Anjoman accounting.xlsx#مجموع!D12</x:v>
      </x:c>
      <x:c r="W14" s="68" t="n">
        <x:f>IF(AND(N14="تأییدشده",E14="دریافت",ISNUMBER(H14)),H14,0)</x:f>
        <x:v>0</x:v>
      </x:c>
      <x:c r="X14" s="68" t="n">
        <x:f>IF(AND(N14="تأییدشده",E14="پرداخت",ISNUMBER(H14)),H14,0)</x:f>
        <x:v>0</x:v>
      </x:c>
      <x:c r="Y14" s="68" t="n">
        <x:f>W14-X14</x:f>
        <x:v>0</x:v>
      </x:c>
    </x:row>
    <x:row r="15" ht="24" hidden="0" customHeight="1">
      <x:c r="A15" s="53" t="str">
        <x:v>TX0011</x:v>
      </x:c>
      <x:c r="B15" s="65" t="d">
        <x:v>2025-08-11T00:00:00.000Z</x:v>
      </x:c>
      <x:c r="C15" s="53" t="str">
        <x:v>1404/05/20</x:v>
      </x:c>
      <x:c r="D15" s="53" t="str">
        <x:v>1404/05</x:v>
      </x:c>
      <x:c r="E15" s="53" t="str">
        <x:v>پرداخت</x:v>
      </x:c>
      <x:c r="F15" s="66" t="n">
        <x:v>3000000</x:v>
      </x:c>
      <x:c r="G15" s="67" t="str">
        <x:v>ریال</x:v>
      </x:c>
      <x:c r="H15" s="66" t="n">
        <x:v>300000</x:v>
      </x:c>
      <x:c r="I15" s="53" t="str">
        <x:v>متین جوکارتنگ کرمی</x:v>
      </x:c>
      <x:c r="J15" s="53" t="str">
        <x:v>ضبط جبرانی، جلسه ۳ لاتک</x:v>
      </x:c>
      <x:c r="K15" s="53" t="str">
        <x:v>ضبط جبرانی جلسه ۳ لتک</x:v>
      </x:c>
      <x:c r="L15" s="53" t="str">
        <x:v>تدریس</x:v>
      </x:c>
      <x:c r="M15" s="53" t="str">
        <x:v>مدرسه تابستانه ۱۴۰۴</x:v>
      </x:c>
      <x:c r="N15" s="53" t="str">
        <x:v>تأییدشده</x:v>
      </x:c>
      <x:c r="O15" s="53" t="str">
        <x:v>رسید و پیام</x:v>
      </x:c>
      <x:c r="P15" s="53" t="str">
        <x:v>SHAHR-8966</x:v>
      </x:c>
      <x:c r="Q15" s="53" t="str">
        <x:v>message42</x:v>
      </x:c>
      <x:c r="R15" s="53" t="str">
        <x:v>140405200613117542670</x:v>
      </x:c>
      <x:c r="S15" s="53"/>
      <x:c r="T15" s="53" t="str"/>
      <x:c r="U15" s="53" t="str">
        <x:v>هدف ذکرشده در رسید «واریز حقوق» است.</x:v>
      </x:c>
      <x:c r="V15" s="53" t="str">
        <x:v>telegram export/photos/photo_7@11-08-2025_15-51-55.jpg
Anjoman accounting.xlsx#مجموع!D8</x:v>
      </x:c>
      <x:c r="W15" s="68" t="n">
        <x:f>IF(AND(N15="تأییدشده",E15="دریافت",ISNUMBER(H15)),H15,0)</x:f>
        <x:v>0</x:v>
      </x:c>
      <x:c r="X15" s="68" t="n">
        <x:f>IF(AND(N15="تأییدشده",E15="پرداخت",ISNUMBER(H15)),H15,0)</x:f>
        <x:v>300000</x:v>
      </x:c>
      <x:c r="Y15" s="68" t="n">
        <x:f>W15-X15</x:f>
        <x:v>-300000</x:v>
      </x:c>
    </x:row>
    <x:row r="16" ht="24" hidden="0" customHeight="1">
      <x:c r="A16" s="53" t="str">
        <x:v>TX0012</x:v>
      </x:c>
      <x:c r="B16" s="65" t="d">
        <x:v>2025-08-15T00:00:00.000Z</x:v>
      </x:c>
      <x:c r="C16" s="53" t="str">
        <x:v>1404/05/24</x:v>
      </x:c>
      <x:c r="D16" s="53" t="str">
        <x:v>1404/05</x:v>
      </x:c>
      <x:c r="E16" s="53" t="str">
        <x:v>پرداخت</x:v>
      </x:c>
      <x:c r="F16" s="66" t="n">
        <x:v>3000000</x:v>
      </x:c>
      <x:c r="G16" s="67" t="str">
        <x:v>ریال</x:v>
      </x:c>
      <x:c r="H16" s="66" t="n">
        <x:v>300000</x:v>
      </x:c>
      <x:c r="I16" s="53" t="str">
        <x:v>امیرمحمد جوشقانی</x:v>
      </x:c>
      <x:c r="J16" s="53" t="str">
        <x:v>ضبط جبرانی، جلسه ۴ پایتون</x:v>
      </x:c>
      <x:c r="K16" s="53" t="str">
        <x:v>ضبط جبرانی جلسه ۴ پایتون</x:v>
      </x:c>
      <x:c r="L16" s="53" t="str">
        <x:v>تدریس</x:v>
      </x:c>
      <x:c r="M16" s="53" t="str">
        <x:v>مدرسه تابستانه ۱۴۰۴</x:v>
      </x:c>
      <x:c r="N16" s="53" t="str">
        <x:v>تأییدشده</x:v>
      </x:c>
      <x:c r="O16" s="53" t="str">
        <x:v>رسید و پیام</x:v>
      </x:c>
      <x:c r="P16" s="53" t="str">
        <x:v>SHAHR-8966</x:v>
      </x:c>
      <x:c r="Q16" s="53" t="str">
        <x:v>message47</x:v>
      </x:c>
      <x:c r="R16" s="53" t="str">
        <x:v>130072269291</x:v>
      </x:c>
      <x:c r="S16" s="53"/>
      <x:c r="T16" s="53" t="str"/>
      <x:c r="U16" s="53" t="str">
        <x:v>در برگه مرداد وجود ندارد؛ این موضوع اختلاف 300,000 میان J2 و M2 را توضیح می‌دهد.</x:v>
      </x:c>
      <x:c r="V16" s="53" t="str">
        <x:v>telegram export/photos/photo_10@15-08-2025_18-28-22.jpg
Anjoman accounting.xlsx#مجموع!D10</x:v>
      </x:c>
      <x:c r="W16" s="68" t="n">
        <x:f>IF(AND(N16="تأییدشده",E16="دریافت",ISNUMBER(H16)),H16,0)</x:f>
        <x:v>0</x:v>
      </x:c>
      <x:c r="X16" s="68" t="n">
        <x:f>IF(AND(N16="تأییدشده",E16="پرداخت",ISNUMBER(H16)),H16,0)</x:f>
        <x:v>300000</x:v>
      </x:c>
      <x:c r="Y16" s="68" t="n">
        <x:f>W16-X16</x:f>
        <x:v>-300000</x:v>
      </x:c>
    </x:row>
    <x:row r="17" ht="36" hidden="0" customHeight="1">
      <x:c r="A17" s="53" t="str">
        <x:v>TX0013</x:v>
      </x:c>
      <x:c r="B17" s="65"/>
      <x:c r="C17" s="53"/>
      <x:c r="D17" s="53" t="str">
        <x:v>1404/05</x:v>
      </x:c>
      <x:c r="E17" s="53" t="str">
        <x:v>پرداخت</x:v>
      </x:c>
      <x:c r="F17" s="66" t="n">
        <x:v>750000</x:v>
      </x:c>
      <x:c r="G17" s="67" t="str">
        <x:v>تومان</x:v>
      </x:c>
      <x:c r="H17" s="66" t="n">
        <x:v>750000</x:v>
      </x:c>
      <x:c r="I17" s="53" t="str">
        <x:v>حسن شیری</x:v>
      </x:c>
      <x:c r="J17" s="53" t="str">
        <x:v>کلید اتاق انجمن برای اعضا</x:v>
      </x:c>
      <x:c r="K17" s="53" t="str">
        <x:v>گرفتن کلید انجمن برای اعضا</x:v>
      </x:c>
      <x:c r="L17" s="53" t="str">
        <x:v>تجهیزات</x:v>
      </x:c>
      <x:c r="M17" s="53" t="str">
        <x:v>عملیات انجمن</x:v>
      </x:c>
      <x:c r="N17" s="53" t="str">
        <x:v>تأییدشده</x:v>
      </x:c>
      <x:c r="O17" s="53" t="str">
        <x:v>دفتر اصلی</x:v>
      </x:c>
      <x:c r="P17" s="53" t="str">
        <x:v>نامشخص</x:v>
      </x:c>
      <x:c r="Q17" s="53" t="str">
        <x:v>message57</x:v>
      </x:c>
      <x:c r="R17" s="53"/>
      <x:c r="S17" s="53"/>
      <x:c r="T17" s="53" t="str">
        <x:v>رسید وجود ندارد. حساب پرداخت‌کننده نامشخص است (احتمالاً شخصاً حسن، که در این صورت بازپرداخت محسوب می‌شود).</x:v>
      </x:c>
      <x:c r="U17" s="53" t="str">
        <x:v>صرفاً مستخرج از دفتر کل. message57 («اون کلید ها که من زدم») ممکن است به این معنا باشد که حسن آن را وارد کرده یا شخصاً پرداخت کرده است. اگر شخصاً پرداخت کرده باشد، این یک بدهی قابل بازپرداخت است، نه خروج وجه نقد از حساب انجمن.</x:v>
      </x:c>
      <x:c r="V17" s="53" t="str">
        <x:v>Anjoman accounting.xlsx#مجموع!D11</x:v>
      </x:c>
      <x:c r="W17" s="68" t="n">
        <x:f>IF(AND(N17="تأییدشده",E17="دریافت",ISNUMBER(H17)),H17,0)</x:f>
        <x:v>0</x:v>
      </x:c>
      <x:c r="X17" s="68" t="n">
        <x:f>IF(AND(N17="تأییدشده",E17="پرداخت",ISNUMBER(H17)),H17,0)</x:f>
        <x:v>750000</x:v>
      </x:c>
      <x:c r="Y17" s="68" t="n">
        <x:f>W17-X17</x:f>
        <x:v>-750000</x:v>
      </x:c>
    </x:row>
    <x:row r="18" ht="24" hidden="0" customHeight="1">
      <x:c r="A18" s="53" t="str">
        <x:v>TX0014</x:v>
      </x:c>
      <x:c r="B18" s="65"/>
      <x:c r="C18" s="53"/>
      <x:c r="D18" s="53" t="str">
        <x:v>1404/06</x:v>
      </x:c>
      <x:c r="E18" s="53" t="str">
        <x:v>دریافت</x:v>
      </x:c>
      <x:c r="F18" s="66" t="n">
        <x:v>4920000</x:v>
      </x:c>
      <x:c r="G18" s="67" t="str">
        <x:v>تومان</x:v>
      </x:c>
      <x:c r="H18" s="66" t="n">
        <x:v>4920000</x:v>
      </x:c>
      <x:c r="I18" s="53" t="str">
        <x:v>شرکت‌کنندگان، نگهداری‌شده توسط محمدامین عزیزی</x:v>
      </x:c>
      <x:c r="J18" s="53" t="str">
        <x:v>دریافتی‌های برنامهٔ معارفه رشته (ناخالص)</x:v>
      </x:c>
      <x:c r="K18" s="53" t="str">
        <x:v>ورودی همایش معرفی رشته</x:v>
      </x:c>
      <x:c r="L18" s="53" t="str">
        <x:v>رویدادها</x:v>
      </x:c>
      <x:c r="M18" s="53" t="str">
        <x:v>برنامهٔ معارفه ۱۴۰۴</x:v>
      </x:c>
      <x:c r="N18" s="53" t="str">
        <x:v>تأییدشده</x:v>
      </x:c>
      <x:c r="O18" s="53" t="str">
        <x:v>دفتر اصلی</x:v>
      </x:c>
      <x:c r="P18" s="53" t="str">
        <x:v>AMIN-EVENT</x:v>
      </x:c>
      <x:c r="Q18" s="53" t="str">
        <x:v>message49, message51</x:v>
      </x:c>
      <x:c r="R18" s="53"/>
      <x:c r="S18" s="53"/>
      <x:c r="T18" s="53" t="str"/>
      <x:c r="U18" s="53" t="str">
        <x:v>دریافتی ناخالص نزد امین. مبلغ خالص بعداً به حساب اصلی منتقل شد (TX0018).</x:v>
      </x:c>
      <x:c r="V18" s="53" t="str">
        <x:v>Anjoman accounting.xlsx#مجموع!B15
Anjoman accounting.xlsx#شهریور!B2</x:v>
      </x:c>
      <x:c r="W18" s="68" t="n">
        <x:f>IF(AND(N18="تأییدشده",E18="دریافت",ISNUMBER(H18)),H18,0)</x:f>
        <x:v>4920000</x:v>
      </x:c>
      <x:c r="X18" s="68" t="n">
        <x:f>IF(AND(N18="تأییدشده",E18="پرداخت",ISNUMBER(H18)),H18,0)</x:f>
        <x:v>0</x:v>
      </x:c>
      <x:c r="Y18" s="68" t="n">
        <x:f>W18-X18</x:f>
        <x:v>4920000</x:v>
      </x:c>
    </x:row>
    <x:row r="19" ht="36" hidden="0" customHeight="1">
      <x:c r="A19" s="53" t="str">
        <x:v>TX0015</x:v>
      </x:c>
      <x:c r="B19" s="65" t="d">
        <x:v>2025-09-05T00:00:00.000Z</x:v>
      </x:c>
      <x:c r="C19" s="53" t="str">
        <x:v>1404/06/14</x:v>
      </x:c>
      <x:c r="D19" s="53" t="str">
        <x:v>1404/06</x:v>
      </x:c>
      <x:c r="E19" s="53" t="str">
        <x:v>پرداخت</x:v>
      </x:c>
      <x:c r="F19" s="66" t="n">
        <x:v>1000000</x:v>
      </x:c>
      <x:c r="G19" s="67" t="str">
        <x:v>ریال</x:v>
      </x:c>
      <x:c r="H19" s="66" t="n">
        <x:v>100000</x:v>
      </x:c>
      <x:c r="I19" s="53" t="str">
        <x:v>چاپ بهزاد</x:v>
      </x:c>
      <x:c r="J19" s="53" t="str">
        <x:v>چاپ پوستر و بارکد برای میز معرفی</x:v>
      </x:c>
      <x:c r="K19" s="53" t="str">
        <x:v>چاپ پوستر و بارکد میز معرفی</x:v>
      </x:c>
      <x:c r="L19" s="53" t="str">
        <x:v>چاپ</x:v>
      </x:c>
      <x:c r="M19" s="53" t="str">
        <x:v>برنامهٔ معارفه ۱۴۰۴</x:v>
      </x:c>
      <x:c r="N19" s="53" t="str">
        <x:v>تأییدشده</x:v>
      </x:c>
      <x:c r="O19" s="53" t="str">
        <x:v>رسید و پیام</x:v>
      </x:c>
      <x:c r="P19" s="53" t="str">
        <x:v>AMIN-EVENT</x:v>
      </x:c>
      <x:c r="Q19" s="53" t="str">
        <x:v>message48, message53, message54, message59, message60</x:v>
      </x:c>
      <x:c r="R19" s="53" t="str">
        <x:v>129041617899/002610</x:v>
      </x:c>
      <x:c r="S19" s="53"/>
      <x:c r="T19" s="53" t="str"/>
      <x:c r="U19" s="53" t="str">
        <x:v>پرداخت با کارت پاسارگاد 502229****7257 انجام شده است. نام صاحب کارت چاپ نشده و کارت با کارت مسکن شناخته‌شده امین مطابقت ندارد. کسر از وجوه رویداد تنها بر پایه message53/54 است. تاریخ رسید یک روز پس از message48 است، بنابراین ممکن است رقم روز اشتباه خوانده شده باشد.</x:v>
      </x:c>
      <x:c r="V19" s="53" t="str">
        <x:v>telegram export/photos/photo_11@04-09-2025_14-05-56.jpg
Anjoman accounting.xlsx#مجموع!D15</x:v>
      </x:c>
      <x:c r="W19" s="68" t="n">
        <x:f>IF(AND(N19="تأییدشده",E19="دریافت",ISNUMBER(H19)),H19,0)</x:f>
        <x:v>0</x:v>
      </x:c>
      <x:c r="X19" s="68" t="n">
        <x:f>IF(AND(N19="تأییدشده",E19="پرداخت",ISNUMBER(H19)),H19,0)</x:f>
        <x:v>100000</x:v>
      </x:c>
      <x:c r="Y19" s="68" t="n">
        <x:f>W19-X19</x:f>
        <x:v>-100000</x:v>
      </x:c>
    </x:row>
    <x:row r="20" ht="15" hidden="0" customHeight="1">
      <x:c r="A20" s="53" t="str">
        <x:v>TX0016</x:v>
      </x:c>
      <x:c r="B20" s="65"/>
      <x:c r="C20" s="53"/>
      <x:c r="D20" s="53" t="str">
        <x:v>1404/06</x:v>
      </x:c>
      <x:c r="E20" s="53" t="str">
        <x:v>پرداخت</x:v>
      </x:c>
      <x:c r="F20" s="66" t="n">
        <x:v>2866000</x:v>
      </x:c>
      <x:c r="G20" s="67" t="str">
        <x:v>تومان</x:v>
      </x:c>
      <x:c r="H20" s="66" t="n">
        <x:v>2866000</x:v>
      </x:c>
      <x:c r="I20" s="53" t="str">
        <x:v>محمدامین عزیزی</x:v>
      </x:c>
      <x:c r="J20" s="53" t="str">
        <x:v>لوازم برنامهٔ معارفه</x:v>
      </x:c>
      <x:c r="K20" s="53" t="str">
        <x:v>تدارکات رویداد معرفی رشته</x:v>
      </x:c>
      <x:c r="L20" s="53" t="str">
        <x:v>رویدادها</x:v>
      </x:c>
      <x:c r="M20" s="53" t="str">
        <x:v>برنامهٔ معارفه ۱۴۰۴</x:v>
      </x:c>
      <x:c r="N20" s="53" t="str">
        <x:v>تأییدشده</x:v>
      </x:c>
      <x:c r="O20" s="53" t="str">
        <x:v>دفتر اصلی</x:v>
      </x:c>
      <x:c r="P20" s="53" t="str">
        <x:v>AMIN-EVENT</x:v>
      </x:c>
      <x:c r="Q20" s="53" t="str"/>
      <x:c r="R20" s="53"/>
      <x:c r="S20" s="53"/>
      <x:c r="T20" s="53" t="str">
        <x:v>فاکتوری وجود ندارد.</x:v>
      </x:c>
      <x:c r="U20" s="53" t="str">
        <x:v>مستخرج از دفتر کل.</x:v>
      </x:c>
      <x:c r="V20" s="53" t="str">
        <x:v>Anjoman accounting.xlsx#مجموع!D16</x:v>
      </x:c>
      <x:c r="W20" s="68" t="n">
        <x:f>IF(AND(N20="تأییدشده",E20="دریافت",ISNUMBER(H20)),H20,0)</x:f>
        <x:v>0</x:v>
      </x:c>
      <x:c r="X20" s="68" t="n">
        <x:f>IF(AND(N20="تأییدشده",E20="پرداخت",ISNUMBER(H20)),H20,0)</x:f>
        <x:v>2866000</x:v>
      </x:c>
      <x:c r="Y20" s="68" t="n">
        <x:f>W20-X20</x:f>
        <x:v>-2866000</x:v>
      </x:c>
    </x:row>
    <x:row r="21" ht="15" hidden="0" customHeight="1">
      <x:c r="A21" s="53" t="str">
        <x:v>TX0017</x:v>
      </x:c>
      <x:c r="B21" s="65"/>
      <x:c r="C21" s="53"/>
      <x:c r="D21" s="53" t="str">
        <x:v>1404/06</x:v>
      </x:c>
      <x:c r="E21" s="53" t="str">
        <x:v>پرداخت</x:v>
      </x:c>
      <x:c r="F21" s="66" t="n">
        <x:v>189000</x:v>
      </x:c>
      <x:c r="G21" s="67" t="str">
        <x:v>تومان</x:v>
      </x:c>
      <x:c r="H21" s="66" t="n">
        <x:v>189000</x:v>
      </x:c>
      <x:c r="I21" s="53" t="str">
        <x:v>ابراهیم خسروانی</x:v>
      </x:c>
      <x:c r="J21" s="53" t="str">
        <x:v>کارمزد تأمین تجهیزات معرفی (فرمول 3,055,000-2,866,000)</x:v>
      </x:c>
      <x:c r="K21" s="53" t="str">
        <x:v>حق‌الزحمه خرید تدارکات معرفی رشته</x:v>
      </x:c>
      <x:c r="L21" s="53" t="str">
        <x:v>رویدادها</x:v>
      </x:c>
      <x:c r="M21" s="53" t="str">
        <x:v>برنامهٔ معارفه ۱۴۰۴</x:v>
      </x:c>
      <x:c r="N21" s="53" t="str">
        <x:v>تأییدشده</x:v>
      </x:c>
      <x:c r="O21" s="53" t="str">
        <x:v>دفتر اصلی</x:v>
      </x:c>
      <x:c r="P21" s="53" t="str">
        <x:v>AMIN-EVENT</x:v>
      </x:c>
      <x:c r="Q21" s="53" t="str"/>
      <x:c r="R21" s="53"/>
      <x:c r="S21" s="53"/>
      <x:c r="T21" s="53" t="str">
        <x:v>رسید وجود ندارد.</x:v>
      </x:c>
      <x:c r="U21" s="53" t="str">
        <x:v>مستخرج از دفتر کل.</x:v>
      </x:c>
      <x:c r="V21" s="53" t="str">
        <x:v>Anjoman accounting.xlsx#مجموع!D17</x:v>
      </x:c>
      <x:c r="W21" s="68" t="n">
        <x:f>IF(AND(N21="تأییدشده",E21="دریافت",ISNUMBER(H21)),H21,0)</x:f>
        <x:v>0</x:v>
      </x:c>
      <x:c r="X21" s="68" t="n">
        <x:f>IF(AND(N21="تأییدشده",E21="پرداخت",ISNUMBER(H21)),H21,0)</x:f>
        <x:v>189000</x:v>
      </x:c>
      <x:c r="Y21" s="68" t="n">
        <x:f>W21-X21</x:f>
        <x:v>-189000</x:v>
      </x:c>
    </x:row>
    <x:row r="22" ht="36" hidden="0" customHeight="1">
      <x:c r="A22" s="53" t="str">
        <x:v>TX0018</x:v>
      </x:c>
      <x:c r="B22" s="65" t="d">
        <x:v>2025-10-01T00:00:00.000Z</x:v>
      </x:c>
      <x:c r="C22" s="53" t="str">
        <x:v>1404/07/09</x:v>
      </x:c>
      <x:c r="D22" s="53" t="str">
        <x:v>1404/07</x:v>
      </x:c>
      <x:c r="E22" s="53" t="str">
        <x:v>انتقال داخلی</x:v>
      </x:c>
      <x:c r="F22" s="66" t="n">
        <x:v>17650000</x:v>
      </x:c>
      <x:c r="G22" s="67" t="str">
        <x:v>نامشخص</x:v>
      </x:c>
      <x:c r="H22" s="66"/>
      <x:c r="I22" s="53" t="str">
        <x:v>AMIN-EVENT به SHAHR-8966</x:v>
      </x:c>
      <x:c r="J22" s="53" t="str">
        <x:v>عواید خالص برنامهٔ معارفه رشته منتقل‌شده به حساب اصلی</x:v>
      </x:c>
      <x:c r="K22" s="53" t="str">
        <x:v>انتقال درآمد خالص همایش معرفی رشته به حساب اصلی</x:v>
      </x:c>
      <x:c r="L22" s="53" t="str">
        <x:v>انتقال‌ها</x:v>
      </x:c>
      <x:c r="M22" s="53" t="str">
        <x:v>برنامهٔ معارفه ۱۴۰۴</x:v>
      </x:c>
      <x:c r="N22" s="53" t="str">
        <x:v>نیازمند بررسی</x:v>
      </x:c>
      <x:c r="O22" s="53" t="str">
        <x:v>رسید و پیام</x:v>
      </x:c>
      <x:c r="P22" s="53" t="str">
        <x:v>SHAHR-8966</x:v>
      </x:c>
      <x:c r="Q22" s="53" t="str">
        <x:v>message49, message50, message51, message52, message53, message54</x:v>
      </x:c>
      <x:c r="R22" s="53" t="str">
        <x:v>500318322689</x:v>
      </x:c>
      <x:c r="S22" s="53"/>
      <x:c r="T22" s="53" t="str">
        <x:v>واحدی درج نشده است. اگر مبلغ ریال باشد (1,765,000 تومان)، با خالص دفتر 4,920,000-3,155,000 (M3) برابر است.</x:v>
      </x:c>
      <x:c r="U22" s="53" t="str">
        <x:v>درآمد نیست. دریافت‌ها و هزینه‌های ناخالص پیش‌تر در TX0014–TX0017 آمده‌اند. کارت مبدأ 6280 23**…7262 (بانک مسکن) با کارت محمدامین عزیزی در رسید TX0007 مطابقت دارد. این موضوع انتقال از AMIN-EVENT را تقویت می‌کند. واحد مبلغ همچنان تأیید نشده است.</x:v>
      </x:c>
      <x:c r="V22" s="53" t="str">
        <x:v>telegram export/photos/photo_12@01-10-2025_18-02-44.jpg
Anjoman accounting.xlsx#مجموع!M3</x:v>
      </x:c>
      <x:c r="W22" s="68" t="n">
        <x:f>IF(AND(N22="تأییدشده",E22="دریافت",ISNUMBER(H22)),H22,0)</x:f>
        <x:v>0</x:v>
      </x:c>
      <x:c r="X22" s="68" t="n">
        <x:f>IF(AND(N22="تأییدشده",E22="پرداخت",ISNUMBER(H22)),H22,0)</x:f>
        <x:v>0</x:v>
      </x:c>
      <x:c r="Y22" s="68" t="n">
        <x:f>W22-X22</x:f>
        <x:v>0</x:v>
      </x:c>
    </x:row>
    <x:row r="23" ht="24" hidden="0" customHeight="1">
      <x:c r="A23" s="53" t="str">
        <x:v>TX0019</x:v>
      </x:c>
      <x:c r="B23" s="65" t="d">
        <x:v>2025-10-14T00:00:00.000Z</x:v>
      </x:c>
      <x:c r="C23" s="53" t="str">
        <x:v>1404/07/22</x:v>
      </x:c>
      <x:c r="D23" s="53" t="str">
        <x:v>1404/07</x:v>
      </x:c>
      <x:c r="E23" s="53" t="str">
        <x:v>دریافت</x:v>
      </x:c>
      <x:c r="F23" s="66" t="n">
        <x:v>5000000</x:v>
      </x:c>
      <x:c r="G23" s="67" t="str">
        <x:v>ریال</x:v>
      </x:c>
      <x:c r="H23" s="66" t="n">
        <x:v>500000</x:v>
      </x:c>
      <x:c r="I23" s="53" t="str">
        <x:v>دکتر سامان مقیمی (کارت 6274…2662)</x:v>
      </x:c>
      <x:c r="J23" s="53" t="str">
        <x:v>کمک مالی برای شیرینی جلسه ۲۲ مهر</x:v>
      </x:c>
      <x:c r="K23" s="53" t="str">
        <x:v>واریزی دکتر مقیمی جهت شیرینی نشست ۲۲ مهر</x:v>
      </x:c>
      <x:c r="L23" s="53" t="str">
        <x:v>کمک‌های مالی</x:v>
      </x:c>
      <x:c r="M23" s="53" t="str">
        <x:v>مجمع اساتید مهر</x:v>
      </x:c>
      <x:c r="N23" s="53" t="str">
        <x:v>تأییدشده</x:v>
      </x:c>
      <x:c r="O23" s="53" t="str">
        <x:v>رسید و پیام</x:v>
      </x:c>
      <x:c r="P23" s="53" t="str">
        <x:v>SHAHR-8966</x:v>
      </x:c>
      <x:c r="Q23" s="53" t="str">
        <x:v>message63</x:v>
      </x:c>
      <x:c r="R23" s="53"/>
      <x:c r="S23" s="53"/>
      <x:c r="T23" s="53" t="str"/>
      <x:c r="U23" s="53" t="str">
        <x:v>هویت اهداکننده فقط از زیرنویس به دست آمده است.</x:v>
      </x:c>
      <x:c r="V23" s="53" t="str">
        <x:v>telegram export/photos/photo_15@15-10-2025_14-18-25.jpg
Anjoman accounting.xlsx#مجموع!B19</x:v>
      </x:c>
      <x:c r="W23" s="68" t="n">
        <x:f>IF(AND(N23="تأییدشده",E23="دریافت",ISNUMBER(H23)),H23,0)</x:f>
        <x:v>500000</x:v>
      </x:c>
      <x:c r="X23" s="68" t="n">
        <x:f>IF(AND(N23="تأییدشده",E23="پرداخت",ISNUMBER(H23)),H23,0)</x:f>
        <x:v>0</x:v>
      </x:c>
      <x:c r="Y23" s="68" t="n">
        <x:f>W23-X23</x:f>
        <x:v>500000</x:v>
      </x:c>
    </x:row>
    <x:row r="24" ht="24" hidden="0" customHeight="1">
      <x:c r="A24" s="53" t="str">
        <x:v>TX0020</x:v>
      </x:c>
      <x:c r="B24" s="65" t="d">
        <x:v>2025-10-12T00:00:00.000Z</x:v>
      </x:c>
      <x:c r="C24" s="53" t="str">
        <x:v>1404/07/20</x:v>
      </x:c>
      <x:c r="D24" s="53" t="str">
        <x:v>1404/07</x:v>
      </x:c>
      <x:c r="E24" s="53" t="str">
        <x:v>پرداخت</x:v>
      </x:c>
      <x:c r="F24" s="66" t="n">
        <x:v>900000</x:v>
      </x:c>
      <x:c r="G24" s="67" t="str">
        <x:v>ریال</x:v>
      </x:c>
      <x:c r="H24" s="66" t="n">
        <x:v>90000</x:v>
      </x:c>
      <x:c r="I24" s="53" t="str">
        <x:v>زهرا امیری</x:v>
      </x:c>
      <x:c r="J24" s="53" t="str">
        <x:v>پوستر برای مجمع و حلقه‌های کوانتا</x:v>
      </x:c>
      <x:c r="K24" s="53" t="str">
        <x:v>پوستر نشست و کوانتا</x:v>
      </x:c>
      <x:c r="L24" s="53" t="str">
        <x:v>چاپ</x:v>
      </x:c>
      <x:c r="M24" s="53" t="str">
        <x:v>مجمع اساتید مهر</x:v>
      </x:c>
      <x:c r="N24" s="53" t="str">
        <x:v>تأییدشده</x:v>
      </x:c>
      <x:c r="O24" s="53" t="str">
        <x:v>رسید و پیام</x:v>
      </x:c>
      <x:c r="P24" s="53" t="str">
        <x:v>SHAHR-8966</x:v>
      </x:c>
      <x:c r="Q24" s="53" t="str">
        <x:v>message61</x:v>
      </x:c>
      <x:c r="R24" s="53" t="str">
        <x:v>130097475275</x:v>
      </x:c>
      <x:c r="S24" s="53"/>
      <x:c r="T24" s="53" t="str"/>
      <x:c r="U24" s="53" t="str"/>
      <x:c r="V24" s="53" t="str">
        <x:v>telegram export/photos/photo_13@12-10-2025_10-24-38.jpg
Anjoman accounting.xlsx#مجموع!D19</x:v>
      </x:c>
      <x:c r="W24" s="68" t="n">
        <x:f>IF(AND(N24="تأییدشده",E24="دریافت",ISNUMBER(H24)),H24,0)</x:f>
        <x:v>0</x:v>
      </x:c>
      <x:c r="X24" s="68" t="n">
        <x:f>IF(AND(N24="تأییدشده",E24="پرداخت",ISNUMBER(H24)),H24,0)</x:f>
        <x:v>90000</x:v>
      </x:c>
      <x:c r="Y24" s="68" t="n">
        <x:f>W24-X24</x:f>
        <x:v>-90000</x:v>
      </x:c>
    </x:row>
    <x:row r="25" ht="24" hidden="0" customHeight="1">
      <x:c r="A25" s="53" t="str">
        <x:v>TX0021</x:v>
      </x:c>
      <x:c r="B25" s="65" t="d">
        <x:v>2025-10-12T00:00:00.000Z</x:v>
      </x:c>
      <x:c r="C25" s="53" t="str">
        <x:v>1404/07/20</x:v>
      </x:c>
      <x:c r="D25" s="53" t="str">
        <x:v>1404/07</x:v>
      </x:c>
      <x:c r="E25" s="53" t="str">
        <x:v>پرداخت</x:v>
      </x:c>
      <x:c r="F25" s="66" t="n">
        <x:v>7900000</x:v>
      </x:c>
      <x:c r="G25" s="67" t="str">
        <x:v>ریال</x:v>
      </x:c>
      <x:c r="H25" s="66" t="n">
        <x:v>790000</x:v>
      </x:c>
      <x:c r="I25" s="53" t="str">
        <x:v>پایانه پذیرنده 12926362</x:v>
      </x:c>
      <x:c r="J25" s="53" t="str">
        <x:v>فنجان، بیسکویت و چای برای انجمن چای</x:v>
      </x:c>
      <x:c r="K25" s="53" t="str">
        <x:v>لیوان، بیسکوئیت و چای انجمن چای</x:v>
      </x:c>
      <x:c r="L25" s="53" t="str">
        <x:v>پذیرایی</x:v>
      </x:c>
      <x:c r="M25" s="53" t="str">
        <x:v>انجمن چای و فیزیک</x:v>
      </x:c>
      <x:c r="N25" s="53" t="str">
        <x:v>تأییدشده</x:v>
      </x:c>
      <x:c r="O25" s="53" t="str">
        <x:v>رسید و پیام</x:v>
      </x:c>
      <x:c r="P25" s="53" t="str">
        <x:v>SHAHR-8966</x:v>
      </x:c>
      <x:c r="Q25" s="53" t="str">
        <x:v>message64</x:v>
      </x:c>
      <x:c r="R25" s="53" t="str">
        <x:v>692472</x:v>
      </x:c>
      <x:c r="S25" s="53"/>
      <x:c r="T25" s="53" t="str"/>
      <x:c r="U25" s="53" t="str">
        <x:v>مانده پس از تراکنش: ۲۲,۹۵۳,۹۱۳ ریال.</x:v>
      </x:c>
      <x:c r="V25" s="53" t="str">
        <x:v>telegram export/photos/photo_16@15-10-2025_14-18-26.jpg
Anjoman accounting.xlsx#مجموع!D21</x:v>
      </x:c>
      <x:c r="W25" s="68" t="n">
        <x:f>IF(AND(N25="تأییدشده",E25="دریافت",ISNUMBER(H25)),H25,0)</x:f>
        <x:v>0</x:v>
      </x:c>
      <x:c r="X25" s="68" t="n">
        <x:f>IF(AND(N25="تأییدشده",E25="پرداخت",ISNUMBER(H25)),H25,0)</x:f>
        <x:v>790000</x:v>
      </x:c>
      <x:c r="Y25" s="68" t="n">
        <x:f>W25-X25</x:f>
        <x:v>-790000</x:v>
      </x:c>
    </x:row>
    <x:row r="26" ht="24" hidden="0" customHeight="1">
      <x:c r="A26" s="53" t="str">
        <x:v>TX0022</x:v>
      </x:c>
      <x:c r="B26" s="65" t="d">
        <x:v>2025-10-12T00:00:00.000Z</x:v>
      </x:c>
      <x:c r="C26" s="53" t="str">
        <x:v>1404/07/20</x:v>
      </x:c>
      <x:c r="D26" s="53" t="str">
        <x:v>1404/07</x:v>
      </x:c>
      <x:c r="E26" s="53" t="str">
        <x:v>پرداخت</x:v>
      </x:c>
      <x:c r="F26" s="66" t="n">
        <x:v>7900000</x:v>
      </x:c>
      <x:c r="G26" s="67" t="str">
        <x:v>ریال</x:v>
      </x:c>
      <x:c r="H26" s="66" t="n">
        <x:v>790000</x:v>
      </x:c>
      <x:c r="I26" s="53" t="str">
        <x:v>پایانه پذیرنده 12926362</x:v>
      </x:c>
      <x:c r="J26" s="53" t="str">
        <x:v>نسخه بازبارگذاری‌شده رسید TX0021</x:v>
      </x:c>
      <x:c r="K26" s="53" t="str">
        <x:v>تکرار رسید لیوان/بیسکوئیت</x:v>
      </x:c>
      <x:c r="L26" s="53" t="str">
        <x:v>پذیرایی</x:v>
      </x:c>
      <x:c r="M26" s="53" t="str">
        <x:v>انجمن چای و فیزیک</x:v>
      </x:c>
      <x:c r="N26" s="53" t="str">
        <x:v>تکراری</x:v>
      </x:c>
      <x:c r="O26" s="53" t="str">
        <x:v>فقط رسید</x:v>
      </x:c>
      <x:c r="P26" s="53" t="str">
        <x:v>SHAHR-8966</x:v>
      </x:c>
      <x:c r="Q26" s="53" t="str"/>
      <x:c r="R26" s="53" t="str">
        <x:v>692472</x:v>
      </x:c>
      <x:c r="S26" s="53" t="str">
        <x:v>TX0021</x:v>
      </x:c>
      <x:c r="T26" s="53" t="str">
        <x:v>همان شناسهٔ پیگیری، زمان و مانده‌ی TX0021.</x:v>
      </x:c>
      <x:c r="U26" s="53" t="str">
        <x:v>کنار گذاشته شده است. کاربر تأیید می‌کند که همهٔ رسیدها/اسناد هزینه‌های انجمن را نشان می‌دهند. هدف، تا زمان شناسایی مشخص، طبقه‌بندی‌نشده باقی می‌ماند.</x:v>
      </x:c>
      <x:c r="V26" s="53" t="str">
        <x:v>recipts/photo_1_2026-10-10_14-07-27.jpg
reports/2026-10-10/user_confirmation_2026-10-10.json</x:v>
      </x:c>
      <x:c r="W26" s="68" t="n">
        <x:f>IF(AND(N26="تأییدشده",E26="دریافت",ISNUMBER(H26)),H26,0)</x:f>
        <x:v>0</x:v>
      </x:c>
      <x:c r="X26" s="68" t="n">
        <x:f>IF(AND(N26="تأییدشده",E26="پرداخت",ISNUMBER(H26)),H26,0)</x:f>
        <x:v>0</x:v>
      </x:c>
      <x:c r="Y26" s="68" t="n">
        <x:f>W26-X26</x:f>
        <x:v>0</x:v>
      </x:c>
    </x:row>
    <x:row r="27" ht="36" hidden="0" customHeight="1">
      <x:c r="A27" s="53" t="str">
        <x:v>TX0023</x:v>
      </x:c>
      <x:c r="B27" s="65" t="d">
        <x:v>2025-10-12T00:00:00.000Z</x:v>
      </x:c>
      <x:c r="C27" s="53" t="str">
        <x:v>1404/07/20</x:v>
      </x:c>
      <x:c r="D27" s="53" t="str">
        <x:v>1404/07</x:v>
      </x:c>
      <x:c r="E27" s="53" t="str">
        <x:v>پرداخت</x:v>
      </x:c>
      <x:c r="F27" s="66" t="n">
        <x:v>9128500</x:v>
      </x:c>
      <x:c r="G27" s="67" t="str">
        <x:v>ریال</x:v>
      </x:c>
      <x:c r="H27" s="66" t="n">
        <x:v>912850</x:v>
      </x:c>
      <x:c r="I27" s="53" t="str">
        <x:v>شیرینی مارژولن (ترمینال 14594032)</x:v>
      </x:c>
      <x:c r="J27" s="53" t="str">
        <x:v>شیرینی برای نشست انجمن چای ۲۰ مهر</x:v>
      </x:c>
      <x:c r="K27" s="53" t="str">
        <x:v>شیرینی جلسه انجمن چای ۲۰ مهر</x:v>
      </x:c>
      <x:c r="L27" s="53" t="str">
        <x:v>پذیرایی</x:v>
      </x:c>
      <x:c r="M27" s="53" t="str">
        <x:v>انجمن چای و فیزیک</x:v>
      </x:c>
      <x:c r="N27" s="53" t="str">
        <x:v>تأییدشده</x:v>
      </x:c>
      <x:c r="O27" s="53" t="str">
        <x:v>رسید و پیام</x:v>
      </x:c>
      <x:c r="P27" s="53" t="str">
        <x:v>SHAHR-8966</x:v>
      </x:c>
      <x:c r="Q27" s="53" t="str">
        <x:v>message65, message150</x:v>
      </x:c>
      <x:c r="R27" s="53" t="str">
        <x:v>373710</x:v>
      </x:c>
      <x:c r="S27" s="53"/>
      <x:c r="T27" s="53" t="str"/>
      <x:c r="U27" s="53" t="str">
        <x:v>photo_37 صفحه سفارش همان خرید است. محاسبه آن (903,000-45,150≠912,850) توضیح داده نشده است.</x:v>
      </x:c>
      <x:c r="V27" s="53" t="str">
        <x:v>telegram export/photos/photo_17@15-10-2025_14-18-26.jpg
telegram export/photos/photo_37@27-06-2026_18-27-12.jpg
Anjoman accounting.xlsx#مجموع!D22</x:v>
      </x:c>
      <x:c r="W27" s="68" t="n">
        <x:f>IF(AND(N27="تأییدشده",E27="دریافت",ISNUMBER(H27)),H27,0)</x:f>
        <x:v>0</x:v>
      </x:c>
      <x:c r="X27" s="68" t="n">
        <x:f>IF(AND(N27="تأییدشده",E27="پرداخت",ISNUMBER(H27)),H27,0)</x:f>
        <x:v>912850</x:v>
      </x:c>
      <x:c r="Y27" s="68" t="n">
        <x:f>W27-X27</x:f>
        <x:v>-912850</x:v>
      </x:c>
    </x:row>
    <x:row r="28" ht="48" hidden="0" customHeight="1">
      <x:c r="A28" s="53" t="str">
        <x:v>TX0024</x:v>
      </x:c>
      <x:c r="B28" s="65" t="d">
        <x:v>2025-10-14T00:00:00.000Z</x:v>
      </x:c>
      <x:c r="C28" s="53" t="str">
        <x:v>1404/07/22</x:v>
      </x:c>
      <x:c r="D28" s="53" t="str">
        <x:v>1404/07</x:v>
      </x:c>
      <x:c r="E28" s="53" t="str">
        <x:v>پرداخت</x:v>
      </x:c>
      <x:c r="F28" s="66" t="n">
        <x:v>10523750</x:v>
      </x:c>
      <x:c r="G28" s="67" t="str">
        <x:v>ریال</x:v>
      </x:c>
      <x:c r="H28" s="66" t="n">
        <x:v>1052375</x:v>
      </x:c>
      <x:c r="I28" s="53" t="str">
        <x:v>شیرینی مارژولن (ترمینال 14594032)</x:v>
      </x:c>
      <x:c r="J28" s="53" t="str">
        <x:v>شیرینی برای مجمع اساتید ۲۲ مهر</x:v>
      </x:c>
      <x:c r="K28" s="53" t="str">
        <x:v>شیرینی نشست عمومی/دیدار اساتید ۲۲ مهر</x:v>
      </x:c>
      <x:c r="L28" s="53" t="str">
        <x:v>پذیرایی</x:v>
      </x:c>
      <x:c r="M28" s="53" t="str">
        <x:v>مجمع اساتید مهر</x:v>
      </x:c>
      <x:c r="N28" s="53" t="str">
        <x:v>تأییدشده</x:v>
      </x:c>
      <x:c r="O28" s="53" t="str">
        <x:v>رسید و پیام</x:v>
      </x:c>
      <x:c r="P28" s="53" t="str">
        <x:v>SHAHR-8966</x:v>
      </x:c>
      <x:c r="Q28" s="53" t="str">
        <x:v>message62, message105, message149</x:v>
      </x:c>
      <x:c r="R28" s="53" t="str">
        <x:v>175854</x:v>
      </x:c>
      <x:c r="S28" s="53"/>
      <x:c r="T28" s="53" t="str"/>
      <x:c r="U28" s="53" t="str">
        <x:v>برداشت بانکی، صفحه سفارش و ردیف صورتحساب (message105) یک خرید واحد هستند. صفحه سفارش یک اختلاف محاسباتی ۵,۰۰۰ دارد. مقدار 560,800,163 در فیلد «مبلغ» با مانده جاری ریالی سازگار است: photo_15 مانده 565,800,163 را پس از واریز ۵,۰۰۰,۰۰۰ ریالی ساعت 13:12 نشان می‌دهد. با این حال این مقدار با مانده 22,953,913 در تاریخ 1404/07/20 مغایرت دارد.</x:v>
      </x:c>
      <x:c r="V28" s="53" t="str">
        <x:v>telegram export/photos/photo_14@15-10-2025_14-18-25.jpg
telegram export/photos/photo_36@27-06-2026_18-26-45.jpg
telegram export/messages.html#message105
Anjoman accounting.xlsx#مجموع!D20</x:v>
      </x:c>
      <x:c r="W28" s="68" t="n">
        <x:f>IF(AND(N28="تأییدشده",E28="دریافت",ISNUMBER(H28)),H28,0)</x:f>
        <x:v>0</x:v>
      </x:c>
      <x:c r="X28" s="68" t="n">
        <x:f>IF(AND(N28="تأییدشده",E28="پرداخت",ISNUMBER(H28)),H28,0)</x:f>
        <x:v>1052375</x:v>
      </x:c>
      <x:c r="Y28" s="68" t="n">
        <x:f>W28-X28</x:f>
        <x:v>-1052375</x:v>
      </x:c>
    </x:row>
    <x:row r="29" ht="24" hidden="0" customHeight="1">
      <x:c r="A29" s="53" t="str">
        <x:v>TX0025</x:v>
      </x:c>
      <x:c r="B29" s="65"/>
      <x:c r="C29" s="53"/>
      <x:c r="D29" s="53" t="str">
        <x:v>1404/07</x:v>
      </x:c>
      <x:c r="E29" s="53" t="str">
        <x:v>پرداخت</x:v>
      </x:c>
      <x:c r="F29" s="66" t="n">
        <x:v>1052375</x:v>
      </x:c>
      <x:c r="G29" s="67" t="str">
        <x:v>تومان</x:v>
      </x:c>
      <x:c r="H29" s="66" t="n">
        <x:v>1052375</x:v>
      </x:c>
      <x:c r="I29" s="53" t="str">
        <x:v>شیرینی مارژولن</x:v>
      </x:c>
      <x:c r="J29" s="53" t="str">
        <x:v>ردیف تکراری دفتر برای شیرینی اساتید</x:v>
      </x:c>
      <x:c r="K29" s="53" t="str">
        <x:v>شیرینی دیدار با اساتید (ردیف تکراری)</x:v>
      </x:c>
      <x:c r="L29" s="53" t="str">
        <x:v>پذیرایی</x:v>
      </x:c>
      <x:c r="M29" s="53" t="str">
        <x:v>مجمع اساتید مهر</x:v>
      </x:c>
      <x:c r="N29" s="53" t="str">
        <x:v>تکراری</x:v>
      </x:c>
      <x:c r="O29" s="53" t="str">
        <x:v>دفتر اصلی</x:v>
      </x:c>
      <x:c r="P29" s="53" t="str">
        <x:v>SHAHR-8966</x:v>
      </x:c>
      <x:c r="Q29" s="53" t="str">
        <x:v>message105</x:v>
      </x:c>
      <x:c r="R29" s="53"/>
      <x:c r="S29" s="53" t="str">
        <x:v>TX0024</x:v>
      </x:c>
      <x:c r="T29" s="53" t="str">
        <x:v>فقط یک پرداخت وجود دارد. message105 برای همان برداشت ۱۴۰۴/۰۷/۲۲ عبارت «دیدار با اساتید» را ذکر کرده است.</x:v>
      </x:c>
      <x:c r="U29" s="53" t="str">
        <x:v>کنار گذاشته شده است. همچنین خارج از دامنهٔ فرمول M4 یعنی D19:D22 است.</x:v>
      </x:c>
      <x:c r="V29" s="53" t="str">
        <x:v>Anjoman accounting.xlsx#مجموع!D23</x:v>
      </x:c>
      <x:c r="W29" s="68" t="n">
        <x:f>IF(AND(N29="تأییدشده",E29="دریافت",ISNUMBER(H29)),H29,0)</x:f>
        <x:v>0</x:v>
      </x:c>
      <x:c r="X29" s="68" t="n">
        <x:f>IF(AND(N29="تأییدشده",E29="پرداخت",ISNUMBER(H29)),H29,0)</x:f>
        <x:v>0</x:v>
      </x:c>
      <x:c r="Y29" s="68" t="n">
        <x:f>W29-X29</x:f>
        <x:v>0</x:v>
      </x:c>
    </x:row>
    <x:row r="30" ht="24" hidden="0" customHeight="1">
      <x:c r="A30" s="53" t="str">
        <x:v>TX0026</x:v>
      </x:c>
      <x:c r="B30" s="65" t="d">
        <x:v>2025-10-26T00:00:00.000Z</x:v>
      </x:c>
      <x:c r="C30" s="53" t="str">
        <x:v>1404/08/04</x:v>
      </x:c>
      <x:c r="D30" s="53" t="str">
        <x:v>1404/08</x:v>
      </x:c>
      <x:c r="E30" s="53" t="str">
        <x:v>دریافت</x:v>
      </x:c>
      <x:c r="F30" s="66" t="n">
        <x:v>100000000</x:v>
      </x:c>
      <x:c r="G30" s="67" t="str">
        <x:v>ریال</x:v>
      </x:c>
      <x:c r="H30" s="66" t="n">
        <x:v>10000000</x:v>
      </x:c>
      <x:c r="I30" s="53" t="str">
        <x:v>انجمن سابق (کارت ملت …7532)</x:v>
      </x:c>
      <x:c r="J30" s="53" t="str">
        <x:v>وجوه دریافت‌شده از هیئت مدیره قبلی انجمن</x:v>
      </x:c>
      <x:c r="K30" s="53" t="str">
        <x:v>دریافتی از انجمن پیشین</x:v>
      </x:c>
      <x:c r="L30" s="53" t="str">
        <x:v>وجوه ابتدای دوره</x:v>
      </x:c>
      <x:c r="M30" s="53" t="str">
        <x:v>عملیات انجمن</x:v>
      </x:c>
      <x:c r="N30" s="53" t="str">
        <x:v>تأییدشده</x:v>
      </x:c>
      <x:c r="O30" s="53" t="str">
        <x:v>رسید و پیام</x:v>
      </x:c>
      <x:c r="P30" s="53" t="str">
        <x:v>SHAHR-8966</x:v>
      </x:c>
      <x:c r="Q30" s="53" t="str">
        <x:v>message71, message72, message75</x:v>
      </x:c>
      <x:c r="R30" s="53" t="str">
        <x:v>8723</x:v>
      </x:c>
      <x:c r="S30" s="53"/>
      <x:c r="T30" s="53" t="str"/>
      <x:c r="U30" s="53" t="str">
        <x:v>تحویل وجوه اول دوره، نه درآمد عملیاتی.</x:v>
      </x:c>
      <x:c r="V30" s="53" t="str">
        <x:v>telegram export/photos/photo_20@28-10-2025_22-07-57.jpg
Anjoman accounting.xlsx#مجموع!B25</x:v>
      </x:c>
      <x:c r="W30" s="68" t="n">
        <x:f>IF(AND(N30="تأییدشده",E30="دریافت",ISNUMBER(H30)),H30,0)</x:f>
        <x:v>10000000</x:v>
      </x:c>
      <x:c r="X30" s="68" t="n">
        <x:f>IF(AND(N30="تأییدشده",E30="پرداخت",ISNUMBER(H30)),H30,0)</x:f>
        <x:v>0</x:v>
      </x:c>
      <x:c r="Y30" s="68" t="n">
        <x:f>W30-X30</x:f>
        <x:v>10000000</x:v>
      </x:c>
    </x:row>
    <x:row r="31" ht="24" hidden="0" customHeight="1">
      <x:c r="A31" s="53" t="str">
        <x:v>TX0027</x:v>
      </x:c>
      <x:c r="B31" s="65" t="d">
        <x:v>2025-10-27T00:00:00.000Z</x:v>
      </x:c>
      <x:c r="C31" s="53" t="str">
        <x:v>1404/08/05</x:v>
      </x:c>
      <x:c r="D31" s="53" t="str">
        <x:v>1404/08</x:v>
      </x:c>
      <x:c r="E31" s="53" t="str">
        <x:v>دریافت</x:v>
      </x:c>
      <x:c r="F31" s="66" t="n">
        <x:v>10000000</x:v>
      </x:c>
      <x:c r="G31" s="67" t="str">
        <x:v>ریال</x:v>
      </x:c>
      <x:c r="H31" s="66" t="n">
        <x:v>1000000</x:v>
      </x:c>
      <x:c r="I31" s="53" t="str">
        <x:v>انجمن سابق (کارت …7532)</x:v>
      </x:c>
      <x:c r="J31" s="53" t="str">
        <x:v>تحویل دوم از انجمن قبلی</x:v>
      </x:c>
      <x:c r="K31" s="53" t="str">
        <x:v>دریافتی دوم از انجمن پیشین</x:v>
      </x:c>
      <x:c r="L31" s="53" t="str">
        <x:v>وجوه ابتدای دوره</x:v>
      </x:c>
      <x:c r="M31" s="53" t="str">
        <x:v>عملیات انجمن</x:v>
      </x:c>
      <x:c r="N31" s="53" t="str">
        <x:v>تأییدشده</x:v>
      </x:c>
      <x:c r="O31" s="53" t="str">
        <x:v>رسید و پیام</x:v>
      </x:c>
      <x:c r="P31" s="53" t="str">
        <x:v>SHAHR-8966</x:v>
      </x:c>
      <x:c r="Q31" s="53" t="str">
        <x:v>message67, message73, message74, message75</x:v>
      </x:c>
      <x:c r="R31" s="53" t="str">
        <x:v>066592116416</x:v>
      </x:c>
      <x:c r="S31" s="53"/>
      <x:c r="T31" s="53" t="str"/>
      <x:c r="U31" s="53" t="str">
        <x:v>message74 تأیید می‌کند؛ message75 مجموع 11 (میلیون) را می‌دهد که با B25 = 11,000,000 مطابقت دارد. ورک‌بوک پالایش‌شده نام نیما کوهی را آورده است؛ این نادرست است.</x:v>
      </x:c>
      <x:c r="V31" s="53" t="str">
        <x:v>telegram export/photos/photo_18@28-10-2025_01-53-01.jpg
Anjoman accounting.xlsx#مجموع!B25</x:v>
      </x:c>
      <x:c r="W31" s="68" t="n">
        <x:f>IF(AND(N31="تأییدشده",E31="دریافت",ISNUMBER(H31)),H31,0)</x:f>
        <x:v>1000000</x:v>
      </x:c>
      <x:c r="X31" s="68" t="n">
        <x:f>IF(AND(N31="تأییدشده",E31="پرداخت",ISNUMBER(H31)),H31,0)</x:f>
        <x:v>0</x:v>
      </x:c>
      <x:c r="Y31" s="68" t="n">
        <x:f>W31-X31</x:f>
        <x:v>1000000</x:v>
      </x:c>
    </x:row>
    <x:row r="32" ht="36" hidden="0" customHeight="1">
      <x:c r="A32" s="53" t="str">
        <x:v>TX0028</x:v>
      </x:c>
      <x:c r="B32" s="65" t="d">
        <x:v>2025-10-25T00:00:00.000Z</x:v>
      </x:c>
      <x:c r="C32" s="53" t="str">
        <x:v>1404/08/03</x:v>
      </x:c>
      <x:c r="D32" s="53" t="str">
        <x:v>1404/08</x:v>
      </x:c>
      <x:c r="E32" s="53" t="str">
        <x:v>پرداخت</x:v>
      </x:c>
      <x:c r="F32" s="66" t="n">
        <x:v>700000</x:v>
      </x:c>
      <x:c r="G32" s="67" t="str">
        <x:v>ریال</x:v>
      </x:c>
      <x:c r="H32" s="66" t="n">
        <x:v>70000</x:v>
      </x:c>
      <x:c r="I32" s="53" t="str">
        <x:v>…پناهی (فروشنده)</x:v>
      </x:c>
      <x:c r="J32" s="53" t="str">
        <x:v>دستمال کاغذی برای اتاق انجمن</x:v>
      </x:c>
      <x:c r="K32" s="53" t="str">
        <x:v>دستمال برای اتاق انجمن</x:v>
      </x:c>
      <x:c r="L32" s="53" t="str">
        <x:v>ملزومات</x:v>
      </x:c>
      <x:c r="M32" s="53" t="str">
        <x:v>عملیات انجمن</x:v>
      </x:c>
      <x:c r="N32" s="53" t="str">
        <x:v>تأییدشده</x:v>
      </x:c>
      <x:c r="O32" s="53" t="str">
        <x:v>رسید و پیام</x:v>
      </x:c>
      <x:c r="P32" s="53" t="str">
        <x:v>SHAHR-8966</x:v>
      </x:c>
      <x:c r="Q32" s="53" t="str">
        <x:v>message106, message144</x:v>
      </x:c>
      <x:c r="R32" s="53" t="str">
        <x:v>324530191247-211415863</x:v>
      </x:c>
      <x:c r="S32" s="53"/>
      <x:c r="T32" s="53" t="str"/>
      <x:c r="U32" s="53" t="str">
        <x:v>بر اساس ساعت 16:36 و مبلغ تطبیق داده شد. حدس «یلدا» از سوی ابزار استخراج نادرست بود.</x:v>
      </x:c>
      <x:c r="V32" s="53" t="str">
        <x:v>telegram export/photos/photo_31@27-06-2026_18-24-39.jpg
telegram export/messages.html#message106
Anjoman accounting.xlsx#مجموع!D30</x:v>
      </x:c>
      <x:c r="W32" s="68" t="n">
        <x:f>IF(AND(N32="تأییدشده",E32="دریافت",ISNUMBER(H32)),H32,0)</x:f>
        <x:v>0</x:v>
      </x:c>
      <x:c r="X32" s="68" t="n">
        <x:f>IF(AND(N32="تأییدشده",E32="پرداخت",ISNUMBER(H32)),H32,0)</x:f>
        <x:v>70000</x:v>
      </x:c>
      <x:c r="Y32" s="68" t="n">
        <x:f>W32-X32</x:f>
        <x:v>-70000</x:v>
      </x:c>
    </x:row>
    <x:row r="33" ht="24" hidden="0" customHeight="1">
      <x:c r="A33" s="53" t="str">
        <x:v>TX0029</x:v>
      </x:c>
      <x:c r="B33" s="65" t="d">
        <x:v>2025-10-27T00:00:00.000Z</x:v>
      </x:c>
      <x:c r="C33" s="53" t="str">
        <x:v>1404/08/05</x:v>
      </x:c>
      <x:c r="D33" s="53" t="str">
        <x:v>1404/08</x:v>
      </x:c>
      <x:c r="E33" s="53" t="str">
        <x:v>پرداخت</x:v>
      </x:c>
      <x:c r="F33" s="66" t="n">
        <x:v>3100000</x:v>
      </x:c>
      <x:c r="G33" s="67" t="str">
        <x:v>ریال</x:v>
      </x:c>
      <x:c r="H33" s="66" t="n">
        <x:v>310000</x:v>
      </x:c>
      <x:c r="I33" s="53" t="str">
        <x:v>نامشخص</x:v>
      </x:c>
      <x:c r="J33" s="53" t="str">
        <x:v>کانکتورهای پروژکتور</x:v>
      </x:c>
      <x:c r="K33" s="53" t="str">
        <x:v>اتصالات پروژکتور انجمن</x:v>
      </x:c>
      <x:c r="L33" s="53" t="str">
        <x:v>تجهیزات</x:v>
      </x:c>
      <x:c r="M33" s="53" t="str">
        <x:v>عملیات انجمن</x:v>
      </x:c>
      <x:c r="N33" s="53" t="str">
        <x:v>تأییدشده</x:v>
      </x:c>
      <x:c r="O33" s="53" t="str">
        <x:v>صرفاً پیام</x:v>
      </x:c>
      <x:c r="P33" s="53" t="str">
        <x:v>SHAHR-8966</x:v>
      </x:c>
      <x:c r="Q33" s="53" t="str">
        <x:v>message108</x:v>
      </x:c>
      <x:c r="R33" s="53"/>
      <x:c r="S33" s="53"/>
      <x:c r="T33" s="53" t="str">
        <x:v>تصویر رسید وجود ندارد.</x:v>
      </x:c>
      <x:c r="U33" s="53" t="str">
        <x:v>ردیف به سبک صورتحساب؛ با دفتر کل تأیید شده است.</x:v>
      </x:c>
      <x:c r="V33" s="53" t="str">
        <x:v>telegram export/messages.html#message108
Anjoman accounting.xlsx#مجموع!D31</x:v>
      </x:c>
      <x:c r="W33" s="68" t="n">
        <x:f>IF(AND(N33="تأییدشده",E33="دریافت",ISNUMBER(H33)),H33,0)</x:f>
        <x:v>0</x:v>
      </x:c>
      <x:c r="X33" s="68" t="n">
        <x:f>IF(AND(N33="تأییدشده",E33="پرداخت",ISNUMBER(H33)),H33,0)</x:f>
        <x:v>310000</x:v>
      </x:c>
      <x:c r="Y33" s="68" t="n">
        <x:f>W33-X33</x:f>
        <x:v>-310000</x:v>
      </x:c>
    </x:row>
    <x:row r="34" ht="24" hidden="0" customHeight="1">
      <x:c r="A34" s="53" t="str">
        <x:v>TX0030</x:v>
      </x:c>
      <x:c r="B34" s="65" t="d">
        <x:v>2025-10-27T00:00:00.000Z</x:v>
      </x:c>
      <x:c r="C34" s="53" t="str">
        <x:v>1404/08/05</x:v>
      </x:c>
      <x:c r="D34" s="53" t="str">
        <x:v>1404/08</x:v>
      </x:c>
      <x:c r="E34" s="53" t="str">
        <x:v>پرداخت</x:v>
      </x:c>
      <x:c r="F34" s="66" t="n">
        <x:v>17600000</x:v>
      </x:c>
      <x:c r="G34" s="67" t="str">
        <x:v>ریال</x:v>
      </x:c>
      <x:c r="H34" s="66" t="n">
        <x:v>1760000</x:v>
      </x:c>
      <x:c r="I34" s="53" t="str">
        <x:v>نامشخص</x:v>
      </x:c>
      <x:c r="J34" s="53" t="str">
        <x:v>محافظ برق و ابزار برای ویدئوپروژکتورهای غرفه</x:v>
      </x:c>
      <x:c r="K34" s="53" t="str">
        <x:v>حفاظ برق و ابزار اتصال پروژکتور غرفه‌ها</x:v>
      </x:c>
      <x:c r="L34" s="53" t="str">
        <x:v>تجهیزات</x:v>
      </x:c>
      <x:c r="M34" s="53" t="str">
        <x:v>غرفه‌های 1404</x:v>
      </x:c>
      <x:c r="N34" s="53" t="str">
        <x:v>تأییدشده</x:v>
      </x:c>
      <x:c r="O34" s="53" t="str">
        <x:v>صرفاً پیام</x:v>
      </x:c>
      <x:c r="P34" s="53" t="str">
        <x:v>SHAHR-8966</x:v>
      </x:c>
      <x:c r="Q34" s="53" t="str">
        <x:v>message108</x:v>
      </x:c>
      <x:c r="R34" s="53"/>
      <x:c r="S34" s="53"/>
      <x:c r="T34" s="53" t="str">
        <x:v>تصویر رسید وجود ندارد.</x:v>
      </x:c>
      <x:c r="U34" s="53" t="str"/>
      <x:c r="V34" s="53" t="str">
        <x:v>telegram export/messages.html#message108
Anjoman accounting.xlsx#مجموع!D32</x:v>
      </x:c>
      <x:c r="W34" s="68" t="n">
        <x:f>IF(AND(N34="تأییدشده",E34="دریافت",ISNUMBER(H34)),H34,0)</x:f>
        <x:v>0</x:v>
      </x:c>
      <x:c r="X34" s="68" t="n">
        <x:f>IF(AND(N34="تأییدشده",E34="پرداخت",ISNUMBER(H34)),H34,0)</x:f>
        <x:v>1760000</x:v>
      </x:c>
      <x:c r="Y34" s="68" t="n">
        <x:f>W34-X34</x:f>
        <x:v>-1760000</x:v>
      </x:c>
    </x:row>
    <x:row r="35" ht="36" hidden="0" customHeight="1">
      <x:c r="A35" s="53" t="str">
        <x:v>TX0031</x:v>
      </x:c>
      <x:c r="B35" s="65" t="d">
        <x:v>2025-10-27T00:00:00.000Z</x:v>
      </x:c>
      <x:c r="C35" s="53" t="str">
        <x:v>1404/08/05</x:v>
      </x:c>
      <x:c r="D35" s="53" t="str">
        <x:v>1404/08</x:v>
      </x:c>
      <x:c r="E35" s="53" t="str">
        <x:v>پرداخت</x:v>
      </x:c>
      <x:c r="F35" s="66" t="n">
        <x:v>2350000</x:v>
      </x:c>
      <x:c r="G35" s="67" t="str">
        <x:v>ریال</x:v>
      </x:c>
      <x:c r="H35" s="66" t="n">
        <x:v>235000</x:v>
      </x:c>
      <x:c r="I35" s="53" t="str">
        <x:v>سوپر مارکت شریف پلاس</x:v>
      </x:c>
      <x:c r="J35" s="53" t="str">
        <x:v>پذیرایی غرفه</x:v>
      </x:c>
      <x:c r="K35" s="53" t="str">
        <x:v>پذیرایی غرفه انجمن (دلستر، بیسکوئیت، چیپس، پفک)</x:v>
      </x:c>
      <x:c r="L35" s="53" t="str">
        <x:v>پذیرایی</x:v>
      </x:c>
      <x:c r="M35" s="53" t="str">
        <x:v>غرفه‌های 1404</x:v>
      </x:c>
      <x:c r="N35" s="53" t="str">
        <x:v>تأییدشده</x:v>
      </x:c>
      <x:c r="O35" s="53" t="str">
        <x:v>رسید و پیام</x:v>
      </x:c>
      <x:c r="P35" s="53" t="str">
        <x:v>SHAHR-8966</x:v>
      </x:c>
      <x:c r="Q35" s="53" t="str">
        <x:v>message108, message153</x:v>
      </x:c>
      <x:c r="R35" s="53" t="str">
        <x:v>324745802454-215650602</x:v>
      </x:c>
      <x:c r="S35" s="53"/>
      <x:c r="T35" s="53" t="str"/>
      <x:c r="U35" s="53" t="str">
        <x:v>رسید مبلغ 2,350,000 ریال را نشان می‌دهد؛ پیام 108 و دفتر کل 2,300,000 ریال (230,000 تومان) را نشان می‌دهند. با 5,000 تومان افزایش اصلاح شد.</x:v>
      </x:c>
      <x:c r="V35" s="53" t="str">
        <x:v>telegram export/photos/photo_40@27-06-2026_18-31-08.jpg
telegram export/messages.html#message108
Anjoman accounting.xlsx#مجموع!D33</x:v>
      </x:c>
      <x:c r="W35" s="68" t="n">
        <x:f>IF(AND(N35="تأییدشده",E35="دریافت",ISNUMBER(H35)),H35,0)</x:f>
        <x:v>0</x:v>
      </x:c>
      <x:c r="X35" s="68" t="n">
        <x:f>IF(AND(N35="تأییدشده",E35="پرداخت",ISNUMBER(H35)),H35,0)</x:f>
        <x:v>235000</x:v>
      </x:c>
      <x:c r="Y35" s="68" t="n">
        <x:f>W35-X35</x:f>
        <x:v>-235000</x:v>
      </x:c>
    </x:row>
    <x:row r="36" ht="36" hidden="0" customHeight="1">
      <x:c r="A36" s="53" t="str">
        <x:v>TX0032</x:v>
      </x:c>
      <x:c r="B36" s="65" t="d">
        <x:v>2025-10-28T00:00:00.000Z</x:v>
      </x:c>
      <x:c r="C36" s="53" t="str">
        <x:v>1404/08/06</x:v>
      </x:c>
      <x:c r="D36" s="53" t="str">
        <x:v>1404/08</x:v>
      </x:c>
      <x:c r="E36" s="53" t="str">
        <x:v>پرداخت</x:v>
      </x:c>
      <x:c r="F36" s="66" t="n">
        <x:v>7250000</x:v>
      </x:c>
      <x:c r="G36" s="67" t="str">
        <x:v>ریال</x:v>
      </x:c>
      <x:c r="H36" s="66" t="n">
        <x:v>725000</x:v>
      </x:c>
      <x:c r="I36" s="53" t="str">
        <x:v>نیما کوهی</x:v>
      </x:c>
      <x:c r="J36" s="53" t="str">
        <x:v>بازپرداخت باتری دوربین (فاکتورهای دیجی‌کالا 696,000+29,000)</x:v>
      </x:c>
      <x:c r="K36" s="53" t="str">
        <x:v>بازپرداخت باتری دوربین فیلمبرداری</x:v>
      </x:c>
      <x:c r="L36" s="53" t="str">
        <x:v>تجهیزات</x:v>
      </x:c>
      <x:c r="M36" s="53" t="str">
        <x:v>عملیات انجمن</x:v>
      </x:c>
      <x:c r="N36" s="53" t="str">
        <x:v>تأییدشده</x:v>
      </x:c>
      <x:c r="O36" s="53" t="str">
        <x:v>رسید و پیام</x:v>
      </x:c>
      <x:c r="P36" s="53" t="str">
        <x:v>SHAHR-8966</x:v>
      </x:c>
      <x:c r="Q36" s="53" t="str">
        <x:v>message66, message68, message69</x:v>
      </x:c>
      <x:c r="R36" s="53" t="str">
        <x:v>130031981359</x:v>
      </x:c>
      <x:c r="S36" s="53"/>
      <x:c r="T36" s="53" t="str"/>
      <x:c r="U36" s="53" t="str">
        <x:v>پیام‌های ۶۸ و ۶۹ عنوان تکراری یک پرداخت هستند. خریدار فاکتور متین قاسمی است.</x:v>
      </x:c>
      <x:c r="V36" s="53" t="str">
        <x:v>telegram export/photos/photo_19@28-10-2025_01-58-07.jpg
telegram export/files/dk-file-2025-10-16-14-43-08.pdf#page=1
Anjoman accounting.xlsx#مجموع!D25</x:v>
      </x:c>
      <x:c r="W36" s="68" t="n">
        <x:f>IF(AND(N36="تأییدشده",E36="دریافت",ISNUMBER(H36)),H36,0)</x:f>
        <x:v>0</x:v>
      </x:c>
      <x:c r="X36" s="68" t="n">
        <x:f>IF(AND(N36="تأییدشده",E36="پرداخت",ISNUMBER(H36)),H36,0)</x:f>
        <x:v>725000</x:v>
      </x:c>
      <x:c r="Y36" s="68" t="n">
        <x:f>W36-X36</x:f>
        <x:v>-725000</x:v>
      </x:c>
    </x:row>
    <x:row r="37" ht="36" hidden="0" customHeight="1">
      <x:c r="A37" s="53" t="str">
        <x:v>TX0033</x:v>
      </x:c>
      <x:c r="B37" s="65" t="d">
        <x:v>2025-10-29T00:00:00.000Z</x:v>
      </x:c>
      <x:c r="C37" s="53" t="str">
        <x:v>1404/08/07</x:v>
      </x:c>
      <x:c r="D37" s="53" t="str">
        <x:v>1404/08</x:v>
      </x:c>
      <x:c r="E37" s="53" t="str">
        <x:v>پرداخت</x:v>
      </x:c>
      <x:c r="F37" s="66" t="n">
        <x:v>14440000</x:v>
      </x:c>
      <x:c r="G37" s="67" t="str">
        <x:v>ریال</x:v>
      </x:c>
      <x:c r="H37" s="66" t="n">
        <x:v>1444000</x:v>
      </x:c>
      <x:c r="I37" s="53" t="str">
        <x:v>رفاه دانشجویی</x:v>
      </x:c>
      <x:c r="J37" s="53" t="str">
        <x:v>جوایز جشن ورودی‌ها: دفترچه و خودکار</x:v>
      </x:c>
      <x:c r="K37" s="53" t="str">
        <x:v>جوایز جشن ورودی: دفترچه و خودکار</x:v>
      </x:c>
      <x:c r="L37" s="53" t="str">
        <x:v>رویدادها</x:v>
      </x:c>
      <x:c r="M37" s="53" t="str">
        <x:v>جشن ورودی‌های ۱۴۰۴</x:v>
      </x:c>
      <x:c r="N37" s="53" t="str">
        <x:v>تأییدشده</x:v>
      </x:c>
      <x:c r="O37" s="53" t="str">
        <x:v>رسید و پیام</x:v>
      </x:c>
      <x:c r="P37" s="53" t="str">
        <x:v>SHAHR-8966</x:v>
      </x:c>
      <x:c r="Q37" s="53" t="str">
        <x:v>message107, message146</x:v>
      </x:c>
      <x:c r="R37" s="53" t="str">
        <x:v>224985252062</x:v>
      </x:c>
      <x:c r="S37" s="53"/>
      <x:c r="T37" s="53" t="str"/>
      <x:c r="U37" s="53" t="str">
        <x:v>ممکن است صورتحساب دستی (photo_34، INV005) به این مورد مربوط باشد؛ این تطابق نامطمئن است.</x:v>
      </x:c>
      <x:c r="V37" s="53" t="str">
        <x:v>telegram export/photos/photo_33@27-06-2026_18-25-49.jpg
telegram export/messages.html#message107
Anjoman accounting.xlsx#مجموع!D28</x:v>
      </x:c>
      <x:c r="W37" s="68" t="n">
        <x:f>IF(AND(N37="تأییدشده",E37="دریافت",ISNUMBER(H37)),H37,0)</x:f>
        <x:v>0</x:v>
      </x:c>
      <x:c r="X37" s="68" t="n">
        <x:f>IF(AND(N37="تأییدشده",E37="پرداخت",ISNUMBER(H37)),H37,0)</x:f>
        <x:v>1444000</x:v>
      </x:c>
      <x:c r="Y37" s="68" t="n">
        <x:f>W37-X37</x:f>
        <x:v>-1444000</x:v>
      </x:c>
    </x:row>
    <x:row r="38" ht="36" hidden="0" customHeight="1">
      <x:c r="A38" s="53" t="str">
        <x:v>TX0034</x:v>
      </x:c>
      <x:c r="B38" s="65" t="d">
        <x:v>2025-10-29T00:00:00.000Z</x:v>
      </x:c>
      <x:c r="C38" s="53" t="str">
        <x:v>1404/08/07</x:v>
      </x:c>
      <x:c r="D38" s="53" t="str">
        <x:v>1404/08</x:v>
      </x:c>
      <x:c r="E38" s="53" t="str">
        <x:v>پرداخت</x:v>
      </x:c>
      <x:c r="F38" s="66" t="n">
        <x:v>15000000</x:v>
      </x:c>
      <x:c r="G38" s="67" t="str">
        <x:v>ریال</x:v>
      </x:c>
      <x:c r="H38" s="66" t="n">
        <x:v>1500000</x:v>
      </x:c>
      <x:c r="I38" s="53" t="str">
        <x:v>تی‌موبایل (احمدی)</x:v>
      </x:c>
      <x:c r="J38" s="53" t="str">
        <x:v>جوایز (هدفون) و فلش یو‌اس‌بی انجمن</x:v>
      </x:c>
      <x:c r="K38" s="53" t="str">
        <x:v>جوایز جشن (هندزفری) و فلش انجمن</x:v>
      </x:c>
      <x:c r="L38" s="53" t="str">
        <x:v>رویدادها</x:v>
      </x:c>
      <x:c r="M38" s="53" t="str">
        <x:v>جشن ورودی‌های ۱۴۰۴</x:v>
      </x:c>
      <x:c r="N38" s="53" t="str">
        <x:v>تأییدشده</x:v>
      </x:c>
      <x:c r="O38" s="53" t="str">
        <x:v>رسید و پیام</x:v>
      </x:c>
      <x:c r="P38" s="53" t="str">
        <x:v>SHAHR-8966</x:v>
      </x:c>
      <x:c r="Q38" s="53" t="str">
        <x:v>message107, message148</x:v>
      </x:c>
      <x:c r="R38" s="53" t="str">
        <x:v>855815798282</x:v>
      </x:c>
      <x:c r="S38" s="53"/>
      <x:c r="T38" s="53" t="str"/>
      <x:c r="U38" s="53" t="str">
        <x:v>شامل یک فلش‌مموری ۵۰۰٬۰۰۰ تومانی است که تجهیزات انجمن محسوب می‌شود، نه جایزه.</x:v>
      </x:c>
      <x:c r="V38" s="53" t="str">
        <x:v>telegram export/photos/photo_35@27-06-2026_18-26-22.jpg
telegram export/messages.html#message107
Anjoman accounting.xlsx#مجموع!D28</x:v>
      </x:c>
      <x:c r="W38" s="68" t="n">
        <x:f>IF(AND(N38="تأییدشده",E38="دریافت",ISNUMBER(H38)),H38,0)</x:f>
        <x:v>0</x:v>
      </x:c>
      <x:c r="X38" s="68" t="n">
        <x:f>IF(AND(N38="تأییدشده",E38="پرداخت",ISNUMBER(H38)),H38,0)</x:f>
        <x:v>1500000</x:v>
      </x:c>
      <x:c r="Y38" s="68" t="n">
        <x:f>W38-X38</x:f>
        <x:v>-1500000</x:v>
      </x:c>
    </x:row>
    <x:row r="39" ht="24" hidden="0" customHeight="1">
      <x:c r="A39" s="53" t="str">
        <x:v>TX0035</x:v>
      </x:c>
      <x:c r="B39" s="65" t="d">
        <x:v>2025-10-29T00:00:00.000Z</x:v>
      </x:c>
      <x:c r="C39" s="53" t="str">
        <x:v>1404/08/07</x:v>
      </x:c>
      <x:c r="D39" s="53" t="str">
        <x:v>1404/08</x:v>
      </x:c>
      <x:c r="E39" s="53" t="str">
        <x:v>پرداخت</x:v>
      </x:c>
      <x:c r="F39" s="66" t="n">
        <x:v>14000000</x:v>
      </x:c>
      <x:c r="G39" s="67" t="str">
        <x:v>ریال</x:v>
      </x:c>
      <x:c r="H39" s="66" t="n">
        <x:v>1400000</x:v>
      </x:c>
      <x:c r="I39" s="53" t="str">
        <x:v>نامشخص</x:v>
      </x:c>
      <x:c r="J39" s="53" t="str">
        <x:v>جوایز: دستبند و اسپینر</x:v>
      </x:c>
      <x:c r="K39" s="53" t="str">
        <x:v>جوایز جشن: دستبند و فرفره</x:v>
      </x:c>
      <x:c r="L39" s="53" t="str">
        <x:v>رویدادها</x:v>
      </x:c>
      <x:c r="M39" s="53" t="str">
        <x:v>جشن ورودی‌های ۱۴۰۴</x:v>
      </x:c>
      <x:c r="N39" s="53" t="str">
        <x:v>تأییدشده</x:v>
      </x:c>
      <x:c r="O39" s="53" t="str">
        <x:v>صرفاً پیام</x:v>
      </x:c>
      <x:c r="P39" s="53" t="str">
        <x:v>SHAHR-8966</x:v>
      </x:c>
      <x:c r="Q39" s="53" t="str">
        <x:v>message107</x:v>
      </x:c>
      <x:c r="R39" s="53"/>
      <x:c r="S39" s="53"/>
      <x:c r="T39" s="53" t="str">
        <x:v>تصویر رسید وجود ندارد.</x:v>
      </x:c>
      <x:c r="U39" s="53" t="str">
        <x:v>D28 = 1,444,000+1,500,000+1,400,000.</x:v>
      </x:c>
      <x:c r="V39" s="53" t="str">
        <x:v>telegram export/messages.html#message107
Anjoman accounting.xlsx#مجموع!D28</x:v>
      </x:c>
      <x:c r="W39" s="68" t="n">
        <x:f>IF(AND(N39="تأییدشده",E39="دریافت",ISNUMBER(H39)),H39,0)</x:f>
        <x:v>0</x:v>
      </x:c>
      <x:c r="X39" s="68" t="n">
        <x:f>IF(AND(N39="تأییدشده",E39="پرداخت",ISNUMBER(H39)),H39,0)</x:f>
        <x:v>1400000</x:v>
      </x:c>
      <x:c r="Y39" s="68" t="n">
        <x:f>W39-X39</x:f>
        <x:v>-1400000</x:v>
      </x:c>
    </x:row>
    <x:row r="40" ht="24" hidden="0" customHeight="1">
      <x:c r="A40" s="53" t="str">
        <x:v>TX0036</x:v>
      </x:c>
      <x:c r="B40" s="65"/>
      <x:c r="C40" s="53"/>
      <x:c r="D40" s="53" t="str">
        <x:v>1404/08</x:v>
      </x:c>
      <x:c r="E40" s="53" t="str">
        <x:v>نامشخص</x:v>
      </x:c>
      <x:c r="F40" s="66" t="n">
        <x:v>300000</x:v>
      </x:c>
      <x:c r="G40" s="67" t="str">
        <x:v>تومان</x:v>
      </x:c>
      <x:c r="H40" s="66" t="n">
        <x:v>300000</x:v>
      </x:c>
      <x:c r="I40" s="53" t="str">
        <x:v>نقد</x:v>
      </x:c>
      <x:c r="J40" s="53" t="str">
        <x:v>شاباش نقدی در مهمانی دانشجویان سال اول</x:v>
      </x:c>
      <x:c r="K40" s="53" t="str">
        <x:v>پول نقد شاباش جشن</x:v>
      </x:c>
      <x:c r="L40" s="53" t="str">
        <x:v>طبقه‌بندی‌نشده</x:v>
      </x:c>
      <x:c r="M40" s="53" t="str">
        <x:v>جشن ورودی‌های ۱۴۰۴</x:v>
      </x:c>
      <x:c r="N40" s="53" t="str">
        <x:v>نیازمند بررسی</x:v>
      </x:c>
      <x:c r="O40" s="53" t="str">
        <x:v>صرفاً پیام</x:v>
      </x:c>
      <x:c r="P40" s="53" t="str">
        <x:v>نقد</x:v>
      </x:c>
      <x:c r="Q40" s="53" t="str">
        <x:v>message111</x:v>
      </x:c>
      <x:c r="R40" s="53"/>
      <x:c r="S40" s="53"/>
      <x:c r="T40" s="53" t="str">
        <x:v>مشخص نیست که این مبلغ وجه نقد دریافتی (دریافت) است یا وجه نقد پرداختی (پرداخت). دفتر کل آن را به‌عنوان هزینه ثبت کرده است.</x:v>
      </x:c>
      <x:c r="U40" s="53" t="str">
        <x:v>تا زمان تأیید از مجموع‌های تأییدشده کنار گذاشته شده است.</x:v>
      </x:c>
      <x:c r="V40" s="53" t="str">
        <x:v>telegram export/messages.html#message111
Anjoman accounting.xlsx#مجموع!D29</x:v>
      </x:c>
      <x:c r="W40" s="68" t="n">
        <x:f>IF(AND(N40="تأییدشده",E40="دریافت",ISNUMBER(H40)),H40,0)</x:f>
        <x:v>0</x:v>
      </x:c>
      <x:c r="X40" s="68" t="n">
        <x:f>IF(AND(N40="تأییدشده",E40="پرداخت",ISNUMBER(H40)),H40,0)</x:f>
        <x:v>0</x:v>
      </x:c>
      <x:c r="Y40" s="68" t="n">
        <x:f>W40-X40</x:f>
        <x:v>0</x:v>
      </x:c>
    </x:row>
    <x:row r="41" ht="48" hidden="0" customHeight="1">
      <x:c r="A41" s="53" t="str">
        <x:v>TX0037</x:v>
      </x:c>
      <x:c r="B41" s="65" t="d">
        <x:v>2025-11-14T00:00:00.000Z</x:v>
      </x:c>
      <x:c r="C41" s="53" t="str">
        <x:v>1404/08/23</x:v>
      </x:c>
      <x:c r="D41" s="53" t="str">
        <x:v>1404/08</x:v>
      </x:c>
      <x:c r="E41" s="53" t="str">
        <x:v>پرداخت</x:v>
      </x:c>
      <x:c r="F41" s="66" t="n">
        <x:v>1200000</x:v>
      </x:c>
      <x:c r="G41" s="67" t="str">
        <x:v>ریال</x:v>
      </x:c>
      <x:c r="H41" s="66" t="n">
        <x:v>120000</x:v>
      </x:c>
      <x:c r="I41" s="53" t="str">
        <x:v>اردوان شهبازی</x:v>
      </x:c>
      <x:c r="J41" s="53" t="str">
        <x:v>بازپرداخت: چسب بادکنک (فاکتور شادزی 29449)</x:v>
      </x:c>
      <x:c r="K41" s="53" t="str">
        <x:v>بازپرداخت چسب بادکنک جشن ورودی</x:v>
      </x:c>
      <x:c r="L41" s="53" t="str">
        <x:v>رویدادها</x:v>
      </x:c>
      <x:c r="M41" s="53" t="str">
        <x:v>جشن ورودی‌های ۱۴۰۴</x:v>
      </x:c>
      <x:c r="N41" s="53" t="str">
        <x:v>تأییدشده</x:v>
      </x:c>
      <x:c r="O41" s="53" t="str">
        <x:v>رسید و پیام</x:v>
      </x:c>
      <x:c r="P41" s="53" t="str">
        <x:v>SHAHR-8966</x:v>
      </x:c>
      <x:c r="Q41" s="53" t="str">
        <x:v>message88, message89, message96, message99, message143</x:v>
      </x:c>
      <x:c r="R41" s="53" t="str">
        <x:v>130065814259</x:v>
      </x:c>
      <x:c r="S41" s="53"/>
      <x:c r="T41" s="53" t="str"/>
      <x:c r="U41" s="53" t="str">
        <x:v>message96: اردوان 120 خرج کرد. photo_30 عنوان «یلدا» را دارد، اما تاریخ فاکتور 1404/08/07 آن را در جشن ورودی‌ها قرار می‌دهد.</x:v>
      </x:c>
      <x:c r="V41" s="53" t="str">
        <x:v>telegram export/photos/photo_23@14-11-2025_04-07-19.jpg
telegram export/photos/photo_21@09-11-2025_23-16-09.jpg
telegram export/photos/photo_30@27-06-2026_18-24-31.jpg
Anjoman accounting.xlsx#مجموع!D26</x:v>
      </x:c>
      <x:c r="W41" s="68" t="n">
        <x:f>IF(AND(N41="تأییدشده",E41="دریافت",ISNUMBER(H41)),H41,0)</x:f>
        <x:v>0</x:v>
      </x:c>
      <x:c r="X41" s="68" t="n">
        <x:f>IF(AND(N41="تأییدشده",E41="پرداخت",ISNUMBER(H41)),H41,0)</x:f>
        <x:v>120000</x:v>
      </x:c>
      <x:c r="Y41" s="68" t="n">
        <x:f>W41-X41</x:f>
        <x:v>-120000</x:v>
      </x:c>
    </x:row>
    <x:row r="42" ht="48" hidden="0" customHeight="1">
      <x:c r="A42" s="53" t="str">
        <x:v>TX0038</x:v>
      </x:c>
      <x:c r="B42" s="65" t="d">
        <x:v>2025-11-14T00:00:00.000Z</x:v>
      </x:c>
      <x:c r="C42" s="53" t="str">
        <x:v>1404/08/23</x:v>
      </x:c>
      <x:c r="D42" s="53" t="str">
        <x:v>1404/08</x:v>
      </x:c>
      <x:c r="E42" s="53" t="str">
        <x:v>پرداخت</x:v>
      </x:c>
      <x:c r="F42" s="66" t="n">
        <x:v>13100000</x:v>
      </x:c>
      <x:c r="G42" s="67" t="str">
        <x:v>ریال</x:v>
      </x:c>
      <x:c r="H42" s="66" t="n">
        <x:v>1310000</x:v>
      </x:c>
      <x:c r="I42" s="53" t="str">
        <x:v>سیده راحله مختاری</x:v>
      </x:c>
      <x:c r="J42" s="53" t="str">
        <x:v>بازپرداخت: تزئینات جشن (فاکتور شادزی 13,100,000 ریال)</x:v>
      </x:c>
      <x:c r="K42" s="53" t="str">
        <x:v>بازپرداخت تزئینات جشن ورودی (فاکتور شادزی)</x:v>
      </x:c>
      <x:c r="L42" s="53" t="str">
        <x:v>رویدادها</x:v>
      </x:c>
      <x:c r="M42" s="53" t="str">
        <x:v>جشن ورودی‌های ۱۴۰۴</x:v>
      </x:c>
      <x:c r="N42" s="53" t="str">
        <x:v>تأییدشده</x:v>
      </x:c>
      <x:c r="O42" s="53" t="str">
        <x:v>رسید و پیام</x:v>
      </x:c>
      <x:c r="P42" s="53" t="str">
        <x:v>SHAHR-8966</x:v>
      </x:c>
      <x:c r="Q42" s="53" t="str">
        <x:v>message95, message97, message98, message100, message142</x:v>
      </x:c>
      <x:c r="R42" s="53" t="str">
        <x:v>130065885759</x:v>
      </x:c>
      <x:c r="S42" s="53"/>
      <x:c r="T42" s="53" t="str"/>
      <x:c r="U42" s="53" t="str">
        <x:v>photo_22 و photo_29 یک فاکتور هستند؛ شماره ۲۹۳۵ یا ۲۹۳۵۰ خوانده می‌شود. عنوان یلدا در photo_29 برچسب نادرست است.</x:v>
      </x:c>
      <x:c r="V42" s="53" t="str">
        <x:v>telegram export/photos/photo_24@14-11-2025_04-07-19.jpg
telegram export/photos/photo_22@09-11-2025_23-16-15.jpg
telegram export/photos/photo_29@27-06-2026_18-24-14.jpg
Anjoman accounting.xlsx#مجموع!D27</x:v>
      </x:c>
      <x:c r="W42" s="68" t="n">
        <x:f>IF(AND(N42="تأییدشده",E42="دریافت",ISNUMBER(H42)),H42,0)</x:f>
        <x:v>0</x:v>
      </x:c>
      <x:c r="X42" s="68" t="n">
        <x:f>IF(AND(N42="تأییدشده",E42="پرداخت",ISNUMBER(H42)),H42,0)</x:f>
        <x:v>1310000</x:v>
      </x:c>
      <x:c r="Y42" s="68" t="n">
        <x:f>W42-X42</x:f>
        <x:v>-1310000</x:v>
      </x:c>
    </x:row>
    <x:row r="43" ht="24" hidden="0" customHeight="1">
      <x:c r="A43" s="53" t="str">
        <x:v>TX0039</x:v>
      </x:c>
      <x:c r="B43" s="65" t="d">
        <x:v>2025-11-19T00:00:00.000Z</x:v>
      </x:c>
      <x:c r="C43" s="53" t="str">
        <x:v>1404/08/28</x:v>
      </x:c>
      <x:c r="D43" s="53" t="str">
        <x:v>1404/08</x:v>
      </x:c>
      <x:c r="E43" s="53" t="str">
        <x:v>پرداخت</x:v>
      </x:c>
      <x:c r="F43" s="66" t="n">
        <x:v>12261000</x:v>
      </x:c>
      <x:c r="G43" s="67" t="str">
        <x:v>ریال</x:v>
      </x:c>
      <x:c r="H43" s="66" t="n">
        <x:v>1226100</x:v>
      </x:c>
      <x:c r="I43" s="53" t="str">
        <x:v>داروخانه نامشخص</x:v>
      </x:c>
      <x:c r="J43" s="53" t="str">
        <x:v>داروی کمک‌های اولیه</x:v>
      </x:c>
      <x:c r="K43" s="53" t="str">
        <x:v>دارو برای کمک‌های اولیه</x:v>
      </x:c>
      <x:c r="L43" s="53" t="str">
        <x:v>ملزومات</x:v>
      </x:c>
      <x:c r="M43" s="53" t="str">
        <x:v>عملیات انجمن</x:v>
      </x:c>
      <x:c r="N43" s="53" t="str">
        <x:v>تأییدشده</x:v>
      </x:c>
      <x:c r="O43" s="53" t="str">
        <x:v>صرفاً پیام</x:v>
      </x:c>
      <x:c r="P43" s="53" t="str">
        <x:v>SHAHR-8966</x:v>
      </x:c>
      <x:c r="Q43" s="53" t="str">
        <x:v>message109</x:v>
      </x:c>
      <x:c r="R43" s="53"/>
      <x:c r="S43" s="53"/>
      <x:c r="T43" s="53" t="str">
        <x:v>تصویر رسید وجود ندارد.</x:v>
      </x:c>
      <x:c r="U43" s="53" t="str"/>
      <x:c r="V43" s="53" t="str">
        <x:v>telegram export/messages.html#message109
Anjoman accounting.xlsx#مجموع!D34</x:v>
      </x:c>
      <x:c r="W43" s="68" t="n">
        <x:f>IF(AND(N43="تأییدشده",E43="دریافت",ISNUMBER(H43)),H43,0)</x:f>
        <x:v>0</x:v>
      </x:c>
      <x:c r="X43" s="68" t="n">
        <x:f>IF(AND(N43="تأییدشده",E43="پرداخت",ISNUMBER(H43)),H43,0)</x:f>
        <x:v>1226100</x:v>
      </x:c>
      <x:c r="Y43" s="68" t="n">
        <x:f>W43-X43</x:f>
        <x:v>-1226100</x:v>
      </x:c>
    </x:row>
    <x:row r="44" ht="24" hidden="0" customHeight="1">
      <x:c r="A44" s="53" t="str">
        <x:v>TX0040</x:v>
      </x:c>
      <x:c r="B44" s="65" t="d">
        <x:v>2025-11-19T00:00:00.000Z</x:v>
      </x:c>
      <x:c r="C44" s="53" t="str">
        <x:v>1404/08/28</x:v>
      </x:c>
      <x:c r="D44" s="53" t="str">
        <x:v>1404/08</x:v>
      </x:c>
      <x:c r="E44" s="53" t="str">
        <x:v>پرداخت</x:v>
      </x:c>
      <x:c r="F44" s="66" t="n">
        <x:v>23000</x:v>
      </x:c>
      <x:c r="G44" s="67" t="str">
        <x:v>ریال</x:v>
      </x:c>
      <x:c r="H44" s="66" t="n">
        <x:v>2300</x:v>
      </x:c>
      <x:c r="I44" s="53" t="str">
        <x:v>نامشخص</x:v>
      </x:c>
      <x:c r="J44" s="53" t="str">
        <x:v>قوانین اتاق چاپ</x:v>
      </x:c>
      <x:c r="K44" s="53" t="str">
        <x:v>چاپ قوانین اتاق انجمن</x:v>
      </x:c>
      <x:c r="L44" s="53" t="str">
        <x:v>چاپ</x:v>
      </x:c>
      <x:c r="M44" s="53" t="str">
        <x:v>عملیات انجمن</x:v>
      </x:c>
      <x:c r="N44" s="53" t="str">
        <x:v>تأییدشده</x:v>
      </x:c>
      <x:c r="O44" s="53" t="str">
        <x:v>صرفاً پیام</x:v>
      </x:c>
      <x:c r="P44" s="53" t="str">
        <x:v>SHAHR-8966</x:v>
      </x:c>
      <x:c r="Q44" s="53" t="str">
        <x:v>message110</x:v>
      </x:c>
      <x:c r="R44" s="53"/>
      <x:c r="S44" s="53"/>
      <x:c r="T44" s="53" t="str"/>
      <x:c r="U44" s="53" t="str">
        <x:v>زمان‌نگار مشترک با TX0041.</x:v>
      </x:c>
      <x:c r="V44" s="53" t="str">
        <x:v>telegram export/messages.html#message110
Anjoman accounting.xlsx#مجموع!D35</x:v>
      </x:c>
      <x:c r="W44" s="68" t="n">
        <x:f>IF(AND(N44="تأییدشده",E44="دریافت",ISNUMBER(H44)),H44,0)</x:f>
        <x:v>0</x:v>
      </x:c>
      <x:c r="X44" s="68" t="n">
        <x:f>IF(AND(N44="تأییدشده",E44="پرداخت",ISNUMBER(H44)),H44,0)</x:f>
        <x:v>2300</x:v>
      </x:c>
      <x:c r="Y44" s="68" t="n">
        <x:f>W44-X44</x:f>
        <x:v>-2300</x:v>
      </x:c>
    </x:row>
    <x:row r="45" ht="24" hidden="0" customHeight="1">
      <x:c r="A45" s="53" t="str">
        <x:v>TX0041</x:v>
      </x:c>
      <x:c r="B45" s="65" t="d">
        <x:v>2025-11-19T00:00:00.000Z</x:v>
      </x:c>
      <x:c r="C45" s="53" t="str">
        <x:v>1404/08/28</x:v>
      </x:c>
      <x:c r="D45" s="53" t="str">
        <x:v>1404/08</x:v>
      </x:c>
      <x:c r="E45" s="53" t="str">
        <x:v>پرداخت</x:v>
      </x:c>
      <x:c r="F45" s="66" t="n">
        <x:v>13000</x:v>
      </x:c>
      <x:c r="G45" s="67" t="str">
        <x:v>ریال</x:v>
      </x:c>
      <x:c r="H45" s="66" t="n">
        <x:v>1300</x:v>
      </x:c>
      <x:c r="I45" s="53" t="str">
        <x:v>نامشخص</x:v>
      </x:c>
      <x:c r="J45" s="53" t="str">
        <x:v>قوانین اتاق چاپ (خط دوم)</x:v>
      </x:c>
      <x:c r="K45" s="53" t="str">
        <x:v>چاپ قوانین اتاق انجمن (دوم)</x:v>
      </x:c>
      <x:c r="L45" s="53" t="str">
        <x:v>چاپ</x:v>
      </x:c>
      <x:c r="M45" s="53" t="str">
        <x:v>عملیات انجمن</x:v>
      </x:c>
      <x:c r="N45" s="53" t="str">
        <x:v>تأییدشده</x:v>
      </x:c>
      <x:c r="O45" s="53" t="str">
        <x:v>صرفاً پیام</x:v>
      </x:c>
      <x:c r="P45" s="53" t="str">
        <x:v>SHAHR-8966</x:v>
      </x:c>
      <x:c r="Q45" s="53" t="str">
        <x:v>message110</x:v>
      </x:c>
      <x:c r="R45" s="53"/>
      <x:c r="S45" s="53"/>
      <x:c r="T45" s="53" t="str">
        <x:v>همان زمان‌نگار TX0040؛ بنابراین ممکن است ثبت تفکیک‌شده باشد.</x:v>
      </x:c>
      <x:c r="U45" s="53" t="str"/>
      <x:c r="V45" s="53" t="str">
        <x:v>telegram export/messages.html#message110
Anjoman accounting.xlsx#مجموع!D36</x:v>
      </x:c>
      <x:c r="W45" s="68" t="n">
        <x:f>IF(AND(N45="تأییدشده",E45="دریافت",ISNUMBER(H45)),H45,0)</x:f>
        <x:v>0</x:v>
      </x:c>
      <x:c r="X45" s="68" t="n">
        <x:f>IF(AND(N45="تأییدشده",E45="پرداخت",ISNUMBER(H45)),H45,0)</x:f>
        <x:v>1300</x:v>
      </x:c>
      <x:c r="Y45" s="68" t="n">
        <x:f>W45-X45</x:f>
        <x:v>-1300</x:v>
      </x:c>
    </x:row>
    <x:row r="46" ht="24" hidden="0" customHeight="1">
      <x:c r="A46" s="53" t="str">
        <x:v>TX0042</x:v>
      </x:c>
      <x:c r="B46" s="65" t="d">
        <x:v>2025-11-19T00:00:00.000Z</x:v>
      </x:c>
      <x:c r="C46" s="53" t="str">
        <x:v>1404/08/28</x:v>
      </x:c>
      <x:c r="D46" s="53" t="str">
        <x:v>1404/08</x:v>
      </x:c>
      <x:c r="E46" s="53" t="str">
        <x:v>پرداخت</x:v>
      </x:c>
      <x:c r="F46" s="66" t="n">
        <x:v>130000</x:v>
      </x:c>
      <x:c r="G46" s="67" t="str">
        <x:v>ریال</x:v>
      </x:c>
      <x:c r="H46" s="66" t="n">
        <x:v>13000</x:v>
      </x:c>
      <x:c r="I46" s="53" t="str">
        <x:v>کپی آرام گرافیک</x:v>
      </x:c>
      <x:c r="J46" s="53" t="str">
        <x:v>چاپ پوستر انجمن</x:v>
      </x:c>
      <x:c r="K46" s="53" t="str">
        <x:v>چاپ پوستر انجمن</x:v>
      </x:c>
      <x:c r="L46" s="53" t="str">
        <x:v>چاپ</x:v>
      </x:c>
      <x:c r="M46" s="53" t="str">
        <x:v>عملیات انجمن</x:v>
      </x:c>
      <x:c r="N46" s="53" t="str">
        <x:v>نیازمند بررسی</x:v>
      </x:c>
      <x:c r="O46" s="53" t="str">
        <x:v>رسید و پیام</x:v>
      </x:c>
      <x:c r="P46" s="53" t="str">
        <x:v>SHAHR-8966</x:v>
      </x:c>
      <x:c r="Q46" s="53" t="str">
        <x:v>message145</x:v>
      </x:c>
      <x:c r="R46" s="53" t="str">
        <x:v>856401535048</x:v>
      </x:c>
      <x:c r="S46" s="53"/>
      <x:c r="T46" s="53" t="str">
        <x:v>همان روز TX0040/41 (۱۲:۳۵ در برابر ۱۲:۵۵). ممکن است خرید جداگانه‌ای باشد یا یکی از ردیف‌های چاپ با ضریب ۱۰ اشتباه خوانده شده باشد. در دفتر ثبت نشده است.</x:v>
      </x:c>
      <x:c r="U46" s="53" t="str">
        <x:v>تا زمان تطبیق کنار گذاشته شده است.</x:v>
      </x:c>
      <x:c r="V46" s="53" t="str">
        <x:v>telegram export/photos/photo_32@27-06-2026_18-24-52.jpg</x:v>
      </x:c>
      <x:c r="W46" s="68" t="n">
        <x:f>IF(AND(N46="تأییدشده",E46="دریافت",ISNUMBER(H46)),H46,0)</x:f>
        <x:v>0</x:v>
      </x:c>
      <x:c r="X46" s="68" t="n">
        <x:f>IF(AND(N46="تأییدشده",E46="پرداخت",ISNUMBER(H46)),H46,0)</x:f>
        <x:v>0</x:v>
      </x:c>
      <x:c r="Y46" s="68" t="n">
        <x:f>W46-X46</x:f>
        <x:v>0</x:v>
      </x:c>
    </x:row>
    <x:row r="47" ht="36" hidden="0" customHeight="1">
      <x:c r="A47" s="53" t="str">
        <x:v>TX0043</x:v>
      </x:c>
      <x:c r="B47" s="65" t="d">
        <x:v>2025-11-23T00:00:00.000Z</x:v>
      </x:c>
      <x:c r="C47" s="53" t="str">
        <x:v>1404/09/02</x:v>
      </x:c>
      <x:c r="D47" s="53" t="str">
        <x:v>1404/09</x:v>
      </x:c>
      <x:c r="E47" s="53" t="str">
        <x:v>پرداخت</x:v>
      </x:c>
      <x:c r="F47" s="66" t="n">
        <x:v>10200000</x:v>
      </x:c>
      <x:c r="G47" s="67" t="str">
        <x:v>ریال</x:v>
      </x:c>
      <x:c r="H47" s="66" t="n">
        <x:v>1020000</x:v>
      </x:c>
      <x:c r="I47" s="53" t="str">
        <x:v>پایانه پذیرنده 06723260</x:v>
      </x:c>
      <x:c r="J47" s="53" t="str">
        <x:v>خرید با کارت، هدف نامشخص</x:v>
      </x:c>
      <x:c r="K47" s="53" t="str">
        <x:v>خرید با کارت انجمن، بابت نامشخص</x:v>
      </x:c>
      <x:c r="L47" s="53" t="str">
        <x:v>طبقه‌بندی‌نشده</x:v>
      </x:c>
      <x:c r="M47" s="53" t="str">
        <x:v>تخصیص‌نیافته</x:v>
      </x:c>
      <x:c r="N47" s="53" t="str">
        <x:v>تأییدشده</x:v>
      </x:c>
      <x:c r="O47" s="53" t="str">
        <x:v>رسید و تأیید کاربر</x:v>
      </x:c>
      <x:c r="P47" s="53" t="str">
        <x:v>SHAHR-8966</x:v>
      </x:c>
      <x:c r="Q47" s="53" t="str"/>
      <x:c r="R47" s="53" t="str">
        <x:v>406547</x:v>
      </x:c>
      <x:c r="S47" s="53"/>
      <x:c r="T47" s="53" t="str"/>
      <x:c r="U47" s="53" t="str">
        <x:v>مانده پس از تراکنش: ۱۲۱,۷۴۵,۲۷۰ ریال. کاربر تأیید می‌کند که تمامی رسیدها/مدارک مربوط به هزینه‌های انجمن هستند. هدف به‌صورت طبقه‌بندی‌نشده نگه داشته می‌شود مگر آنکه به‌طور مشخص شناسایی شده باشد. برچسب پروژه قبلی: نامشخص. پروژه به‌طور مشخص تأیید نشده است؛ به‌صورت تخصیص‌نیافته نگه داشته شد.</x:v>
      </x:c>
      <x:c r="V47" s="53" t="str">
        <x:v>recipts/photo_4_2026-10-10_14-07-27.jpg
reports/2026-10-10/user_confirmation_2026-10-10.json</x:v>
      </x:c>
      <x:c r="W47" s="68" t="n">
        <x:f>IF(AND(N47="تأییدشده",E47="دریافت",ISNUMBER(H47)),H47,0)</x:f>
        <x:v>0</x:v>
      </x:c>
      <x:c r="X47" s="68" t="n">
        <x:f>IF(AND(N47="تأییدشده",E47="پرداخت",ISNUMBER(H47)),H47,0)</x:f>
        <x:v>1020000</x:v>
      </x:c>
      <x:c r="Y47" s="68" t="n">
        <x:f>W47-X47</x:f>
        <x:v>-1020000</x:v>
      </x:c>
    </x:row>
    <x:row r="48" ht="24" hidden="0" customHeight="1">
      <x:c r="A48" s="53" t="str">
        <x:v>TX0044</x:v>
      </x:c>
      <x:c r="B48" s="65"/>
      <x:c r="C48" s="53"/>
      <x:c r="D48" s="53" t="str">
        <x:v>1404/09</x:v>
      </x:c>
      <x:c r="E48" s="53" t="str">
        <x:v>دریافت</x:v>
      </x:c>
      <x:c r="F48" s="66" t="n">
        <x:v>100000000</x:v>
      </x:c>
      <x:c r="G48" s="67" t="str">
        <x:v>ریال</x:v>
      </x:c>
      <x:c r="H48" s="66" t="n">
        <x:v>10000000</x:v>
      </x:c>
      <x:c r="I48" s="53" t="str">
        <x:v>سامان مقیمی عراقی</x:v>
      </x:c>
      <x:c r="J48" s="53" t="str">
        <x:v>کمک مالی مقیمی برای هزینه‌های جاری</x:v>
      </x:c>
      <x:c r="K48" s="53" t="str">
        <x:v>واریزی دکتر مقیمی جهت هزینه‌های جاری</x:v>
      </x:c>
      <x:c r="L48" s="53" t="str">
        <x:v>کمک‌های مالی</x:v>
      </x:c>
      <x:c r="M48" s="53" t="str">
        <x:v>عملیات انجمن</x:v>
      </x:c>
      <x:c r="N48" s="53" t="str">
        <x:v>تأییدشده</x:v>
      </x:c>
      <x:c r="O48" s="53" t="str">
        <x:v>رسید و پیام</x:v>
      </x:c>
      <x:c r="P48" s="53" t="str">
        <x:v>SHAHR-8966</x:v>
      </x:c>
      <x:c r="Q48" s="53" t="str">
        <x:v>message101, message102, message103</x:v>
      </x:c>
      <x:c r="R48" s="53"/>
      <x:c r="S48" s="53"/>
      <x:c r="T48" s="53" t="str">
        <x:v>رسید برش‌خورده تاریخ ندارد. سربرگ پیام بازارسال‌شده (1404/08/28) با ماه آذر در دفتر کل مغایرت دارد.</x:v>
      </x:c>
      <x:c r="U48" s="53" t="str">
        <x:v>دوره از دفتر کل گرفته شده است.</x:v>
      </x:c>
      <x:c r="V48" s="53" t="str">
        <x:v>telegram export/photos/photo_25@19-11-2025_11-46-31.jpg
Anjoman accounting.xlsx#مجموع!B38</x:v>
      </x:c>
      <x:c r="W48" s="68" t="n">
        <x:f>IF(AND(N48="تأییدشده",E48="دریافت",ISNUMBER(H48)),H48,0)</x:f>
        <x:v>10000000</x:v>
      </x:c>
      <x:c r="X48" s="68" t="n">
        <x:f>IF(AND(N48="تأییدشده",E48="پرداخت",ISNUMBER(H48)),H48,0)</x:f>
        <x:v>0</x:v>
      </x:c>
      <x:c r="Y48" s="68" t="n">
        <x:f>W48-X48</x:f>
        <x:v>10000000</x:v>
      </x:c>
    </x:row>
    <x:row r="49" ht="15" hidden="0" customHeight="1">
      <x:c r="A49" s="53" t="str">
        <x:v>TX0045</x:v>
      </x:c>
      <x:c r="B49" s="65"/>
      <x:c r="C49" s="53"/>
      <x:c r="D49" s="53" t="str">
        <x:v>1404/09</x:v>
      </x:c>
      <x:c r="E49" s="53" t="str">
        <x:v>دریافت</x:v>
      </x:c>
      <x:c r="F49" s="66" t="n">
        <x:v>7000000</x:v>
      </x:c>
      <x:c r="G49" s="67" t="str">
        <x:v>تومان</x:v>
      </x:c>
      <x:c r="H49" s="66" t="n">
        <x:v>7000000</x:v>
      </x:c>
      <x:c r="I49" s="53" t="str">
        <x:v>دکتر مقیمی</x:v>
      </x:c>
      <x:c r="J49" s="53" t="str">
        <x:v>کمک مالی مقیمی</x:v>
      </x:c>
      <x:c r="K49" s="53" t="str">
        <x:v>واریزی دکتر مقیمی جهت کمک به انجمن</x:v>
      </x:c>
      <x:c r="L49" s="53" t="str">
        <x:v>کمک‌های مالی</x:v>
      </x:c>
      <x:c r="M49" s="53" t="str">
        <x:v>عملیات انجمن</x:v>
      </x:c>
      <x:c r="N49" s="53" t="str">
        <x:v>تأییدشده</x:v>
      </x:c>
      <x:c r="O49" s="53" t="str">
        <x:v>دفتر اصلی</x:v>
      </x:c>
      <x:c r="P49" s="53" t="str">
        <x:v>SHAHR-8966</x:v>
      </x:c>
      <x:c r="Q49" s="53" t="str"/>
      <x:c r="R49" s="53"/>
      <x:c r="S49" s="53"/>
      <x:c r="T49" s="53" t="str">
        <x:v>رسید وجود ندارد.</x:v>
      </x:c>
      <x:c r="U49" s="53" t="str">
        <x:v>مستخرج از دفتر کل.</x:v>
      </x:c>
      <x:c r="V49" s="53" t="str">
        <x:v>Anjoman accounting.xlsx#مجموع!B39</x:v>
      </x:c>
      <x:c r="W49" s="68" t="n">
        <x:f>IF(AND(N49="تأییدشده",E49="دریافت",ISNUMBER(H49)),H49,0)</x:f>
        <x:v>7000000</x:v>
      </x:c>
      <x:c r="X49" s="68" t="n">
        <x:f>IF(AND(N49="تأییدشده",E49="پرداخت",ISNUMBER(H49)),H49,0)</x:f>
        <x:v>0</x:v>
      </x:c>
      <x:c r="Y49" s="68" t="n">
        <x:f>W49-X49</x:f>
        <x:v>7000000</x:v>
      </x:c>
    </x:row>
    <x:row r="50" ht="24" hidden="0" customHeight="1">
      <x:c r="A50" s="53" t="str">
        <x:v>TX0046</x:v>
      </x:c>
      <x:c r="B50" s="65" t="d">
        <x:v>2025-12-19T00:00:00.000Z</x:v>
      </x:c>
      <x:c r="C50" s="53" t="str">
        <x:v>1404/09/28</x:v>
      </x:c>
      <x:c r="D50" s="53" t="str">
        <x:v>1404/09</x:v>
      </x:c>
      <x:c r="E50" s="53" t="str">
        <x:v>دریافت</x:v>
      </x:c>
      <x:c r="F50" s="66" t="n">
        <x:v>60000000</x:v>
      </x:c>
      <x:c r="G50" s="67" t="str">
        <x:v>ریال</x:v>
      </x:c>
      <x:c r="H50" s="66" t="n">
        <x:v>6000000</x:v>
      </x:c>
      <x:c r="I50" s="53" t="str">
        <x:v>سامان مقیمی عراقی</x:v>
      </x:c>
      <x:c r="J50" s="53" t="str">
        <x:v>کمک مالی مقیمی</x:v>
      </x:c>
      <x:c r="K50" s="53" t="str">
        <x:v>واریزی دکتر مقیمی</x:v>
      </x:c>
      <x:c r="L50" s="53" t="str">
        <x:v>کمک‌های مالی</x:v>
      </x:c>
      <x:c r="M50" s="53" t="str">
        <x:v>عملیات انجمن</x:v>
      </x:c>
      <x:c r="N50" s="53" t="str">
        <x:v>تأییدشده</x:v>
      </x:c>
      <x:c r="O50" s="53" t="str">
        <x:v>رسید و پیام</x:v>
      </x:c>
      <x:c r="P50" s="53" t="str">
        <x:v>SHAHR-8966</x:v>
      </x:c>
      <x:c r="Q50" s="53" t="str">
        <x:v>message112, message113</x:v>
      </x:c>
      <x:c r="R50" s="53" t="str">
        <x:v>171502426735</x:v>
      </x:c>
      <x:c r="S50" s="53"/>
      <x:c r="T50" s="53" t="str"/>
      <x:c r="U50" s="53" t="str">
        <x:v>کارمزد ۲٬۵۰۰ تومانی از سمت فرستنده کسر شده است؛ این مبلغ هزینه انجمن نیست. ارتباط با یلدا از طریق message114 ضعیف است؛ دفتر کل این مورد را به‌عنوان کمک مالی عمومی طبقه‌بندی کرده است.</x:v>
      </x:c>
      <x:c r="V50" s="53" t="str">
        <x:v>telegram export/photos/photo_26@21-12-2025_05-36-21.jpg
Anjoman accounting.xlsx#مجموع!B40</x:v>
      </x:c>
      <x:c r="W50" s="68" t="n">
        <x:f>IF(AND(N50="تأییدشده",E50="دریافت",ISNUMBER(H50)),H50,0)</x:f>
        <x:v>6000000</x:v>
      </x:c>
      <x:c r="X50" s="68" t="n">
        <x:f>IF(AND(N50="تأییدشده",E50="پرداخت",ISNUMBER(H50)),H50,0)</x:f>
        <x:v>0</x:v>
      </x:c>
      <x:c r="Y50" s="68" t="n">
        <x:f>W50-X50</x:f>
        <x:v>6000000</x:v>
      </x:c>
    </x:row>
    <x:row r="51" ht="24" hidden="0" customHeight="1">
      <x:c r="A51" s="53" t="str">
        <x:v>TX0047</x:v>
      </x:c>
      <x:c r="B51" s="65"/>
      <x:c r="C51" s="53"/>
      <x:c r="D51" s="53" t="str">
        <x:v>1404/10</x:v>
      </x:c>
      <x:c r="E51" s="53" t="str">
        <x:v>دریافت</x:v>
      </x:c>
      <x:c r="F51" s="66" t="n">
        <x:v>15790000</x:v>
      </x:c>
      <x:c r="G51" s="67" t="str">
        <x:v>تومان</x:v>
      </x:c>
      <x:c r="H51" s="66" t="n">
        <x:v>15790000</x:v>
      </x:c>
      <x:c r="I51" s="53" t="str">
        <x:v>اهداکنندگان جمعی</x:v>
      </x:c>
      <x:c r="J51" s="53" t="str">
        <x:v>کمک‌های واریزشده یلدا</x:v>
      </x:c>
      <x:c r="K51" s="53" t="str">
        <x:v>دونیشن جشن یلدا در حساب</x:v>
      </x:c>
      <x:c r="L51" s="53" t="str">
        <x:v>کمک‌های مالی</x:v>
      </x:c>
      <x:c r="M51" s="53" t="str">
        <x:v>یلدا ۱۴۰۴</x:v>
      </x:c>
      <x:c r="N51" s="53" t="str">
        <x:v>تأییدشده</x:v>
      </x:c>
      <x:c r="O51" s="53" t="str">
        <x:v>دفتر اصلی</x:v>
      </x:c>
      <x:c r="P51" s="53" t="str">
        <x:v>SEPAH-2925</x:v>
      </x:c>
      <x:c r="Q51" s="53" t="str">
        <x:v>message114, message115, message116, message121</x:v>
      </x:c>
      <x:c r="R51" s="53"/>
      <x:c r="S51" s="53"/>
      <x:c r="T51" s="53" t="str">
        <x:v>سطرهای ناقص پیامک سپه به این جمع نمی‌رسند.</x:v>
      </x:c>
      <x:c r="U51" s="53" t="str">
        <x:v>مجموع خزانه‌دار (message116، message121). صرفاً بر مبنای دفتر اصلی/اظهارات خزانه‌دار لحاظ شده است؛ هیچ تأیید واریز بانکی وجود ندارد.</x:v>
      </x:c>
      <x:c r="V51" s="53" t="str">
        <x:v>Anjoman accounting.xlsx#مجموع!B42
telegram export/messages.html#message116</x:v>
      </x:c>
      <x:c r="W51" s="68" t="n">
        <x:f>IF(AND(N51="تأییدشده",E51="دریافت",ISNUMBER(H51)),H51,0)</x:f>
        <x:v>15790000</x:v>
      </x:c>
      <x:c r="X51" s="68" t="n">
        <x:f>IF(AND(N51="تأییدشده",E51="پرداخت",ISNUMBER(H51)),H51,0)</x:f>
        <x:v>0</x:v>
      </x:c>
      <x:c r="Y51" s="68" t="n">
        <x:f>W51-X51</x:f>
        <x:v>15790000</x:v>
      </x:c>
    </x:row>
    <x:row r="52" ht="24" hidden="0" customHeight="1">
      <x:c r="A52" s="53" t="str">
        <x:v>TX0048</x:v>
      </x:c>
      <x:c r="B52" s="65"/>
      <x:c r="C52" s="53"/>
      <x:c r="D52" s="53" t="str">
        <x:v>1404/10</x:v>
      </x:c>
      <x:c r="E52" s="53" t="str">
        <x:v>دریافت</x:v>
      </x:c>
      <x:c r="F52" s="66" t="n">
        <x:v>700000</x:v>
      </x:c>
      <x:c r="G52" s="67" t="str">
        <x:v>تومان</x:v>
      </x:c>
      <x:c r="H52" s="66" t="n">
        <x:v>700000</x:v>
      </x:c>
      <x:c r="I52" s="53" t="str">
        <x:v>اهداکنندگان نقدی</x:v>
      </x:c>
      <x:c r="J52" s="53" t="str">
        <x:v>کمک‌های نقدی یلدا</x:v>
      </x:c>
      <x:c r="K52" s="53" t="str">
        <x:v>دونیشن نقدی یلدا</x:v>
      </x:c>
      <x:c r="L52" s="53" t="str">
        <x:v>کمک‌های مالی</x:v>
      </x:c>
      <x:c r="M52" s="53" t="str">
        <x:v>یلدا ۱۴۰۴</x:v>
      </x:c>
      <x:c r="N52" s="53" t="str">
        <x:v>تأییدشده</x:v>
      </x:c>
      <x:c r="O52" s="53" t="str">
        <x:v>دفتر اصلی</x:v>
      </x:c>
      <x:c r="P52" s="53" t="str">
        <x:v>نقد</x:v>
      </x:c>
      <x:c r="Q52" s="53" t="str">
        <x:v>message116</x:v>
      </x:c>
      <x:c r="R52" s="53"/>
      <x:c r="S52" s="53"/>
      <x:c r="T52" s="53" t="str">
        <x:v>نگهداری فیزیکی وجه نقد مستند نشده است.</x:v>
      </x:c>
      <x:c r="U52" s="53" t="str"/>
      <x:c r="V52" s="53" t="str">
        <x:v>Anjoman accounting.xlsx#مجموع!B43
telegram export/messages.html#message116</x:v>
      </x:c>
      <x:c r="W52" s="68" t="n">
        <x:f>IF(AND(N52="تأییدشده",E52="دریافت",ISNUMBER(H52)),H52,0)</x:f>
        <x:v>700000</x:v>
      </x:c>
      <x:c r="X52" s="68" t="n">
        <x:f>IF(AND(N52="تأییدشده",E52="پرداخت",ISNUMBER(H52)),H52,0)</x:f>
        <x:v>0</x:v>
      </x:c>
      <x:c r="Y52" s="68" t="n">
        <x:f>W52-X52</x:f>
        <x:v>700000</x:v>
      </x:c>
    </x:row>
    <x:row r="53" ht="36" hidden="0" customHeight="1">
      <x:c r="A53" s="53" t="str">
        <x:v>TX0049</x:v>
      </x:c>
      <x:c r="B53" s="65"/>
      <x:c r="C53" s="53"/>
      <x:c r="D53" s="53" t="str">
        <x:v>1404/10</x:v>
      </x:c>
      <x:c r="E53" s="53" t="str">
        <x:v>پرداخت</x:v>
      </x:c>
      <x:c r="F53" s="66" t="n">
        <x:v>100037800</x:v>
      </x:c>
      <x:c r="G53" s="67" t="str">
        <x:v>نامشخص</x:v>
      </x:c>
      <x:c r="H53" s="66"/>
      <x:c r="I53" s="53" t="str">
        <x:v>دریافت‌کنندگان کارت‌به‌کارت (شناسایی‌نشده)</x:v>
      </x:c>
      <x:c r="J53" s="53" t="str">
        <x:v>برداشت از سپه برای پرداخت هزینه‌ها به‌صورت کارت‌به‌کارت</x:v>
      </x:c>
      <x:c r="K53" s="53" t="str">
        <x:v>برداشت سپه برای کارت به کارت هزینه‌ها</x:v>
      </x:c>
      <x:c r="L53" s="53" t="str">
        <x:v>انتقال‌ها</x:v>
      </x:c>
      <x:c r="M53" s="53" t="str">
        <x:v>یلدا ۱۴۰۴</x:v>
      </x:c>
      <x:c r="N53" s="53" t="str">
        <x:v>نیازمند بررسی</x:v>
      </x:c>
      <x:c r="O53" s="53" t="str">
        <x:v>صرفاً پیام</x:v>
      </x:c>
      <x:c r="P53" s="53" t="str">
        <x:v>SEPAH-2925</x:v>
      </x:c>
      <x:c r="Q53" s="53" t="str">
        <x:v>message115, message118, message120</x:v>
      </x:c>
      <x:c r="R53" s="53"/>
      <x:c r="S53" s="53"/>
      <x:c r="T53" s="53" t="str">
        <x:v>صراحتاً هزینه یا انتقال هستند، نه درآمد (message120). دریافت‌کنندگان نامشخص‌اند. در سطر برداشت در message115 واحدی ذکر نشده، در حالی که سطرهای واریز با ریال برچسب‌گذاری شده‌اند. ممکن است با هزینه‌های ثبت‌شده همپوشانی داشته باشد.</x:v>
      </x:c>
      <x:c r="U53" s="53" t="str">
        <x:v>ردیف سپه با تاریخ ۱۰/۱ ساعت ۱۰:۲۹. از جمع‌ها کنار گذاشته شده است.</x:v>
      </x:c>
      <x:c r="V53" s="53" t="str">
        <x:v>telegram export/messages.html#message115</x:v>
      </x:c>
      <x:c r="W53" s="68" t="n">
        <x:f>IF(AND(N53="تأییدشده",E53="دریافت",ISNUMBER(H53)),H53,0)</x:f>
        <x:v>0</x:v>
      </x:c>
      <x:c r="X53" s="68" t="n">
        <x:f>IF(AND(N53="تأییدشده",E53="پرداخت",ISNUMBER(H53)),H53,0)</x:f>
        <x:v>0</x:v>
      </x:c>
      <x:c r="Y53" s="68" t="n">
        <x:f>W53-X53</x:f>
        <x:v>0</x:v>
      </x:c>
    </x:row>
    <x:row r="54" ht="24" hidden="0" customHeight="1">
      <x:c r="A54" s="53" t="str">
        <x:v>TX0050</x:v>
      </x:c>
      <x:c r="B54" s="65" t="d">
        <x:v>2025-12-29T00:00:00.000Z</x:v>
      </x:c>
      <x:c r="C54" s="53" t="str">
        <x:v>1404/10/08</x:v>
      </x:c>
      <x:c r="D54" s="53" t="str">
        <x:v>1404/10</x:v>
      </x:c>
      <x:c r="E54" s="53" t="str">
        <x:v>پرداخت</x:v>
      </x:c>
      <x:c r="F54" s="66" t="n">
        <x:v>21370000</x:v>
      </x:c>
      <x:c r="G54" s="67" t="str">
        <x:v>ریال</x:v>
      </x:c>
      <x:c r="H54" s="66" t="n">
        <x:v>2137000</x:v>
      </x:c>
      <x:c r="I54" s="53" t="str">
        <x:v>سیدبردیا احمدی‌مروست</x:v>
      </x:c>
      <x:c r="J54" s="53" t="str">
        <x:v>بازپرداخت به بردیا برای جوایز و پذیرایی یلدا</x:v>
      </x:c>
      <x:c r="K54" s="53" t="str">
        <x:v>بازپرداخت خریدهای جایزه و پذیرایی یلدا</x:v>
      </x:c>
      <x:c r="L54" s="53" t="str">
        <x:v>رویدادها</x:v>
      </x:c>
      <x:c r="M54" s="53" t="str">
        <x:v>یلدا ۱۴۰۴</x:v>
      </x:c>
      <x:c r="N54" s="53" t="str">
        <x:v>تأییدشده</x:v>
      </x:c>
      <x:c r="O54" s="53" t="str">
        <x:v>رسید و پیام</x:v>
      </x:c>
      <x:c r="P54" s="53" t="str">
        <x:v>SHAHR-8966</x:v>
      </x:c>
      <x:c r="Q54" s="53" t="str">
        <x:v>message154, message159</x:v>
      </x:c>
      <x:c r="R54" s="53" t="str">
        <x:v>130060015629</x:v>
      </x:c>
      <x:c r="S54" s="53"/>
      <x:c r="T54" s="53" t="str"/>
      <x:c r="U54" s="53" t="str">
        <x:v>برابر با D42. مجموع مطالبات بردیا برابر 400+250+600+1,162=2,412 هزار است؛ اختلاف 275 هزار برابر سهم ساندویچ است.</x:v>
      </x:c>
      <x:c r="V54" s="53" t="str">
        <x:v>telegram export/photos/photo_45@27-06-2026_18-36-09.jpg
Anjoman accounting.xlsx#مجموع!D42</x:v>
      </x:c>
      <x:c r="W54" s="68" t="n">
        <x:f>IF(AND(N54="تأییدشده",E54="دریافت",ISNUMBER(H54)),H54,0)</x:f>
        <x:v>0</x:v>
      </x:c>
      <x:c r="X54" s="68" t="n">
        <x:f>IF(AND(N54="تأییدشده",E54="پرداخت",ISNUMBER(H54)),H54,0)</x:f>
        <x:v>2137000</x:v>
      </x:c>
      <x:c r="Y54" s="68" t="n">
        <x:f>W54-X54</x:f>
        <x:v>-2137000</x:v>
      </x:c>
    </x:row>
    <x:row r="55" ht="15" hidden="0" customHeight="1">
      <x:c r="A55" s="53" t="str">
        <x:v>TX0051</x:v>
      </x:c>
      <x:c r="B55" s="65" t="d">
        <x:v>2025-12-29T00:00:00.000Z</x:v>
      </x:c>
      <x:c r="C55" s="53" t="str">
        <x:v>1404/10/08</x:v>
      </x:c>
      <x:c r="D55" s="53" t="str">
        <x:v>1404/10</x:v>
      </x:c>
      <x:c r="E55" s="53" t="str">
        <x:v>پرداخت</x:v>
      </x:c>
      <x:c r="F55" s="66" t="n">
        <x:v>21370000</x:v>
      </x:c>
      <x:c r="G55" s="67" t="str">
        <x:v>ریال</x:v>
      </x:c>
      <x:c r="H55" s="66" t="n">
        <x:v>2137000</x:v>
      </x:c>
      <x:c r="I55" s="53" t="str">
        <x:v>سیدبردیا احمدی‌مروست</x:v>
      </x:c>
      <x:c r="J55" s="53" t="str">
        <x:v>نسخه بازارسال‌شده رسید TX0050</x:v>
      </x:c>
      <x:c r="K55" s="53" t="str">
        <x:v>تکرار رسید بازپرداخت بردیا</x:v>
      </x:c>
      <x:c r="L55" s="53" t="str">
        <x:v>رویدادها</x:v>
      </x:c>
      <x:c r="M55" s="53" t="str">
        <x:v>یلدا ۱۴۰۴</x:v>
      </x:c>
      <x:c r="N55" s="53" t="str">
        <x:v>تکراری</x:v>
      </x:c>
      <x:c r="O55" s="53" t="str">
        <x:v>فقط رسید</x:v>
      </x:c>
      <x:c r="P55" s="53" t="str">
        <x:v>SHAHR-8966</x:v>
      </x:c>
      <x:c r="Q55" s="53" t="str">
        <x:v>message165</x:v>
      </x:c>
      <x:c r="R55" s="53" t="str">
        <x:v>130060015629</x:v>
      </x:c>
      <x:c r="S55" s="53" t="str">
        <x:v>TX0050</x:v>
      </x:c>
      <x:c r="T55" s="53" t="str">
        <x:v>همان شناسهٔ پیگیری.</x:v>
      </x:c>
      <x:c r="U55" s="53" t="str">
        <x:v>کنار گذاشته شده است.</x:v>
      </x:c>
      <x:c r="V55" s="53" t="str">
        <x:v>telegram export/photos/photo_48@27-06-2026_18-43-30.jpg</x:v>
      </x:c>
      <x:c r="W55" s="68" t="n">
        <x:f>IF(AND(N55="تأییدشده",E55="دریافت",ISNUMBER(H55)),H55,0)</x:f>
        <x:v>0</x:v>
      </x:c>
      <x:c r="X55" s="68" t="n">
        <x:f>IF(AND(N55="تأییدشده",E55="پرداخت",ISNUMBER(H55)),H55,0)</x:f>
        <x:v>0</x:v>
      </x:c>
      <x:c r="Y55" s="68" t="n">
        <x:f>W55-X55</x:f>
        <x:v>0</x:v>
      </x:c>
    </x:row>
    <x:row r="56" ht="24" hidden="0" customHeight="1">
      <x:c r="A56" s="53" t="str">
        <x:v>TX0052</x:v>
      </x:c>
      <x:c r="B56" s="65" t="d">
        <x:v>2025-12-22T00:00:00.000Z</x:v>
      </x:c>
      <x:c r="C56" s="53" t="str">
        <x:v>1404/10/01</x:v>
      </x:c>
      <x:c r="D56" s="53" t="str">
        <x:v>1404/10</x:v>
      </x:c>
      <x:c r="E56" s="53" t="str">
        <x:v>پرداخت</x:v>
      </x:c>
      <x:c r="F56" s="66" t="n">
        <x:v>4000000</x:v>
      </x:c>
      <x:c r="G56" s="67" t="str">
        <x:v>ریال</x:v>
      </x:c>
      <x:c r="H56" s="66" t="n">
        <x:v>400000</x:v>
      </x:c>
      <x:c r="I56" s="53" t="str">
        <x:v>ساناز بهرامی</x:v>
      </x:c>
      <x:c r="J56" s="53" t="str">
        <x:v>جاکلیدی و گوشواره پرداخت‌شده توسط داوطلب (استنباط‌شده از message154)</x:v>
      </x:c>
      <x:c r="K56" s="53" t="str">
        <x:v>خرید جاسوییچی و گوشواره انار (پرداخت بردیا)</x:v>
      </x:c>
      <x:c r="L56" s="53" t="str">
        <x:v>رویدادها</x:v>
      </x:c>
      <x:c r="M56" s="53" t="str">
        <x:v>یلدا ۱۴۰۴</x:v>
      </x:c>
      <x:c r="N56" s="53" t="str">
        <x:v>نیازمند بررسی</x:v>
      </x:c>
      <x:c r="O56" s="53" t="str">
        <x:v>رسید و پیام</x:v>
      </x:c>
      <x:c r="P56" s="53" t="str">
        <x:v>داوطلب</x:v>
      </x:c>
      <x:c r="Q56" s="53" t="str">
        <x:v>message154, message156</x:v>
      </x:c>
      <x:c r="R56" s="53" t="str">
        <x:v>705679</x:v>
      </x:c>
      <x:c r="S56" s="53"/>
      <x:c r="T56" s="53" t="str">
        <x:v>از حساب شخصی بردیا پرداخت شده است. این مورد جزئیات پشتیبان بازپرداخت TX0050 است، نه وجه نقد انجمن.</x:v>
      </x:c>
      <x:c r="U56" s="53" t="str">
        <x:v>هدف از روی تطابق مبلغ استنباط شده است.</x:v>
      </x:c>
      <x:c r="V56" s="53" t="str">
        <x:v>telegram export/photos/photo_42@27-06-2026_18-36-09.jpg</x:v>
      </x:c>
      <x:c r="W56" s="68" t="n">
        <x:f>IF(AND(N56="تأییدشده",E56="دریافت",ISNUMBER(H56)),H56,0)</x:f>
        <x:v>0</x:v>
      </x:c>
      <x:c r="X56" s="68" t="n">
        <x:f>IF(AND(N56="تأییدشده",E56="پرداخت",ISNUMBER(H56)),H56,0)</x:f>
        <x:v>0</x:v>
      </x:c>
      <x:c r="Y56" s="68" t="n">
        <x:f>W56-X56</x:f>
        <x:v>0</x:v>
      </x:c>
    </x:row>
    <x:row r="57" ht="15" hidden="0" customHeight="1">
      <x:c r="A57" s="53" t="str">
        <x:v>TX0053</x:v>
      </x:c>
      <x:c r="B57" s="65" t="d">
        <x:v>2025-12-22T00:00:00.000Z</x:v>
      </x:c>
      <x:c r="C57" s="53" t="str">
        <x:v>1404/10/01</x:v>
      </x:c>
      <x:c r="D57" s="53" t="str">
        <x:v>1404/10</x:v>
      </x:c>
      <x:c r="E57" s="53" t="str">
        <x:v>پرداخت</x:v>
      </x:c>
      <x:c r="F57" s="66" t="n">
        <x:v>2500000</x:v>
      </x:c>
      <x:c r="G57" s="67" t="str">
        <x:v>ریال</x:v>
      </x:c>
      <x:c r="H57" s="66" t="n">
        <x:v>250000</x:v>
      </x:c>
      <x:c r="I57" s="53" t="str">
        <x:v>پروین حقوردی</x:v>
      </x:c>
      <x:c r="J57" s="53" t="str">
        <x:v>جاکلیدی پشمالو پرداخت‌شده توسط داوطلب (استنباط‌شده)</x:v>
      </x:c>
      <x:c r="K57" s="53" t="str">
        <x:v>جاسوییچی عروسکی (پرداخت بردیا)</x:v>
      </x:c>
      <x:c r="L57" s="53" t="str">
        <x:v>رویدادها</x:v>
      </x:c>
      <x:c r="M57" s="53" t="str">
        <x:v>یلدا ۱۴۰۴</x:v>
      </x:c>
      <x:c r="N57" s="53" t="str">
        <x:v>نیازمند بررسی</x:v>
      </x:c>
      <x:c r="O57" s="53" t="str">
        <x:v>رسید و پیام</x:v>
      </x:c>
      <x:c r="P57" s="53" t="str">
        <x:v>داوطلب</x:v>
      </x:c>
      <x:c r="Q57" s="53" t="str">
        <x:v>message154, message155</x:v>
      </x:c>
      <x:c r="R57" s="53" t="str">
        <x:v>269183</x:v>
      </x:c>
      <x:c r="S57" s="53"/>
      <x:c r="T57" s="53" t="str">
        <x:v>با هزینه داوطلب؛ پشتیبان TX0050.</x:v>
      </x:c>
      <x:c r="U57" s="53" t="str"/>
      <x:c r="V57" s="53" t="str">
        <x:v>telegram export/photos/photo_41@27-06-2026_18-36-09.jpg</x:v>
      </x:c>
      <x:c r="W57" s="68" t="n">
        <x:f>IF(AND(N57="تأییدشده",E57="دریافت",ISNUMBER(H57)),H57,0)</x:f>
        <x:v>0</x:v>
      </x:c>
      <x:c r="X57" s="68" t="n">
        <x:f>IF(AND(N57="تأییدشده",E57="پرداخت",ISNUMBER(H57)),H57,0)</x:f>
        <x:v>0</x:v>
      </x:c>
      <x:c r="Y57" s="68" t="n">
        <x:f>W57-X57</x:f>
        <x:v>0</x:v>
      </x:c>
    </x:row>
    <x:row r="58" ht="15" hidden="0" customHeight="1">
      <x:c r="A58" s="53" t="str">
        <x:v>TX0054</x:v>
      </x:c>
      <x:c r="B58" s="65" t="d">
        <x:v>2025-12-22T00:00:00.000Z</x:v>
      </x:c>
      <x:c r="C58" s="53" t="str">
        <x:v>1404/10/01</x:v>
      </x:c>
      <x:c r="D58" s="53" t="str">
        <x:v>1404/10</x:v>
      </x:c>
      <x:c r="E58" s="53" t="str">
        <x:v>پرداخت</x:v>
      </x:c>
      <x:c r="F58" s="66" t="n">
        <x:v>6000000</x:v>
      </x:c>
      <x:c r="G58" s="67" t="str">
        <x:v>ریال</x:v>
      </x:c>
      <x:c r="H58" s="66" t="n">
        <x:v>600000</x:v>
      </x:c>
      <x:c r="I58" s="53" t="str">
        <x:v>POS پاسارگاد 00778147</x:v>
      </x:c>
      <x:c r="J58" s="53" t="str">
        <x:v>خرید داوطلب با دستگاه POS؛ هندوانه‌های کوچک و انار (استنباط‌شده)</x:v>
      </x:c>
      <x:c r="K58" s="53" t="str">
        <x:v>هندوانه و انار ریز (پرداخت بردیا، استنباطی)</x:v>
      </x:c>
      <x:c r="L58" s="53" t="str">
        <x:v>رویدادها</x:v>
      </x:c>
      <x:c r="M58" s="53" t="str">
        <x:v>یلدا ۱۴۰۴</x:v>
      </x:c>
      <x:c r="N58" s="53" t="str">
        <x:v>نیازمند بررسی</x:v>
      </x:c>
      <x:c r="O58" s="53" t="str">
        <x:v>رسید و پیام</x:v>
      </x:c>
      <x:c r="P58" s="53" t="str">
        <x:v>داوطلب</x:v>
      </x:c>
      <x:c r="Q58" s="53" t="str">
        <x:v>message157</x:v>
      </x:c>
      <x:c r="R58" s="53" t="str">
        <x:v>14000623</x:v>
      </x:c>
      <x:c r="S58" s="53"/>
      <x:c r="T58" s="53" t="str">
        <x:v>بردیا گفت رسید ۶۰۰ را در اختیار نداشته است، بنابراین تطبیق مبهم است. پشتیبان TX0050 است.</x:v>
      </x:c>
      <x:c r="U58" s="53" t="str"/>
      <x:c r="V58" s="53" t="str">
        <x:v>telegram export/photos/photo_43@27-06-2026_18-36-09.jpg</x:v>
      </x:c>
      <x:c r="W58" s="68" t="n">
        <x:f>IF(AND(N58="تأییدشده",E58="دریافت",ISNUMBER(H58)),H58,0)</x:f>
        <x:v>0</x:v>
      </x:c>
      <x:c r="X58" s="68" t="n">
        <x:f>IF(AND(N58="تأییدشده",E58="پرداخت",ISNUMBER(H58)),H58,0)</x:f>
        <x:v>0</x:v>
      </x:c>
      <x:c r="Y58" s="68" t="n">
        <x:f>W58-X58</x:f>
        <x:v>0</x:v>
      </x:c>
    </x:row>
    <x:row r="59" ht="24" hidden="0" customHeight="1">
      <x:c r="A59" s="53" t="str">
        <x:v>TX0055</x:v>
      </x:c>
      <x:c r="B59" s="65" t="d">
        <x:v>2025-12-23T00:00:00.000Z</x:v>
      </x:c>
      <x:c r="C59" s="53" t="str">
        <x:v>1404/10/02</x:v>
      </x:c>
      <x:c r="D59" s="53" t="str">
        <x:v>1404/10</x:v>
      </x:c>
      <x:c r="E59" s="53" t="str">
        <x:v>پرداخت</x:v>
      </x:c>
      <x:c r="F59" s="66" t="n">
        <x:v>11625840</x:v>
      </x:c>
      <x:c r="G59" s="67" t="str">
        <x:v>ریال</x:v>
      </x:c>
      <x:c r="H59" s="66" t="n">
        <x:v>1162584</x:v>
      </x:c>
      <x:c r="I59" s="53" t="str">
        <x:v>POS نوین آریان 11304219</x:v>
      </x:c>
      <x:c r="J59" s="53" t="str">
        <x:v>خرید داوطلب: ساندویچ ۲۷۵ + ژله ۸۸۷ (هزار تومان)</x:v>
      </x:c>
      <x:c r="K59" s="53" t="str">
        <x:v>ساندویچ و ژله فرمند (فاکتور ۱۱۶۲، پرداخت بردیا)</x:v>
      </x:c>
      <x:c r="L59" s="53" t="str">
        <x:v>رویدادها</x:v>
      </x:c>
      <x:c r="M59" s="53" t="str">
        <x:v>یلدا ۱۴۰۴</x:v>
      </x:c>
      <x:c r="N59" s="53" t="str">
        <x:v>نیازمند بررسی</x:v>
      </x:c>
      <x:c r="O59" s="53" t="str">
        <x:v>رسید و پیام</x:v>
      </x:c>
      <x:c r="P59" s="53" t="str">
        <x:v>داوطلب</x:v>
      </x:c>
      <x:c r="Q59" s="53" t="str">
        <x:v>message154, message158, message164</x:v>
      </x:c>
      <x:c r="R59" s="53" t="str">
        <x:v>14482839</x:v>
      </x:c>
      <x:c r="S59" s="53"/>
      <x:c r="T59" s="53" t="str">
        <x:v>فاکتور گم شده است. با هزینه داوطلبان تأمین شده؛ از TX0050 پشتیبانی می‌کند.</x:v>
      </x:c>
      <x:c r="U59" s="53" t="str"/>
      <x:c r="V59" s="53" t="str">
        <x:v>telegram export/photos/photo_44@27-06-2026_18-36-09.jpg</x:v>
      </x:c>
      <x:c r="W59" s="68" t="n">
        <x:f>IF(AND(N59="تأییدشده",E59="دریافت",ISNUMBER(H59)),H59,0)</x:f>
        <x:v>0</x:v>
      </x:c>
      <x:c r="X59" s="68" t="n">
        <x:f>IF(AND(N59="تأییدشده",E59="پرداخت",ISNUMBER(H59)),H59,0)</x:f>
        <x:v>0</x:v>
      </x:c>
      <x:c r="Y59" s="68" t="n">
        <x:f>W59-X59</x:f>
        <x:v>0</x:v>
      </x:c>
    </x:row>
    <x:row r="60" ht="24" hidden="0" customHeight="1">
      <x:c r="A60" s="53" t="str">
        <x:v>TX0056</x:v>
      </x:c>
      <x:c r="B60" s="65" t="d">
        <x:v>2025-12-22T00:00:00.000Z</x:v>
      </x:c>
      <x:c r="C60" s="53" t="str">
        <x:v>1404/10/01</x:v>
      </x:c>
      <x:c r="D60" s="53" t="str">
        <x:v>1404/10</x:v>
      </x:c>
      <x:c r="E60" s="53" t="str">
        <x:v>پرداخت</x:v>
      </x:c>
      <x:c r="F60" s="66" t="n">
        <x:v>21500000</x:v>
      </x:c>
      <x:c r="G60" s="67" t="str">
        <x:v>ریال</x:v>
      </x:c>
      <x:c r="H60" s="66" t="n">
        <x:v>2150000</x:v>
      </x:c>
      <x:c r="I60" s="53" t="str">
        <x:v>کانبو تارشت 1633</x:v>
      </x:c>
      <x:c r="J60" s="53" t="str">
        <x:v>پودر ژله و شربت آلبالو خریداری‌شده توسط حسین</x:v>
      </x:c>
      <x:c r="K60" s="53" t="str">
        <x:v>پودر ژله طالبی ۳۲ و شربت آلبالو ۲ (پرداخت حسین)</x:v>
      </x:c>
      <x:c r="L60" s="53" t="str">
        <x:v>رویدادها</x:v>
      </x:c>
      <x:c r="M60" s="53" t="str">
        <x:v>یلدا ۱۴۰۴</x:v>
      </x:c>
      <x:c r="N60" s="53" t="str">
        <x:v>نیازمند بررسی</x:v>
      </x:c>
      <x:c r="O60" s="53" t="str">
        <x:v>رسید و پیام</x:v>
      </x:c>
      <x:c r="P60" s="53" t="str">
        <x:v>داوطلب</x:v>
      </x:c>
      <x:c r="Q60" s="53" t="str">
        <x:v>message161, message164</x:v>
      </x:c>
      <x:c r="R60" s="53"/>
      <x:c r="S60" s="53"/>
      <x:c r="T60" s="53" t="str">
        <x:v>به نظر می‌رسد پرداخت‌کننده حسین است. بازپرداختی به حسین مستند نشده است، بنابراین ممکن است این مورد یک بدهی ثبت‌نشده یا یک پرداخت ثبت‌نشده باشد.</x:v>
      </x:c>
      <x:c r="U60" s="53" t="str">
        <x:v>ارزش افزوده ۱٬۹۵۴٬۵۴۵ ریال.</x:v>
      </x:c>
      <x:c r="V60" s="53" t="str">
        <x:v>telegram export/photos/photo_46@27-06-2026_18-38-52.jpg</x:v>
      </x:c>
      <x:c r="W60" s="68" t="n">
        <x:f>IF(AND(N60="تأییدشده",E60="دریافت",ISNUMBER(H60)),H60,0)</x:f>
        <x:v>0</x:v>
      </x:c>
      <x:c r="X60" s="68" t="n">
        <x:f>IF(AND(N60="تأییدشده",E60="پرداخت",ISNUMBER(H60)),H60,0)</x:f>
        <x:v>0</x:v>
      </x:c>
      <x:c r="Y60" s="68" t="n">
        <x:f>W60-X60</x:f>
        <x:v>0</x:v>
      </x:c>
    </x:row>
    <x:row r="61" ht="15" hidden="0" customHeight="1">
      <x:c r="A61" s="53" t="str">
        <x:v>TX0057</x:v>
      </x:c>
      <x:c r="B61" s="65" t="d">
        <x:v>2025-12-22T00:00:00.000Z</x:v>
      </x:c>
      <x:c r="C61" s="53" t="str">
        <x:v>1404/10/01</x:v>
      </x:c>
      <x:c r="D61" s="53" t="str">
        <x:v>1404/10</x:v>
      </x:c>
      <x:c r="E61" s="53" t="str">
        <x:v>پرداخت</x:v>
      </x:c>
      <x:c r="F61" s="66" t="n">
        <x:v>21500000</x:v>
      </x:c>
      <x:c r="G61" s="67" t="str">
        <x:v>ریال</x:v>
      </x:c>
      <x:c r="H61" s="66" t="n">
        <x:v>2150000</x:v>
      </x:c>
      <x:c r="I61" s="53" t="str">
        <x:v>کانبو تارشت 1633</x:v>
      </x:c>
      <x:c r="J61" s="53" t="str">
        <x:v>تصویر تکراری رسید TX0056</x:v>
      </x:c>
      <x:c r="K61" s="53" t="str">
        <x:v>تکرار تصویر رسید جانبو</x:v>
      </x:c>
      <x:c r="L61" s="53" t="str">
        <x:v>رویدادها</x:v>
      </x:c>
      <x:c r="M61" s="53" t="str">
        <x:v>یلدا ۱۴۰۴</x:v>
      </x:c>
      <x:c r="N61" s="53" t="str">
        <x:v>تکراری</x:v>
      </x:c>
      <x:c r="O61" s="53" t="str">
        <x:v>فقط رسید</x:v>
      </x:c>
      <x:c r="P61" s="53" t="str">
        <x:v>داوطلب</x:v>
      </x:c>
      <x:c r="Q61" s="53" t="str">
        <x:v>message164</x:v>
      </x:c>
      <x:c r="R61" s="53"/>
      <x:c r="S61" s="53" t="str">
        <x:v>TX0056</x:v>
      </x:c>
      <x:c r="T61" s="53" t="str">
        <x:v>بارکد یکسان 99T0S85F5ZMDN8E.</x:v>
      </x:c>
      <x:c r="U61" s="53" t="str">
        <x:v>کنار گذاشته شده است.</x:v>
      </x:c>
      <x:c r="V61" s="53" t="str">
        <x:v>telegram export/photos/photo_47@27-06-2026_18-43-30.jpg</x:v>
      </x:c>
      <x:c r="W61" s="68" t="n">
        <x:f>IF(AND(N61="تأییدشده",E61="دریافت",ISNUMBER(H61)),H61,0)</x:f>
        <x:v>0</x:v>
      </x:c>
      <x:c r="X61" s="68" t="n">
        <x:f>IF(AND(N61="تأییدشده",E61="پرداخت",ISNUMBER(H61)),H61,0)</x:f>
        <x:v>0</x:v>
      </x:c>
      <x:c r="Y61" s="68" t="n">
        <x:f>W61-X61</x:f>
        <x:v>0</x:v>
      </x:c>
    </x:row>
    <x:row r="62" ht="24" hidden="0" customHeight="1">
      <x:c r="A62" s="53" t="str">
        <x:v>TX0058</x:v>
      </x:c>
      <x:c r="B62" s="65"/>
      <x:c r="C62" s="53"/>
      <x:c r="D62" s="53" t="str">
        <x:v>1404/10</x:v>
      </x:c>
      <x:c r="E62" s="53" t="str">
        <x:v>پرداخت</x:v>
      </x:c>
      <x:c r="F62" s="66" t="n">
        <x:v>275</x:v>
      </x:c>
      <x:c r="G62" s="67" t="str">
        <x:v>نامشخص</x:v>
      </x:c>
      <x:c r="H62" s="66"/>
      <x:c r="I62" s="53" t="str">
        <x:v>حسین</x:v>
      </x:c>
      <x:c r="J62" s="53" t="str">
        <x:v>هزینه داوطلبانه بدون رسید: کاغذ/ماژیک و شیرینی</x:v>
      </x:c>
      <x:c r="K62" s="53" t="str">
        <x:v>کاغذ و ماژیک ۱۶۵ + شیرینی ۶۰ و ۵۰ (بدون رسید)</x:v>
      </x:c>
      <x:c r="L62" s="53" t="str">
        <x:v>رویدادها</x:v>
      </x:c>
      <x:c r="M62" s="53" t="str">
        <x:v>یلدا ۱۴۰۴</x:v>
      </x:c>
      <x:c r="N62" s="53" t="str">
        <x:v>نیازمند بررسی</x:v>
      </x:c>
      <x:c r="O62" s="53" t="str">
        <x:v>صرفاً پیام</x:v>
      </x:c>
      <x:c r="P62" s="53" t="str">
        <x:v>داوطلب</x:v>
      </x:c>
      <x:c r="Q62" s="53" t="str">
        <x:v>message162, message163, message164</x:v>
      </x:c>
      <x:c r="R62" s="53"/>
      <x:c r="S62" s="53"/>
      <x:c r="T62" s="53" t="str">
        <x:v>رسید و واحد وجود ندارد (احتمالاً هزار تومان). وضعیت بازپرداخت نامشخص است.</x:v>
      </x:c>
      <x:c r="U62" s="53" t="str"/>
      <x:c r="V62" s="53" t="str">
        <x:v>telegram export/messages.html#message162</x:v>
      </x:c>
      <x:c r="W62" s="68" t="n">
        <x:f>IF(AND(N62="تأییدشده",E62="دریافت",ISNUMBER(H62)),H62,0)</x:f>
        <x:v>0</x:v>
      </x:c>
      <x:c r="X62" s="68" t="n">
        <x:f>IF(AND(N62="تأییدشده",E62="پرداخت",ISNUMBER(H62)),H62,0)</x:f>
        <x:v>0</x:v>
      </x:c>
      <x:c r="Y62" s="68" t="n">
        <x:f>W62-X62</x:f>
        <x:v>0</x:v>
      </x:c>
    </x:row>
    <x:row r="63" ht="15" hidden="0" customHeight="1">
      <x:c r="A63" s="53" t="str">
        <x:v>TX0059</x:v>
      </x:c>
      <x:c r="B63" s="65" t="d">
        <x:v>2025-12-30T00:00:00.000Z</x:v>
      </x:c>
      <x:c r="C63" s="53" t="str">
        <x:v>1404/10/09</x:v>
      </x:c>
      <x:c r="D63" s="53" t="str">
        <x:v>1404/10</x:v>
      </x:c>
      <x:c r="E63" s="53" t="str">
        <x:v>پرداخت</x:v>
      </x:c>
      <x:c r="F63" s="66" t="n">
        <x:v>1800000</x:v>
      </x:c>
      <x:c r="G63" s="67" t="str">
        <x:v>ریال</x:v>
      </x:c>
      <x:c r="H63" s="66" t="n">
        <x:v>180000</x:v>
      </x:c>
      <x:c r="I63" s="53" t="str">
        <x:v>دینا زالی</x:v>
      </x:c>
      <x:c r="J63" s="53" t="str">
        <x:v>رشته پیام برای بسته‌بندی فال یلدا</x:v>
      </x:c>
      <x:c r="K63" s="53" t="str">
        <x:v>نخ بسته‌بندی فال یلدا</x:v>
      </x:c>
      <x:c r="L63" s="53" t="str">
        <x:v>رویدادها</x:v>
      </x:c>
      <x:c r="M63" s="53" t="str">
        <x:v>یلدا ۱۴۰۴</x:v>
      </x:c>
      <x:c r="N63" s="53" t="str">
        <x:v>تأییدشده</x:v>
      </x:c>
      <x:c r="O63" s="53" t="str">
        <x:v>رسید و پیام</x:v>
      </x:c>
      <x:c r="P63" s="53" t="str">
        <x:v>SHAHR-8966</x:v>
      </x:c>
      <x:c r="Q63" s="53" t="str">
        <x:v>message152</x:v>
      </x:c>
      <x:c r="R63" s="53" t="str">
        <x:v>130062165421</x:v>
      </x:c>
      <x:c r="S63" s="53"/>
      <x:c r="T63" s="53" t="str"/>
      <x:c r="U63" s="53" t="str">
        <x:v>در دفتر اصلی وجود ندارد.</x:v>
      </x:c>
      <x:c r="V63" s="53" t="str">
        <x:v>telegram export/photos/photo_39@27-06-2026_18-29-10.jpg</x:v>
      </x:c>
      <x:c r="W63" s="68" t="n">
        <x:f>IF(AND(N63="تأییدشده",E63="دریافت",ISNUMBER(H63)),H63,0)</x:f>
        <x:v>0</x:v>
      </x:c>
      <x:c r="X63" s="68" t="n">
        <x:f>IF(AND(N63="تأییدشده",E63="پرداخت",ISNUMBER(H63)),H63,0)</x:f>
        <x:v>180000</x:v>
      </x:c>
      <x:c r="Y63" s="68" t="n">
        <x:f>W63-X63</x:f>
        <x:v>-180000</x:v>
      </x:c>
    </x:row>
    <x:row r="64" ht="15" hidden="0" customHeight="1">
      <x:c r="A64" s="53" t="str">
        <x:v>TX0060</x:v>
      </x:c>
      <x:c r="B64" s="65"/>
      <x:c r="C64" s="53"/>
      <x:c r="D64" s="53" t="str">
        <x:v>بدون تاریخ</x:v>
      </x:c>
      <x:c r="E64" s="53" t="str">
        <x:v>پرداخت</x:v>
      </x:c>
      <x:c r="F64" s="66" t="n">
        <x:v>1664700</x:v>
      </x:c>
      <x:c r="G64" s="67" t="str">
        <x:v>تومان</x:v>
      </x:c>
      <x:c r="H64" s="66" t="n">
        <x:v>1664700</x:v>
      </x:c>
      <x:c r="I64" s="53" t="str">
        <x:v>خواربارفروش آنلاین نامشخص</x:v>
      </x:c>
      <x:c r="J64" s="53" t="str">
        <x:v>فاکتور انار برای شب یلدا</x:v>
      </x:c>
      <x:c r="K64" s="53" t="str">
        <x:v>فاکتور ۷ بسته انار پذیرایی یلدا</x:v>
      </x:c>
      <x:c r="L64" s="53" t="str">
        <x:v>پذیرایی</x:v>
      </x:c>
      <x:c r="M64" s="53" t="str">
        <x:v>یلدا ۱۴۰۴</x:v>
      </x:c>
      <x:c r="N64" s="53" t="str">
        <x:v>صرفاً صورتحساب</x:v>
      </x:c>
      <x:c r="O64" s="53" t="str">
        <x:v>فاکتور</x:v>
      </x:c>
      <x:c r="P64" s="53" t="str">
        <x:v>نامشخص</x:v>
      </x:c>
      <x:c r="Q64" s="53" t="str">
        <x:v>message151</x:v>
      </x:c>
      <x:c r="R64" s="53"/>
      <x:c r="S64" s="53"/>
      <x:c r="T64" s="53" t="str">
        <x:v>تاریخ یا مدرک پرداخت وجود ندارد.</x:v>
      </x:c>
      <x:c r="U64" s="53" t="str"/>
      <x:c r="V64" s="53" t="str">
        <x:v>telegram export/photos/photo_38@27-06-2026_18-27-25.jpg</x:v>
      </x:c>
      <x:c r="W64" s="68" t="n">
        <x:f>IF(AND(N64="تأییدشده",E64="دریافت",ISNUMBER(H64)),H64,0)</x:f>
        <x:v>0</x:v>
      </x:c>
      <x:c r="X64" s="68" t="n">
        <x:f>IF(AND(N64="تأییدشده",E64="پرداخت",ISNUMBER(H64)),H64,0)</x:f>
        <x:v>0</x:v>
      </x:c>
      <x:c r="Y64" s="68" t="n">
        <x:f>W64-X64</x:f>
        <x:v>0</x:v>
      </x:c>
    </x:row>
    <x:row r="65" ht="36" hidden="0" customHeight="1">
      <x:c r="A65" s="53" t="str">
        <x:v>TX0061</x:v>
      </x:c>
      <x:c r="B65" s="65" t="d">
        <x:v>2026-02-28T00:00:00.000Z</x:v>
      </x:c>
      <x:c r="C65" s="53" t="str">
        <x:v>1404/12/09</x:v>
      </x:c>
      <x:c r="D65" s="53" t="str">
        <x:v>1404/12</x:v>
      </x:c>
      <x:c r="E65" s="53" t="str">
        <x:v>پرداخت</x:v>
      </x:c>
      <x:c r="F65" s="66" t="n">
        <x:v>18012200</x:v>
      </x:c>
      <x:c r="G65" s="67" t="str">
        <x:v>ریال</x:v>
      </x:c>
      <x:c r="H65" s="66" t="n">
        <x:v>1801220</x:v>
      </x:c>
      <x:c r="I65" s="53" t="str">
        <x:v>کارت 6221061239419676 (مالک نامشخص)</x:v>
      </x:c>
      <x:c r="J65" s="53" t="str">
        <x:v>پرداخت انجمن، منظور و دریافت‌کننده در انتظار تخصیص</x:v>
      </x:c>
      <x:c r="K65" s="53" t="str">
        <x:v>انتقال از کارت انجمن، بابت نامشخص</x:v>
      </x:c>
      <x:c r="L65" s="53" t="str">
        <x:v>طبقه‌بندی‌نشده</x:v>
      </x:c>
      <x:c r="M65" s="53" t="str">
        <x:v>تخصیص‌نیافته</x:v>
      </x:c>
      <x:c r="N65" s="53" t="str">
        <x:v>تأییدشده</x:v>
      </x:c>
      <x:c r="O65" s="53" t="str">
        <x:v>رسید و تأیید کاربر</x:v>
      </x:c>
      <x:c r="P65" s="53" t="str">
        <x:v>SHAHR-8966</x:v>
      </x:c>
      <x:c r="Q65" s="53" t="str"/>
      <x:c r="R65" s="53"/>
      <x:c r="S65" s="53"/>
      <x:c r="T65" s="53" t="str"/>
      <x:c r="U65" s="53" t="str">
        <x:v>مانده پس از تراکنش: ۱۲,۲۶۲,۸۹۵ ریال. کاربر تأیید می‌کند که تمامی رسیدها/مدارک مربوط به هزینه‌های انجمن هستند. هدف به‌صورت طبقه‌بندی‌نشده نگه داشته می‌شود مگر آنکه به‌طور مشخص شناسایی شده باشد. برچسب پروژه قبلی: نامشخص. پروژه به‌طور مشخص تأیید نشده است؛ به‌صورت تخصیص‌نیافته نگه داشته شد.</x:v>
      </x:c>
      <x:c r="V65" s="53" t="str">
        <x:v>recipts/photo_6_2026-10-10_14-07-27.jpg
reports/2026-10-10/user_confirmation_2026-10-10.json</x:v>
      </x:c>
      <x:c r="W65" s="68" t="n">
        <x:f>IF(AND(N65="تأییدشده",E65="دریافت",ISNUMBER(H65)),H65,0)</x:f>
        <x:v>0</x:v>
      </x:c>
      <x:c r="X65" s="68" t="n">
        <x:f>IF(AND(N65="تأییدشده",E65="پرداخت",ISNUMBER(H65)),H65,0)</x:f>
        <x:v>1801220</x:v>
      </x:c>
      <x:c r="Y65" s="68" t="n">
        <x:f>W65-X65</x:f>
        <x:v>-1801220</x:v>
      </x:c>
    </x:row>
    <x:row r="66" ht="15" hidden="0" customHeight="1">
      <x:c r="A66" s="53" t="str">
        <x:v>TX0062</x:v>
      </x:c>
      <x:c r="B66" s="65" t="d">
        <x:v>2026-05-14T00:00:00.000Z</x:v>
      </x:c>
      <x:c r="C66" s="53" t="str">
        <x:v>1405/02/24</x:v>
      </x:c>
      <x:c r="D66" s="53" t="str">
        <x:v>1405/02</x:v>
      </x:c>
      <x:c r="E66" s="53" t="str">
        <x:v>پرداخت</x:v>
      </x:c>
      <x:c r="F66" s="66" t="n">
        <x:v>15500000</x:v>
      </x:c>
      <x:c r="G66" s="67" t="str">
        <x:v>ریال</x:v>
      </x:c>
      <x:c r="H66" s="66" t="n">
        <x:v>1550000</x:v>
      </x:c>
      <x:c r="I66" s="53" t="str">
        <x:v>پرنیان عسگری</x:v>
      </x:c>
      <x:c r="J66" s="53" t="str">
        <x:v>قسط اول بازپرداخت یلدا</x:v>
      </x:c>
      <x:c r="K66" s="53" t="str">
        <x:v>تسویه ۱.۵ از ۴.۰۵ هزینه جشن یلدا</x:v>
      </x:c>
      <x:c r="L66" s="53" t="str">
        <x:v>رویدادها</x:v>
      </x:c>
      <x:c r="M66" s="53" t="str">
        <x:v>یلدا ۱۴۰۴</x:v>
      </x:c>
      <x:c r="N66" s="53" t="str">
        <x:v>تأییدشده</x:v>
      </x:c>
      <x:c r="O66" s="53" t="str">
        <x:v>رسید و پیام</x:v>
      </x:c>
      <x:c r="P66" s="53" t="str">
        <x:v>SHAHR-8966</x:v>
      </x:c>
      <x:c r="Q66" s="53" t="str">
        <x:v>message126, message128</x:v>
      </x:c>
      <x:c r="R66" s="53" t="str">
        <x:v>130035640932</x:v>
      </x:c>
      <x:c r="S66" s="53"/>
      <x:c r="T66" s="53" t="str"/>
      <x:c r="U66" s="53" t="str">
        <x:v>در دفتر اصلی وجود ندارد.</x:v>
      </x:c>
      <x:c r="V66" s="53" t="str">
        <x:v>telegram export/photos/photo_28@17-05-2026_19-45-07.jpg</x:v>
      </x:c>
      <x:c r="W66" s="68" t="n">
        <x:f>IF(AND(N66="تأییدشده",E66="دریافت",ISNUMBER(H66)),H66,0)</x:f>
        <x:v>0</x:v>
      </x:c>
      <x:c r="X66" s="68" t="n">
        <x:f>IF(AND(N66="تأییدشده",E66="پرداخت",ISNUMBER(H66)),H66,0)</x:f>
        <x:v>1550000</x:v>
      </x:c>
      <x:c r="Y66" s="68" t="n">
        <x:f>W66-X66</x:f>
        <x:v>-1550000</x:v>
      </x:c>
    </x:row>
    <x:row r="67" ht="15" hidden="0" customHeight="1">
      <x:c r="A67" s="53" t="str">
        <x:v>TX0063</x:v>
      </x:c>
      <x:c r="B67" s="65" t="d">
        <x:v>2026-05-17T00:00:00.000Z</x:v>
      </x:c>
      <x:c r="C67" s="53" t="str">
        <x:v>1405/02/27</x:v>
      </x:c>
      <x:c r="D67" s="53" t="str">
        <x:v>1405/02</x:v>
      </x:c>
      <x:c r="E67" s="53" t="str">
        <x:v>پرداخت</x:v>
      </x:c>
      <x:c r="F67" s="66" t="n">
        <x:v>25000000</x:v>
      </x:c>
      <x:c r="G67" s="67" t="str">
        <x:v>ریال</x:v>
      </x:c>
      <x:c r="H67" s="66" t="n">
        <x:v>2500000</x:v>
      </x:c>
      <x:c r="I67" s="53" t="str">
        <x:v>پرنیان عسگری</x:v>
      </x:c>
      <x:c r="J67" s="53" t="str">
        <x:v>قسط دوم بازپرداخت یلدا (جمعاً ۴٬۰۵۰٬۰۰۰)</x:v>
      </x:c>
      <x:c r="K67" s="53" t="str">
        <x:v>تسویه ۲.۵ از ۴.۰۵ جشن یلدا</x:v>
      </x:c>
      <x:c r="L67" s="53" t="str">
        <x:v>رویدادها</x:v>
      </x:c>
      <x:c r="M67" s="53" t="str">
        <x:v>یلدا ۱۴۰۴</x:v>
      </x:c>
      <x:c r="N67" s="53" t="str">
        <x:v>تأییدشده</x:v>
      </x:c>
      <x:c r="O67" s="53" t="str">
        <x:v>رسید و پیام</x:v>
      </x:c>
      <x:c r="P67" s="53" t="str">
        <x:v>SHAHR-8966</x:v>
      </x:c>
      <x:c r="Q67" s="53" t="str">
        <x:v>message125, message128</x:v>
      </x:c>
      <x:c r="R67" s="53" t="str">
        <x:v>130014131832</x:v>
      </x:c>
      <x:c r="S67" s="53"/>
      <x:c r="T67" s="53" t="str"/>
      <x:c r="U67" s="53" t="str">
        <x:v>رسیدهای اسکن‌شده (TX0064-TX0074) این بازپرداخت را تأیید می‌کنند.</x:v>
      </x:c>
      <x:c r="V67" s="53" t="str">
        <x:v>telegram export/photos/photo_27@17-05-2026_19-45-07.jpg</x:v>
      </x:c>
      <x:c r="W67" s="68" t="n">
        <x:f>IF(AND(N67="تأییدشده",E67="دریافت",ISNUMBER(H67)),H67,0)</x:f>
        <x:v>0</x:v>
      </x:c>
      <x:c r="X67" s="68" t="n">
        <x:f>IF(AND(N67="تأییدشده",E67="پرداخت",ISNUMBER(H67)),H67,0)</x:f>
        <x:v>2500000</x:v>
      </x:c>
      <x:c r="Y67" s="68" t="n">
        <x:f>W67-X67</x:f>
        <x:v>-2500000</x:v>
      </x:c>
    </x:row>
    <x:row r="68" ht="15" hidden="0" customHeight="1">
      <x:c r="A68" s="53" t="str">
        <x:v>TX0064</x:v>
      </x:c>
      <x:c r="B68" s="65" t="d">
        <x:v>2025-12-23T00:00:00.000Z</x:v>
      </x:c>
      <x:c r="C68" s="53" t="str">
        <x:v>1404/10/02</x:v>
      </x:c>
      <x:c r="D68" s="53" t="str">
        <x:v>1404/10</x:v>
      </x:c>
      <x:c r="E68" s="53" t="str">
        <x:v>پرداخت</x:v>
      </x:c>
      <x:c r="F68" s="66" t="n">
        <x:v>1074000</x:v>
      </x:c>
      <x:c r="G68" s="67" t="str">
        <x:v>ریال</x:v>
      </x:c>
      <x:c r="H68" s="66" t="n">
        <x:v>107400</x:v>
      </x:c>
      <x:c r="I68" s="53" t="str">
        <x:v>کانبو تارشت 1633</x:v>
      </x:c>
      <x:c r="J68" s="53" t="str">
        <x:v>خرید داوطلب C1، ۶ تنقلات</x:v>
      </x:c>
      <x:c r="K68" s="53" t="str">
        <x:v>۶ عدد اسنک ۳۸ گرمی (خرید پرنیان)</x:v>
      </x:c>
      <x:c r="L68" s="53" t="str">
        <x:v>رویدادها</x:v>
      </x:c>
      <x:c r="M68" s="53" t="str">
        <x:v>یلدا ۱۴۰۴</x:v>
      </x:c>
      <x:c r="N68" s="53" t="str">
        <x:v>نیازمند بررسی</x:v>
      </x:c>
      <x:c r="O68" s="53" t="str">
        <x:v>رسید و پیام</x:v>
      </x:c>
      <x:c r="P68" s="53" t="str">
        <x:v>داوطلب</x:v>
      </x:c>
      <x:c r="Q68" s="53" t="str">
        <x:v>message124, message129</x:v>
      </x:c>
      <x:c r="R68" s="53"/>
      <x:c r="S68" s="53"/>
      <x:c r="T68" s="53" t="str">
        <x:v>با هزینه داوطلب؛ پشتیبان TX0062/TX0063.</x:v>
      </x:c>
      <x:c r="U68" s="53" t="str">
        <x:v>18:48.</x:v>
      </x:c>
      <x:c r="V68" s="53" t="str">
        <x:v>telegram export/files/CamScanner 13-05-2026 12.43 (1).pdf#page=1</x:v>
      </x:c>
      <x:c r="W68" s="68" t="n">
        <x:f>IF(AND(N68="تأییدشده",E68="دریافت",ISNUMBER(H68)),H68,0)</x:f>
        <x:v>0</x:v>
      </x:c>
      <x:c r="X68" s="68" t="n">
        <x:f>IF(AND(N68="تأییدشده",E68="پرداخت",ISNUMBER(H68)),H68,0)</x:f>
        <x:v>0</x:v>
      </x:c>
      <x:c r="Y68" s="68" t="n">
        <x:f>W68-X68</x:f>
        <x:v>0</x:v>
      </x:c>
    </x:row>
    <x:row r="69" ht="60" hidden="0" customHeight="1">
      <x:c r="A69" s="53" t="str">
        <x:v>TX0065</x:v>
      </x:c>
      <x:c r="B69" s="65" t="d">
        <x:v>2025-12-23T00:00:00.000Z</x:v>
      </x:c>
      <x:c r="C69" s="53" t="str">
        <x:v>1404/10/02</x:v>
      </x:c>
      <x:c r="D69" s="53" t="str">
        <x:v>1404/10</x:v>
      </x:c>
      <x:c r="E69" s="53" t="str">
        <x:v>پرداخت</x:v>
      </x:c>
      <x:c r="F69" s="66" t="n">
        <x:v>1790000</x:v>
      </x:c>
      <x:c r="G69" s="67" t="str">
        <x:v>ریال</x:v>
      </x:c>
      <x:c r="H69" s="66" t="n">
        <x:v>179000</x:v>
      </x:c>
      <x:c r="I69" s="53" t="str">
        <x:v>کانبو تارشت 1633</x:v>
      </x:c>
      <x:c r="J69" s="53" t="str">
        <x:v>خرید داوطلب C2</x:v>
      </x:c>
      <x:c r="K69" s="53" t="str">
        <x:v>۱۰ اسنک (C2)</x:v>
      </x:c>
      <x:c r="L69" s="53" t="str">
        <x:v>رویدادها</x:v>
      </x:c>
      <x:c r="M69" s="53" t="str">
        <x:v>یلدا ۱۴۰۴</x:v>
      </x:c>
      <x:c r="N69" s="53" t="str">
        <x:v>نیازمند بررسی</x:v>
      </x:c>
      <x:c r="O69" s="53" t="str">
        <x:v>رسید و پیام</x:v>
      </x:c>
      <x:c r="P69" s="53" t="str">
        <x:v>داوطلب</x:v>
      </x:c>
      <x:c r="Q69" s="53" t="str">
        <x:v>message124, message129</x:v>
      </x:c>
      <x:c r="R69" s="53" t="str">
        <x:v>857374932735</x:v>
      </x:c>
      <x:c r="S69" s="53"/>
      <x:c r="T69" s="53" t="str">
        <x:v>با هزینه داوطلب؛ پشتیبان بازپرداخت پرنیان.</x:v>
      </x:c>
      <x:c r="U69" s="53" t="str">
        <x:v>18:47. برگهٔ ترمینال (ارجاع 857374932735، کارت 603769-**-5401) ساعت 18:47:06 را نشان می‌دهد. صفحات 2 و 5 هر دو ساعت 18:47 و مبلغ 1,790,000 دارند، بنابراین مشخص نیست که این ارجاع به کدام برگه تعلق دارد. کارت 603769-**-5401 با کارت مقصد بازپرداخت‌های پرنیان (TX0062/TX0063: 6037 69** **** 5401) مطابقت دارد، که پرداخت توسط داوطلب (پرنیان) را تقویت می‌کند. شمارهٔ سریال حافظهٔ مالیاتی مشترک S001001000010154 و ترمینال A001001000020043 شناسهٔ تراکنش نیستند.</x:v>
      </x:c>
      <x:c r="V69" s="53" t="str">
        <x:v>telegram export/files/CamScanner 13-05-2026 12.43 (1).pdf#page=2
telegram export/files/CamScanner 13-05-2026 12.43 (1).pdf#page=2</x:v>
      </x:c>
      <x:c r="W69" s="68" t="n">
        <x:f>IF(AND(N69="تأییدشده",E69="دریافت",ISNUMBER(H69)),H69,0)</x:f>
        <x:v>0</x:v>
      </x:c>
      <x:c r="X69" s="68" t="n">
        <x:f>IF(AND(N69="تأییدشده",E69="پرداخت",ISNUMBER(H69)),H69,0)</x:f>
        <x:v>0</x:v>
      </x:c>
      <x:c r="Y69" s="68" t="n">
        <x:f>W69-X69</x:f>
        <x:v>0</x:v>
      </x:c>
    </x:row>
    <x:row r="70" ht="24" hidden="0" customHeight="1">
      <x:c r="A70" s="53" t="str">
        <x:v>TX0066</x:v>
      </x:c>
      <x:c r="B70" s="65" t="d">
        <x:v>2025-12-23T00:00:00.000Z</x:v>
      </x:c>
      <x:c r="C70" s="53" t="str">
        <x:v>1404/10/02</x:v>
      </x:c>
      <x:c r="D70" s="53" t="str">
        <x:v>1404/10</x:v>
      </x:c>
      <x:c r="E70" s="53" t="str">
        <x:v>پرداخت</x:v>
      </x:c>
      <x:c r="F70" s="66" t="n">
        <x:v>1790000</x:v>
      </x:c>
      <x:c r="G70" s="67" t="str">
        <x:v>ریال</x:v>
      </x:c>
      <x:c r="H70" s="66" t="n">
        <x:v>179000</x:v>
      </x:c>
      <x:c r="I70" s="53" t="str">
        <x:v>کانبو تارشت 1633</x:v>
      </x:c>
      <x:c r="J70" s="53" t="str">
        <x:v>خرید داوطلب C3</x:v>
      </x:c>
      <x:c r="K70" s="53" t="str">
        <x:v>۱۰ اسنک (C3)</x:v>
      </x:c>
      <x:c r="L70" s="53" t="str">
        <x:v>رویدادها</x:v>
      </x:c>
      <x:c r="M70" s="53" t="str">
        <x:v>یلدا ۱۴۰۴</x:v>
      </x:c>
      <x:c r="N70" s="53" t="str">
        <x:v>نیازمند بررسی</x:v>
      </x:c>
      <x:c r="O70" s="53" t="str">
        <x:v>رسید و پیام</x:v>
      </x:c>
      <x:c r="P70" s="53" t="str">
        <x:v>داوطلب</x:v>
      </x:c>
      <x:c r="Q70" s="53" t="str">
        <x:v>message124, message129</x:v>
      </x:c>
      <x:c r="R70" s="53"/>
      <x:c r="S70" s="53"/>
      <x:c r="T70" s="53" t="str">
        <x:v>متمایز از C2 (18:48 در مقابل 18:47).</x:v>
      </x:c>
      <x:c r="U70" s="53" t="str"/>
      <x:c r="V70" s="53" t="str">
        <x:v>telegram export/files/CamScanner 13-05-2026 12.43 (1).pdf#page=3
telegram export/files/CamScanner 13-05-2026 12.43 (1).pdf#page=3</x:v>
      </x:c>
      <x:c r="W70" s="68" t="n">
        <x:f>IF(AND(N70="تأییدشده",E70="دریافت",ISNUMBER(H70)),H70,0)</x:f>
        <x:v>0</x:v>
      </x:c>
      <x:c r="X70" s="68" t="n">
        <x:f>IF(AND(N70="تأییدشده",E70="پرداخت",ISNUMBER(H70)),H70,0)</x:f>
        <x:v>0</x:v>
      </x:c>
      <x:c r="Y70" s="68" t="n">
        <x:f>W70-X70</x:f>
        <x:v>0</x:v>
      </x:c>
    </x:row>
    <x:row r="71" ht="24" hidden="0" customHeight="1">
      <x:c r="A71" s="53" t="str">
        <x:v>TX0067</x:v>
      </x:c>
      <x:c r="B71" s="65" t="d">
        <x:v>2025-12-23T00:00:00.000Z</x:v>
      </x:c>
      <x:c r="C71" s="53" t="str">
        <x:v>1404/10/02</x:v>
      </x:c>
      <x:c r="D71" s="53" t="str">
        <x:v>1404/10</x:v>
      </x:c>
      <x:c r="E71" s="53" t="str">
        <x:v>پرداخت</x:v>
      </x:c>
      <x:c r="F71" s="66" t="n">
        <x:v>1790000</x:v>
      </x:c>
      <x:c r="G71" s="67" t="str">
        <x:v>ریال</x:v>
      </x:c>
      <x:c r="H71" s="66" t="n">
        <x:v>179000</x:v>
      </x:c>
      <x:c r="I71" s="53" t="str">
        <x:v>کانبو تارشت 1633</x:v>
      </x:c>
      <x:c r="J71" s="53" t="str">
        <x:v>خرید داوطلب C4</x:v>
      </x:c>
      <x:c r="K71" s="53" t="str">
        <x:v>۱۰ اسنک (C4، بدون مهر)</x:v>
      </x:c>
      <x:c r="L71" s="53" t="str">
        <x:v>رویدادها</x:v>
      </x:c>
      <x:c r="M71" s="53" t="str">
        <x:v>یلدا ۱۴۰۴</x:v>
      </x:c>
      <x:c r="N71" s="53" t="str">
        <x:v>نیازمند بررسی</x:v>
      </x:c>
      <x:c r="O71" s="53" t="str">
        <x:v>رسید و پیام</x:v>
      </x:c>
      <x:c r="P71" s="53" t="str">
        <x:v>داوطلب</x:v>
      </x:c>
      <x:c r="Q71" s="53" t="str">
        <x:v>message124, message129</x:v>
      </x:c>
      <x:c r="R71" s="53"/>
      <x:c r="S71" s="53"/>
      <x:c r="T71" s="53" t="str">
        <x:v>با هزینه داوطلب.</x:v>
      </x:c>
      <x:c r="U71" s="53" t="str">
        <x:v>18:46، بارکد ≈99TD8856BX8Y71R.</x:v>
      </x:c>
      <x:c r="V71" s="53" t="str">
        <x:v>telegram export/files/CamScanner 13-05-2026 12.43 (1).pdf#page=4
telegram export/files/CamScanner 13-05-2026 12.43 (1).pdf#page=4</x:v>
      </x:c>
      <x:c r="W71" s="68" t="n">
        <x:f>IF(AND(N71="تأییدشده",E71="دریافت",ISNUMBER(H71)),H71,0)</x:f>
        <x:v>0</x:v>
      </x:c>
      <x:c r="X71" s="68" t="n">
        <x:f>IF(AND(N71="تأییدشده",E71="پرداخت",ISNUMBER(H71)),H71,0)</x:f>
        <x:v>0</x:v>
      </x:c>
      <x:c r="Y71" s="68" t="n">
        <x:f>W71-X71</x:f>
        <x:v>0</x:v>
      </x:c>
    </x:row>
    <x:row r="72" ht="24" hidden="0" customHeight="1">
      <x:c r="A72" s="53" t="str">
        <x:v>TX0068</x:v>
      </x:c>
      <x:c r="B72" s="65" t="d">
        <x:v>2025-12-23T00:00:00.000Z</x:v>
      </x:c>
      <x:c r="C72" s="53" t="str">
        <x:v>1404/10/02</x:v>
      </x:c>
      <x:c r="D72" s="53" t="str">
        <x:v>1404/10</x:v>
      </x:c>
      <x:c r="E72" s="53" t="str">
        <x:v>پرداخت</x:v>
      </x:c>
      <x:c r="F72" s="66" t="n">
        <x:v>1790000</x:v>
      </x:c>
      <x:c r="G72" s="67" t="str">
        <x:v>ریال</x:v>
      </x:c>
      <x:c r="H72" s="66" t="n">
        <x:v>179000</x:v>
      </x:c>
      <x:c r="I72" s="53" t="str">
        <x:v>کانبو تارشت 1633</x:v>
      </x:c>
      <x:c r="J72" s="53" t="str">
        <x:v>خرید داوطلب C5</x:v>
      </x:c>
      <x:c r="K72" s="53" t="str">
        <x:v>۱۰ اسنک (C5)</x:v>
      </x:c>
      <x:c r="L72" s="53" t="str">
        <x:v>رویدادها</x:v>
      </x:c>
      <x:c r="M72" s="53" t="str">
        <x:v>یلدا ۱۴۰۴</x:v>
      </x:c>
      <x:c r="N72" s="53" t="str">
        <x:v>نیازمند بررسی</x:v>
      </x:c>
      <x:c r="O72" s="53" t="str">
        <x:v>رسید و پیام</x:v>
      </x:c>
      <x:c r="P72" s="53" t="str">
        <x:v>داوطلب</x:v>
      </x:c>
      <x:c r="Q72" s="53" t="str">
        <x:v>message124, message129</x:v>
      </x:c>
      <x:c r="R72" s="53"/>
      <x:c r="S72" s="53"/>
      <x:c r="T72" s="53" t="str">
        <x:v>با هزینه داوطلب.</x:v>
      </x:c>
      <x:c r="U72" s="53" t="str">
        <x:v>18:47، بارکد …FX92HXB.</x:v>
      </x:c>
      <x:c r="V72" s="53" t="str">
        <x:v>telegram export/files/CamScanner 13-05-2026 12.43 (1).pdf#page=5
telegram export/files/CamScanner 13-05-2026 12.43 (1).pdf#page=5</x:v>
      </x:c>
      <x:c r="W72" s="68" t="n">
        <x:f>IF(AND(N72="تأییدشده",E72="دریافت",ISNUMBER(H72)),H72,0)</x:f>
        <x:v>0</x:v>
      </x:c>
      <x:c r="X72" s="68" t="n">
        <x:f>IF(AND(N72="تأییدشده",E72="پرداخت",ISNUMBER(H72)),H72,0)</x:f>
        <x:v>0</x:v>
      </x:c>
      <x:c r="Y72" s="68" t="n">
        <x:f>W72-X72</x:f>
        <x:v>0</x:v>
      </x:c>
    </x:row>
    <x:row r="73" ht="24" hidden="0" customHeight="1">
      <x:c r="A73" s="53" t="str">
        <x:v>TX0069</x:v>
      </x:c>
      <x:c r="B73" s="65" t="d">
        <x:v>2025-12-23T00:00:00.000Z</x:v>
      </x:c>
      <x:c r="C73" s="53" t="str">
        <x:v>1404/10/02</x:v>
      </x:c>
      <x:c r="D73" s="53" t="str">
        <x:v>1404/10</x:v>
      </x:c>
      <x:c r="E73" s="53" t="str">
        <x:v>پرداخت</x:v>
      </x:c>
      <x:c r="F73" s="66" t="n">
        <x:v>1790000</x:v>
      </x:c>
      <x:c r="G73" s="67" t="str">
        <x:v>ریال</x:v>
      </x:c>
      <x:c r="H73" s="66" t="n">
        <x:v>179000</x:v>
      </x:c>
      <x:c r="I73" s="53" t="str">
        <x:v>کانبو تارشت 1633</x:v>
      </x:c>
      <x:c r="J73" s="53" t="str">
        <x:v>خرید داوطلب C6، احتمال اسکن مجدد C4</x:v>
      </x:c>
      <x:c r="K73" s="53" t="str">
        <x:v>۱۰ اسنک (C6، احتمال تکرار C4)</x:v>
      </x:c>
      <x:c r="L73" s="53" t="str">
        <x:v>رویدادها</x:v>
      </x:c>
      <x:c r="M73" s="53" t="str">
        <x:v>یلدا ۱۴۰۴</x:v>
      </x:c>
      <x:c r="N73" s="53" t="str">
        <x:v>نیازمند بررسی</x:v>
      </x:c>
      <x:c r="O73" s="53" t="str">
        <x:v>رسید و پیام</x:v>
      </x:c>
      <x:c r="P73" s="53" t="str">
        <x:v>داوطلب</x:v>
      </x:c>
      <x:c r="Q73" s="53" t="str">
        <x:v>message124, message129</x:v>
      </x:c>
      <x:c r="R73" s="53"/>
      <x:c r="S73" s="53" t="str">
        <x:v>TX0067</x:v>
      </x:c>
      <x:c r="T73" s="53" t="str">
        <x:v>همان دقیقهٔ C4. ممکن است اسکن پیش از مهر و پس از مهر یک رسید باشد؛ حل‌نشده.</x:v>
      </x:c>
      <x:c r="U73" s="53" t="str"/>
      <x:c r="V73" s="53" t="str">
        <x:v>telegram export/files/CamScanner 13-05-2026 12.43 (1).pdf#page=6
telegram export/files/CamScanner 13-05-2026 12.43 (1).pdf#page=6</x:v>
      </x:c>
      <x:c r="W73" s="68" t="n">
        <x:f>IF(AND(N73="تأییدشده",E73="دریافت",ISNUMBER(H73)),H73,0)</x:f>
        <x:v>0</x:v>
      </x:c>
      <x:c r="X73" s="68" t="n">
        <x:f>IF(AND(N73="تأییدشده",E73="پرداخت",ISNUMBER(H73)),H73,0)</x:f>
        <x:v>0</x:v>
      </x:c>
      <x:c r="Y73" s="68" t="n">
        <x:f>W73-X73</x:f>
        <x:v>0</x:v>
      </x:c>
    </x:row>
    <x:row r="74" ht="24" hidden="0" customHeight="1">
      <x:c r="A74" s="53" t="str">
        <x:v>TX0070</x:v>
      </x:c>
      <x:c r="B74" s="65" t="d">
        <x:v>2025-12-23T00:00:00.000Z</x:v>
      </x:c>
      <x:c r="C74" s="53" t="str">
        <x:v>1404/10/02</x:v>
      </x:c>
      <x:c r="D74" s="53" t="str">
        <x:v>1404/10</x:v>
      </x:c>
      <x:c r="E74" s="53" t="str">
        <x:v>پرداخت</x:v>
      </x:c>
      <x:c r="F74" s="66" t="n">
        <x:v>19166400</x:v>
      </x:c>
      <x:c r="G74" s="67" t="str">
        <x:v>ریال</x:v>
      </x:c>
      <x:c r="H74" s="66" t="n">
        <x:v>1916640</x:v>
      </x:c>
      <x:c r="I74" s="53" t="str">
        <x:v>هایپرفامیلی تارشت</x:v>
      </x:c>
      <x:c r="J74" s="53" t="str">
        <x:v>خرید داوطلب H1، ۹۹ تنقلات مزمز</x:v>
      </x:c>
      <x:c r="K74" s="53" t="str">
        <x:v>۹۹ عدد اسنک مزمز</x:v>
      </x:c>
      <x:c r="L74" s="53" t="str">
        <x:v>رویدادها</x:v>
      </x:c>
      <x:c r="M74" s="53" t="str">
        <x:v>یلدا ۱۴۰۴</x:v>
      </x:c>
      <x:c r="N74" s="53" t="str">
        <x:v>نیازمند بررسی</x:v>
      </x:c>
      <x:c r="O74" s="53" t="str">
        <x:v>رسید و پیام</x:v>
      </x:c>
      <x:c r="P74" s="53" t="str">
        <x:v>داوطلب</x:v>
      </x:c>
      <x:c r="Q74" s="53" t="str">
        <x:v>message124, message129</x:v>
      </x:c>
      <x:c r="R74" s="53"/>
      <x:c r="S74" s="53"/>
      <x:c r="T74" s="53" t="str">
        <x:v>با هزینه داوطلب.</x:v>
      </x:c>
      <x:c r="U74" s="53" t="str">
        <x:v>رسید شماره 11-13-100361. مالیات بر ارزش افزوده 1,742,400 ریال. تاریخ تا حدی زیر مهر پنهان شده است.</x:v>
      </x:c>
      <x:c r="V74" s="53" t="str">
        <x:v>telegram export/files/CamScanner 13-05-2026 12.43 (1).pdf#page=7
telegram export/files/CamScanner 13-05-2026 12.43 (1).pdf#page=7</x:v>
      </x:c>
      <x:c r="W74" s="68" t="n">
        <x:f>IF(AND(N74="تأییدشده",E74="دریافت",ISNUMBER(H74)),H74,0)</x:f>
        <x:v>0</x:v>
      </x:c>
      <x:c r="X74" s="68" t="n">
        <x:f>IF(AND(N74="تأییدشده",E74="پرداخت",ISNUMBER(H74)),H74,0)</x:f>
        <x:v>0</x:v>
      </x:c>
      <x:c r="Y74" s="68" t="n">
        <x:f>W74-X74</x:f>
        <x:v>0</x:v>
      </x:c>
    </x:row>
    <x:row r="75" ht="24" hidden="0" customHeight="1">
      <x:c r="A75" s="53" t="str">
        <x:v>TX0071</x:v>
      </x:c>
      <x:c r="B75" s="65" t="d">
        <x:v>2025-12-24T00:00:00.000Z</x:v>
      </x:c>
      <x:c r="C75" s="53" t="str">
        <x:v>1404/10/03</x:v>
      </x:c>
      <x:c r="D75" s="53" t="str">
        <x:v>1404/10</x:v>
      </x:c>
      <x:c r="E75" s="53" t="str">
        <x:v>پرداخت</x:v>
      </x:c>
      <x:c r="F75" s="66" t="n">
        <x:v>1357999</x:v>
      </x:c>
      <x:c r="G75" s="67" t="str">
        <x:v>ریال</x:v>
      </x:c>
      <x:c r="H75" s="66" t="n">
        <x:v>135799.9</x:v>
      </x:c>
      <x:c r="I75" s="53" t="str">
        <x:v>اکانو</x:v>
      </x:c>
      <x:c r="J75" s="53" t="str">
        <x:v>خرید داوطلب E1، شکلات</x:v>
      </x:c>
      <x:c r="K75" s="53" t="str">
        <x:v>شکلات تابلت گالا</x:v>
      </x:c>
      <x:c r="L75" s="53" t="str">
        <x:v>رویدادها</x:v>
      </x:c>
      <x:c r="M75" s="53" t="str">
        <x:v>یلدا ۱۴۰۴</x:v>
      </x:c>
      <x:c r="N75" s="53" t="str">
        <x:v>نیازمند بررسی</x:v>
      </x:c>
      <x:c r="O75" s="53" t="str">
        <x:v>رسید و پیام</x:v>
      </x:c>
      <x:c r="P75" s="53" t="str">
        <x:v>داوطلب</x:v>
      </x:c>
      <x:c r="Q75" s="53" t="str">
        <x:v>message124, message129</x:v>
      </x:c>
      <x:c r="R75" s="53" t="str">
        <x:v>140622005550/11396</x:v>
      </x:c>
      <x:c r="S75" s="53"/>
      <x:c r="T75" s="53" t="str">
        <x:v>با هزینه داوطلب.</x:v>
      </x:c>
      <x:c r="U75" s="53" t="str">
        <x:v>مبلغ دقیق 135,799.9 تومان، گردشده.</x:v>
      </x:c>
      <x:c r="V75" s="53" t="str">
        <x:v>telegram export/files/CamScanner 13-05-2026 12.43 (1).pdf#page=8
telegram export/files/CamScanner 13-05-2026 12.43 (1).pdf#page=8</x:v>
      </x:c>
      <x:c r="W75" s="68" t="n">
        <x:f>IF(AND(N75="تأییدشده",E75="دریافت",ISNUMBER(H75)),H75,0)</x:f>
        <x:v>0</x:v>
      </x:c>
      <x:c r="X75" s="68" t="n">
        <x:f>IF(AND(N75="تأییدشده",E75="پرداخت",ISNUMBER(H75)),H75,0)</x:f>
        <x:v>0</x:v>
      </x:c>
      <x:c r="Y75" s="68" t="n">
        <x:f>W75-X75</x:f>
        <x:v>0</x:v>
      </x:c>
    </x:row>
    <x:row r="76" ht="24" hidden="0" customHeight="1">
      <x:c r="A76" s="53" t="str">
        <x:v>TX0072</x:v>
      </x:c>
      <x:c r="B76" s="65" t="d">
        <x:v>2025-12-23T00:00:00.000Z</x:v>
      </x:c>
      <x:c r="C76" s="53" t="str">
        <x:v>1404/10/02</x:v>
      </x:c>
      <x:c r="D76" s="53" t="str">
        <x:v>1404/10</x:v>
      </x:c>
      <x:c r="E76" s="53" t="str">
        <x:v>پرداخت</x:v>
      </x:c>
      <x:c r="F76" s="66" t="n">
        <x:v>1790000</x:v>
      </x:c>
      <x:c r="G76" s="67" t="str">
        <x:v>ریال</x:v>
      </x:c>
      <x:c r="H76" s="66" t="n">
        <x:v>179000</x:v>
      </x:c>
      <x:c r="I76" s="53" t="str">
        <x:v>کانبو تارشت مترو 2224</x:v>
      </x:c>
      <x:c r="J76" s="53" t="str">
        <x:v>خرید داوطلب C7</x:v>
      </x:c>
      <x:c r="K76" s="53" t="str">
        <x:v>۱۰ اسنک (C7)</x:v>
      </x:c>
      <x:c r="L76" s="53" t="str">
        <x:v>رویدادها</x:v>
      </x:c>
      <x:c r="M76" s="53" t="str">
        <x:v>یلدا ۱۴۰۴</x:v>
      </x:c>
      <x:c r="N76" s="53" t="str">
        <x:v>نیازمند بررسی</x:v>
      </x:c>
      <x:c r="O76" s="53" t="str">
        <x:v>رسید و پیام</x:v>
      </x:c>
      <x:c r="P76" s="53" t="str">
        <x:v>داوطلب</x:v>
      </x:c>
      <x:c r="Q76" s="53" t="str">
        <x:v>message124, message129</x:v>
      </x:c>
      <x:c r="R76" s="53"/>
      <x:c r="S76" s="53"/>
      <x:c r="T76" s="53" t="str">
        <x:v>با هزینه داوطلب.</x:v>
      </x:c>
      <x:c r="U76" s="53" t="str">
        <x:v>بارکد 99T1XLWSMFVK3PB.</x:v>
      </x:c>
      <x:c r="V76" s="53" t="str">
        <x:v>telegram export/files/CamScanner 13-05-2026 12.43 (1).pdf#page=9
telegram export/files/CamScanner 13-05-2026 12.43 (1).pdf#page=9</x:v>
      </x:c>
      <x:c r="W76" s="68" t="n">
        <x:f>IF(AND(N76="تأییدشده",E76="دریافت",ISNUMBER(H76)),H76,0)</x:f>
        <x:v>0</x:v>
      </x:c>
      <x:c r="X76" s="68" t="n">
        <x:f>IF(AND(N76="تأییدشده",E76="پرداخت",ISNUMBER(H76)),H76,0)</x:f>
        <x:v>0</x:v>
      </x:c>
      <x:c r="Y76" s="68" t="n">
        <x:f>W76-X76</x:f>
        <x:v>0</x:v>
      </x:c>
    </x:row>
    <x:row r="77" ht="24" hidden="0" customHeight="1">
      <x:c r="A77" s="53" t="str">
        <x:v>TX0073</x:v>
      </x:c>
      <x:c r="B77" s="65" t="d">
        <x:v>2025-12-23T00:00:00.000Z</x:v>
      </x:c>
      <x:c r="C77" s="53" t="str">
        <x:v>1404/10/02</x:v>
      </x:c>
      <x:c r="D77" s="53" t="str">
        <x:v>1404/10</x:v>
      </x:c>
      <x:c r="E77" s="53" t="str">
        <x:v>پرداخت</x:v>
      </x:c>
      <x:c r="F77" s="66" t="n">
        <x:v>1253000</x:v>
      </x:c>
      <x:c r="G77" s="67" t="str">
        <x:v>ریال</x:v>
      </x:c>
      <x:c r="H77" s="66" t="n">
        <x:v>125300</x:v>
      </x:c>
      <x:c r="I77" s="53" t="str">
        <x:v>کانبو تارشت مترو 2224</x:v>
      </x:c>
      <x:c r="J77" s="53" t="str">
        <x:v>خرید داوطلب C8</x:v>
      </x:c>
      <x:c r="K77" s="53" t="str">
        <x:v>۷ اسنک (C8)</x:v>
      </x:c>
      <x:c r="L77" s="53" t="str">
        <x:v>رویدادها</x:v>
      </x:c>
      <x:c r="M77" s="53" t="str">
        <x:v>یلدا ۱۴۰۴</x:v>
      </x:c>
      <x:c r="N77" s="53" t="str">
        <x:v>نیازمند بررسی</x:v>
      </x:c>
      <x:c r="O77" s="53" t="str">
        <x:v>رسید و پیام</x:v>
      </x:c>
      <x:c r="P77" s="53" t="str">
        <x:v>داوطلب</x:v>
      </x:c>
      <x:c r="Q77" s="53" t="str">
        <x:v>message124, message129</x:v>
      </x:c>
      <x:c r="R77" s="53"/>
      <x:c r="S77" s="53"/>
      <x:c r="T77" s="53" t="str">
        <x:v>با هزینه داوطلب.</x:v>
      </x:c>
      <x:c r="U77" s="53" t="str">
        <x:v>18:56.</x:v>
      </x:c>
      <x:c r="V77" s="53" t="str">
        <x:v>telegram export/files/CamScanner 13-05-2026 12.43 (1).pdf#page=10
telegram export/files/CamScanner 13-05-2026 12.43 (1).pdf#page=10</x:v>
      </x:c>
      <x:c r="W77" s="68" t="n">
        <x:f>IF(AND(N77="تأییدشده",E77="دریافت",ISNUMBER(H77)),H77,0)</x:f>
        <x:v>0</x:v>
      </x:c>
      <x:c r="X77" s="68" t="n">
        <x:f>IF(AND(N77="تأییدشده",E77="پرداخت",ISNUMBER(H77)),H77,0)</x:f>
        <x:v>0</x:v>
      </x:c>
      <x:c r="Y77" s="68" t="n">
        <x:f>W77-X77</x:f>
        <x:v>0</x:v>
      </x:c>
    </x:row>
    <x:row r="78" ht="24" hidden="0" customHeight="1">
      <x:c r="A78" s="53" t="str">
        <x:v>TX0074</x:v>
      </x:c>
      <x:c r="B78" s="65"/>
      <x:c r="C78" s="53"/>
      <x:c r="D78" s="53" t="str">
        <x:v>1404/10</x:v>
      </x:c>
      <x:c r="E78" s="53" t="str">
        <x:v>پرداخت</x:v>
      </x:c>
      <x:c r="F78" s="66" t="n">
        <x:v>4950000</x:v>
      </x:c>
      <x:c r="G78" s="67" t="str">
        <x:v>ریال</x:v>
      </x:c>
      <x:c r="H78" s="66" t="n">
        <x:v>495000</x:v>
      </x:c>
      <x:c r="I78" s="53" t="str">
        <x:v>قهوه/فست‌فود ریبار</x:v>
      </x:c>
      <x:c r="J78" s="53" t="str">
        <x:v>فاکتور دست‌نویس، احتمالاً کوکی شکلاتی</x:v>
      </x:c>
      <x:c r="K78" s="53" t="str">
        <x:v>فاکتور دست‌نویس کوکی شکلاتی (احتمالی)</x:v>
      </x:c>
      <x:c r="L78" s="53" t="str">
        <x:v>رویدادها</x:v>
      </x:c>
      <x:c r="M78" s="53" t="str">
        <x:v>یلدا ۱۴۰۴</x:v>
      </x:c>
      <x:c r="N78" s="53" t="str">
        <x:v>صرفاً صورتحساب</x:v>
      </x:c>
      <x:c r="O78" s="53" t="str">
        <x:v>فاکتور</x:v>
      </x:c>
      <x:c r="P78" s="53" t="str">
        <x:v>داوطلب</x:v>
      </x:c>
      <x:c r="Q78" s="53" t="str">
        <x:v>message124, message128, message129</x:v>
      </x:c>
      <x:c r="R78" s="53"/>
      <x:c r="S78" s="53"/>
      <x:c r="T78" s="53" t="str">
        <x:v>تاریخ (≈1404/10/13؟) و مبلغ اطمینان پایینی دارند. مدرک پرداخت وجود ندارد.</x:v>
      </x:c>
      <x:c r="U78" s="53" t="str">
        <x:v>فقط سال-ماه حفظ شده است.</x:v>
      </x:c>
      <x:c r="V78" s="53" t="str">
        <x:v>telegram export/files/CamScanner 13-05-2026 12.43 (1).pdf#page=11
telegram export/files/CamScanner 13-05-2026 12.43 (1).pdf#page=11</x:v>
      </x:c>
      <x:c r="W78" s="68" t="n">
        <x:f>IF(AND(N78="تأییدشده",E78="دریافت",ISNUMBER(H78)),H78,0)</x:f>
        <x:v>0</x:v>
      </x:c>
      <x:c r="X78" s="68" t="n">
        <x:f>IF(AND(N78="تأییدشده",E78="پرداخت",ISNUMBER(H78)),H78,0)</x:f>
        <x:v>0</x:v>
      </x:c>
      <x:c r="Y78" s="68" t="n">
        <x:f>W78-X78</x:f>
        <x:v>0</x:v>
      </x:c>
    </x:row>
    <x:row r="79" ht="60" hidden="0" customHeight="1">
      <x:c r="A79" s="53" t="str">
        <x:v>TX0075</x:v>
      </x:c>
      <x:c r="B79" s="65" t="d">
        <x:v>2026-08-12T00:00:00.000Z</x:v>
      </x:c>
      <x:c r="C79" s="53" t="str">
        <x:v>1405/05/21</x:v>
      </x:c>
      <x:c r="D79" s="53" t="str">
        <x:v>1405/05</x:v>
      </x:c>
      <x:c r="E79" s="53" t="str">
        <x:v>پرداخت</x:v>
      </x:c>
      <x:c r="F79" s="66" t="n">
        <x:v>63370000</x:v>
      </x:c>
      <x:c r="G79" s="67" t="str">
        <x:v>ریال</x:v>
      </x:c>
      <x:c r="H79" s="66" t="n">
        <x:v>6337000</x:v>
      </x:c>
      <x:c r="I79" s="53" t="str">
        <x:v>پایانه 80957455</x:v>
      </x:c>
      <x:c r="J79" s="53" t="str">
        <x:v>خرید با کارت از سپرده انجمن، هدف نامشخص</x:v>
      </x:c>
      <x:c r="K79" s="53" t="str">
        <x:v>خرید با کارت ۵۰۴۷۰۶۱۱۵۴۴۷۲۱۶۷ از حساب انجمن</x:v>
      </x:c>
      <x:c r="L79" s="53" t="str">
        <x:v>طبقه‌بندی‌نشده</x:v>
      </x:c>
      <x:c r="M79" s="53" t="str">
        <x:v>تخصیص‌نیافته</x:v>
      </x:c>
      <x:c r="N79" s="53" t="str">
        <x:v>تأییدشده</x:v>
      </x:c>
      <x:c r="O79" s="53" t="str">
        <x:v>رسید و تأیید کاربر</x:v>
      </x:c>
      <x:c r="P79" s="53" t="str">
        <x:v>SHAHR-2167</x:v>
      </x:c>
      <x:c r="Q79" s="53" t="str"/>
      <x:c r="R79" s="53" t="str">
        <x:v>187300</x:v>
      </x:c>
      <x:c r="S79" s="53"/>
      <x:c r="T79" s="53" t="str"/>
      <x:c r="U79" s="53" t="str">
        <x:v>مانده پس از تراکنش: ۲۶۰,۳۰۵,۷۰۲ ریال. بدهکاری روی سپرده 400816808774 است، همان سپرده SHAHR-8966، با استفاده از کارت دوم (…2167). برچسب cash_account یعنی «SHAHR-2167» نباید به‌عنوان حساب جداگانه تلقی شود. مالکیت کارت تأیید نشده است. کاربر تأیید می‌کند که تمامی رسیدها/مدارک مربوط به هزینه‌های انجمن هستند. هدف به‌صورت طبقه‌بندی‌نشده نگه داشته می‌شود مگر آنکه به‌طور مشخص شناسایی شده باشد. برچسب پروژه قبلی: نامشخص (1405). پروژه به‌طور مشخص تأیید نشده است؛ به‌صورت تخصیص‌نیافته نگه داشته شد.</x:v>
      </x:c>
      <x:c r="V79" s="53" t="str">
        <x:v>recipts/photo_3_2026-10-10_14-07-27.jpg
reports/2026-10-10/user_confirmation_2026-10-10.json</x:v>
      </x:c>
      <x:c r="W79" s="68" t="n">
        <x:f>IF(AND(N79="تأییدشده",E79="دریافت",ISNUMBER(H79)),H79,0)</x:f>
        <x:v>0</x:v>
      </x:c>
      <x:c r="X79" s="68" t="n">
        <x:f>IF(AND(N79="تأییدشده",E79="پرداخت",ISNUMBER(H79)),H79,0)</x:f>
        <x:v>6337000</x:v>
      </x:c>
      <x:c r="Y79" s="68" t="n">
        <x:f>W79-X79</x:f>
        <x:v>-6337000</x:v>
      </x:c>
    </x:row>
    <x:row r="80" ht="36" hidden="0" customHeight="1">
      <x:c r="A80" s="53" t="str">
        <x:v>TX0076</x:v>
      </x:c>
      <x:c r="B80" s="65" t="d">
        <x:v>2026-08-13T00:00:00.000Z</x:v>
      </x:c>
      <x:c r="C80" s="53" t="str">
        <x:v>1405/05/22</x:v>
      </x:c>
      <x:c r="D80" s="53" t="str">
        <x:v>1405/05</x:v>
      </x:c>
      <x:c r="E80" s="53" t="str">
        <x:v>پرداخت</x:v>
      </x:c>
      <x:c r="F80" s="66" t="n">
        <x:v>11000000</x:v>
      </x:c>
      <x:c r="G80" s="67" t="str">
        <x:v>ریال</x:v>
      </x:c>
      <x:c r="H80" s="66" t="n">
        <x:v>1100000</x:v>
      </x:c>
      <x:c r="I80" s="53" t="str">
        <x:v>پایانه 09039608</x:v>
      </x:c>
      <x:c r="J80" s="53" t="str">
        <x:v>خرید با کارت، هدف نامشخص</x:v>
      </x:c>
      <x:c r="K80" s="53" t="str">
        <x:v>خرید با کارت، بابت نامشخص</x:v>
      </x:c>
      <x:c r="L80" s="53" t="str">
        <x:v>طبقه‌بندی‌نشده</x:v>
      </x:c>
      <x:c r="M80" s="53" t="str">
        <x:v>تخصیص‌نیافته</x:v>
      </x:c>
      <x:c r="N80" s="53" t="str">
        <x:v>تأییدشده</x:v>
      </x:c>
      <x:c r="O80" s="53" t="str">
        <x:v>رسید و تأیید کاربر</x:v>
      </x:c>
      <x:c r="P80" s="53" t="str">
        <x:v>SHAHR-2167</x:v>
      </x:c>
      <x:c r="Q80" s="53" t="str"/>
      <x:c r="R80" s="53" t="str">
        <x:v>308839</x:v>
      </x:c>
      <x:c r="S80" s="53"/>
      <x:c r="T80" s="53" t="str"/>
      <x:c r="U80" s="53" t="str">
        <x:v>مانده ۲۱۷,۶۷۵,۷۰۲ ریال. کاربر تأیید می‌کند که تمامی رسیدها/مدارک مربوط به هزینه‌های انجمن هستند. هدف به‌صورت طبقه‌بندی‌نشده نگه داشته می‌شود مگر آنکه به‌طور مشخص شناسایی شده باشد. برچسب پروژه قبلی: نامشخص (1405). پروژه به‌طور مشخص تأیید نشده است؛ به‌صورت تخصیص‌نیافته نگه داشته شد.</x:v>
      </x:c>
      <x:c r="V80" s="53" t="str">
        <x:v>recipts/photo_2_2026-10-10_14-07-27.jpg
reports/2026-10-10/user_confirmation_2026-10-10.json</x:v>
      </x:c>
      <x:c r="W80" s="68" t="n">
        <x:f>IF(AND(N80="تأییدشده",E80="دریافت",ISNUMBER(H80)),H80,0)</x:f>
        <x:v>0</x:v>
      </x:c>
      <x:c r="X80" s="68" t="n">
        <x:f>IF(AND(N80="تأییدشده",E80="پرداخت",ISNUMBER(H80)),H80,0)</x:f>
        <x:v>1100000</x:v>
      </x:c>
      <x:c r="Y80" s="68" t="n">
        <x:f>W80-X80</x:f>
        <x:v>-1100000</x:v>
      </x:c>
    </x:row>
    <x:row r="81" ht="36" hidden="0" customHeight="1">
      <x:c r="A81" s="53" t="str">
        <x:v>TX0077</x:v>
      </x:c>
      <x:c r="B81" s="65" t="d">
        <x:v>2026-08-13T00:00:00.000Z</x:v>
      </x:c>
      <x:c r="C81" s="53" t="str">
        <x:v>1405/05/22</x:v>
      </x:c>
      <x:c r="D81" s="53" t="str">
        <x:v>1405/05</x:v>
      </x:c>
      <x:c r="E81" s="53" t="str">
        <x:v>پرداخت</x:v>
      </x:c>
      <x:c r="F81" s="66" t="n">
        <x:v>13200000</x:v>
      </x:c>
      <x:c r="G81" s="67" t="str">
        <x:v>ریال</x:v>
      </x:c>
      <x:c r="H81" s="66" t="n">
        <x:v>1320000</x:v>
      </x:c>
      <x:c r="I81" s="53" t="str">
        <x:v>پایانه 09039608</x:v>
      </x:c>
      <x:c r="J81" s="53" t="str">
        <x:v>خرید با کارت، هدف نامشخص</x:v>
      </x:c>
      <x:c r="K81" s="53" t="str">
        <x:v>خرید با کارت، بابت نامشخص</x:v>
      </x:c>
      <x:c r="L81" s="53" t="str">
        <x:v>طبقه‌بندی‌نشده</x:v>
      </x:c>
      <x:c r="M81" s="53" t="str">
        <x:v>تخصیص‌نیافته</x:v>
      </x:c>
      <x:c r="N81" s="53" t="str">
        <x:v>تأییدشده</x:v>
      </x:c>
      <x:c r="O81" s="53" t="str">
        <x:v>رسید و تأیید کاربر</x:v>
      </x:c>
      <x:c r="P81" s="53" t="str">
        <x:v>SHAHR-2167</x:v>
      </x:c>
      <x:c r="Q81" s="53" t="str"/>
      <x:c r="R81" s="53" t="str">
        <x:v>666086</x:v>
      </x:c>
      <x:c r="S81" s="53"/>
      <x:c r="T81" s="53" t="str"/>
      <x:c r="U81" s="53" t="str">
        <x:v>زنجیره مانده سازگار است: ۲۰۴,۴۷۵,۷۰۲ ریال. کاربر تأیید می‌کند که تمامی رسیدها/مدارک مربوط به هزینه‌های انجمن هستند. هدف به‌صورت طبقه‌بندی‌نشده نگه داشته می‌شود مگر آنکه به‌طور مشخص شناسایی شده باشد. برچسب پروژه قبلی: نامشخص (1405). پروژه به‌طور مشخص تأیید نشده است؛ به‌صورت تخصیص‌نیافته نگه داشته شد.</x:v>
      </x:c>
      <x:c r="V81" s="53" t="str">
        <x:v>recipts/photo_5_2026-10-10_14-07-27.jpg
reports/2026-10-10/user_confirmation_2026-10-10.json</x:v>
      </x:c>
      <x:c r="W81" s="68" t="n">
        <x:f>IF(AND(N81="تأییدشده",E81="دریافت",ISNUMBER(H81)),H81,0)</x:f>
        <x:v>0</x:v>
      </x:c>
      <x:c r="X81" s="68" t="n">
        <x:f>IF(AND(N81="تأییدشده",E81="پرداخت",ISNUMBER(H81)),H81,0)</x:f>
        <x:v>1320000</x:v>
      </x:c>
      <x:c r="Y81" s="68" t="n">
        <x:f>W81-X81</x:f>
        <x:v>-1320000</x:v>
      </x:c>
    </x:row>
    <x:row r="82" ht="36" hidden="0" customHeight="1">
      <x:c r="A82" s="53" t="str">
        <x:v>TX0078</x:v>
      </x:c>
      <x:c r="B82" s="65" t="d">
        <x:v>2026-08-13T00:00:00.000Z</x:v>
      </x:c>
      <x:c r="C82" s="53" t="str">
        <x:v>1405/05/22</x:v>
      </x:c>
      <x:c r="D82" s="53" t="str">
        <x:v>1405/05</x:v>
      </x:c>
      <x:c r="E82" s="53" t="str">
        <x:v>پرداخت</x:v>
      </x:c>
      <x:c r="F82" s="66" t="n">
        <x:v>13000000</x:v>
      </x:c>
      <x:c r="G82" s="67" t="str">
        <x:v>ریال</x:v>
      </x:c>
      <x:c r="H82" s="66" t="n">
        <x:v>1300000</x:v>
      </x:c>
      <x:c r="I82" s="53" t="str">
        <x:v>پایانه 03202703</x:v>
      </x:c>
      <x:c r="J82" s="53" t="str">
        <x:v>خرید با کارت، هدف نامشخص</x:v>
      </x:c>
      <x:c r="K82" s="53" t="str">
        <x:v>خرید با کارت، بابت نامشخص</x:v>
      </x:c>
      <x:c r="L82" s="53" t="str">
        <x:v>طبقه‌بندی‌نشده</x:v>
      </x:c>
      <x:c r="M82" s="53" t="str">
        <x:v>تخصیص‌نیافته</x:v>
      </x:c>
      <x:c r="N82" s="53" t="str">
        <x:v>تأییدشده</x:v>
      </x:c>
      <x:c r="O82" s="53" t="str">
        <x:v>رسید و تأیید کاربر</x:v>
      </x:c>
      <x:c r="P82" s="53" t="str">
        <x:v>SHAHR-2167</x:v>
      </x:c>
      <x:c r="Q82" s="53" t="str"/>
      <x:c r="R82" s="53" t="str">
        <x:v>008584</x:v>
      </x:c>
      <x:c r="S82" s="53"/>
      <x:c r="T82" s="53" t="str"/>
      <x:c r="U82" s="53" t="str">
        <x:v>مانده ۱۹۱٬۴۷۵٬۷۰۲ ریال. کاربر تأیید می‌کند که همه اسناد پوشه recipts/ هزینه‌های انجمن‌اند. منظور، مگر در صورت شناسایی مشخص، طبقه‌بندی‌نشده نگه داشته می‌شود. برچسب پروژه قبلی: نامشخص (۱۴۰۵). پروژه به‌طور مشخص تأیید نشده است؛ تخصیص‌نیافته باقی می‌ماند.</x:v>
      </x:c>
      <x:c r="V82" s="53" t="str">
        <x:v>recipts/photo_8_2026-10-10_14-07-27.jpg
reports/2026-10-10/user_confirmation_2026-10-10.json</x:v>
      </x:c>
      <x:c r="W82" s="68" t="n">
        <x:f>IF(AND(N82="تأییدشده",E82="دریافت",ISNUMBER(H82)),H82,0)</x:f>
        <x:v>0</x:v>
      </x:c>
      <x:c r="X82" s="68" t="n">
        <x:f>IF(AND(N82="تأییدشده",E82="پرداخت",ISNUMBER(H82)),H82,0)</x:f>
        <x:v>1300000</x:v>
      </x:c>
      <x:c r="Y82" s="68" t="n">
        <x:f>W82-X82</x:f>
        <x:v>-1300000</x:v>
      </x:c>
    </x:row>
    <x:row r="83" ht="36" hidden="0" customHeight="1">
      <x:c r="A83" s="53" t="str">
        <x:v>TX0079</x:v>
      </x:c>
      <x:c r="B83" s="65" t="d">
        <x:v>2026-08-13T00:00:00.000Z</x:v>
      </x:c>
      <x:c r="C83" s="53" t="str">
        <x:v>1405/05/22</x:v>
      </x:c>
      <x:c r="D83" s="53" t="str">
        <x:v>1405/05</x:v>
      </x:c>
      <x:c r="E83" s="53" t="str">
        <x:v>پرداخت</x:v>
      </x:c>
      <x:c r="F83" s="66" t="n">
        <x:v>11600000</x:v>
      </x:c>
      <x:c r="G83" s="67" t="str">
        <x:v>ریال</x:v>
      </x:c>
      <x:c r="H83" s="66" t="n">
        <x:v>1160000</x:v>
      </x:c>
      <x:c r="I83" s="53" t="str">
        <x:v>پایانه 22958772</x:v>
      </x:c>
      <x:c r="J83" s="53" t="str">
        <x:v>خرید با کارت، هدف نامشخص</x:v>
      </x:c>
      <x:c r="K83" s="53" t="str">
        <x:v>خرید با کارت، بابت نامشخص</x:v>
      </x:c>
      <x:c r="L83" s="53" t="str">
        <x:v>طبقه‌بندی‌نشده</x:v>
      </x:c>
      <x:c r="M83" s="53" t="str">
        <x:v>تخصیص‌نیافته</x:v>
      </x:c>
      <x:c r="N83" s="53" t="str">
        <x:v>تأییدشده</x:v>
      </x:c>
      <x:c r="O83" s="53" t="str">
        <x:v>رسید و تأیید کاربر</x:v>
      </x:c>
      <x:c r="P83" s="53" t="str">
        <x:v>SHAHR-2167</x:v>
      </x:c>
      <x:c r="Q83" s="53" t="str"/>
      <x:c r="R83" s="53" t="str">
        <x:v>972094</x:v>
      </x:c>
      <x:c r="S83" s="53"/>
      <x:c r="T83" s="53" t="str"/>
      <x:c r="U83" s="53" t="str">
        <x:v>مانده ۱۷۹٬۸۷۵٬۷۰۲ ریال. کاربر تأیید می‌کند که همه اسناد پوشه recipts/ هزینه‌های انجمن‌اند. منظور، مگر در صورت شناسایی مشخص، طبقه‌بندی‌نشده نگه داشته می‌شود. برچسب پروژه قبلی: نامشخص (۱۴۰۵). پروژه به‌طور مشخص تأیید نشده است؛ تخصیص‌نیافته باقی می‌ماند.</x:v>
      </x:c>
      <x:c r="V83" s="53" t="str">
        <x:v>recipts/photo_7_2026-10-10_14-07-27.jpg
reports/2026-10-10/user_confirmation_2026-10-10.json</x:v>
      </x:c>
      <x:c r="W83" s="68" t="n">
        <x:f>IF(AND(N83="تأییدشده",E83="دریافت",ISNUMBER(H83)),H83,0)</x:f>
        <x:v>0</x:v>
      </x:c>
      <x:c r="X83" s="68" t="n">
        <x:f>IF(AND(N83="تأییدشده",E83="پرداخت",ISNUMBER(H83)),H83,0)</x:f>
        <x:v>1160000</x:v>
      </x:c>
      <x:c r="Y83" s="68" t="n">
        <x:f>W83-X83</x:f>
        <x:v>-1160000</x:v>
      </x:c>
    </x:row>
    <x:row r="84" ht="36" hidden="0" customHeight="1">
      <x:c r="A84" s="53" t="str">
        <x:v>TX0080</x:v>
      </x:c>
      <x:c r="B84" s="65" t="d">
        <x:v>2026-08-27T00:00:00.000Z</x:v>
      </x:c>
      <x:c r="C84" s="53" t="str">
        <x:v>1405/06/05</x:v>
      </x:c>
      <x:c r="D84" s="53" t="str">
        <x:v>1405/06</x:v>
      </x:c>
      <x:c r="E84" s="53" t="str">
        <x:v>پرداخت</x:v>
      </x:c>
      <x:c r="F84" s="66" t="n">
        <x:v>4500000</x:v>
      </x:c>
      <x:c r="G84" s="67" t="str">
        <x:v>ریال</x:v>
      </x:c>
      <x:c r="H84" s="66" t="n">
        <x:v>450000</x:v>
      </x:c>
      <x:c r="I84" s="53" t="str">
        <x:v>محمدحسین مشک افشان</x:v>
      </x:c>
      <x:c r="J84" s="53" t="str">
        <x:v>انتقال بلو؛ احتمالاً تبلیغات (استنباط بر پایه دریافت‌کننده پرداخت تبلیغاتی قبلی)</x:v>
      </x:c>
      <x:c r="K84" s="53" t="str">
        <x:v>انتقال بلو؛ احتمالاً تبلیغ (استنباطی)</x:v>
      </x:c>
      <x:c r="L84" s="53" t="str">
        <x:v>طبقه‌بندی‌نشده</x:v>
      </x:c>
      <x:c r="M84" s="53" t="str">
        <x:v>تخصیص‌نیافته</x:v>
      </x:c>
      <x:c r="N84" s="53" t="str">
        <x:v>تأییدشده</x:v>
      </x:c>
      <x:c r="O84" s="53" t="str">
        <x:v>رسید و تأیید کاربر</x:v>
      </x:c>
      <x:c r="P84" s="53" t="str">
        <x:v>BLU-CUSTODIAN</x:v>
      </x:c>
      <x:c r="Q84" s="53" t="str"/>
      <x:c r="R84" s="53" t="str">
        <x:v>14054456800606</x:v>
      </x:c>
      <x:c r="S84" s="53"/>
      <x:c r="T84" s="53" t="str"/>
      <x:c r="U84" s="53" t="str">
        <x:v> کاربر تأیید می‌کند که تمام رسیدها/اسناد مربوط به هزینه‌های انجمن هستند. هدف، مگر در صورت شناسایی مشخص، به‌صورت طبقه‌بندی‌نشده حفظ می‌شود. برچسب پروژهٔ قبلی: نامشخص (1405). پروژه به‌طور مشخص تأیید نشده است؛ به‌صورت تخصیص‌نیافته حفظ شده است.</x:v>
      </x:c>
      <x:c r="V84" s="53" t="str">
        <x:v>recipts/photo_5_2026-10-10_11-09-04.jpg
reports/2026-10-10/user_confirmation_2026-10-10.json</x:v>
      </x:c>
      <x:c r="W84" s="68" t="n">
        <x:f>IF(AND(N84="تأییدشده",E84="دریافت",ISNUMBER(H84)),H84,0)</x:f>
        <x:v>0</x:v>
      </x:c>
      <x:c r="X84" s="68" t="n">
        <x:f>IF(AND(N84="تأییدشده",E84="پرداخت",ISNUMBER(H84)),H84,0)</x:f>
        <x:v>450000</x:v>
      </x:c>
      <x:c r="Y84" s="68" t="n">
        <x:f>W84-X84</x:f>
        <x:v>-450000</x:v>
      </x:c>
    </x:row>
    <x:row r="85" ht="48" hidden="0" customHeight="1">
      <x:c r="A85" s="53" t="str">
        <x:v>TX0081</x:v>
      </x:c>
      <x:c r="B85" s="65" t="d">
        <x:v>2026-08-28T00:00:00.000Z</x:v>
      </x:c>
      <x:c r="C85" s="53" t="str">
        <x:v>1405/06/06</x:v>
      </x:c>
      <x:c r="D85" s="53" t="str">
        <x:v>1405/06</x:v>
      </x:c>
      <x:c r="E85" s="53" t="str">
        <x:v>پرداخت</x:v>
      </x:c>
      <x:c r="F85" s="66" t="n">
        <x:v>45000000</x:v>
      </x:c>
      <x:c r="G85" s="67" t="str">
        <x:v>ریال</x:v>
      </x:c>
      <x:c r="H85" s="66" t="n">
        <x:v>4500000</x:v>
      </x:c>
      <x:c r="I85" s="53" t="str">
        <x:v>عاطفه نخعی</x:v>
      </x:c>
      <x:c r="J85" s="53" t="str">
        <x:v>انتقال کارتی، هدف نامشخص</x:v>
      </x:c>
      <x:c r="K85" s="53" t="str">
        <x:v>انتقال کارت به کارت، بابت نامشخص</x:v>
      </x:c>
      <x:c r="L85" s="53" t="str">
        <x:v>طبقه‌بندی‌نشده</x:v>
      </x:c>
      <x:c r="M85" s="53" t="str">
        <x:v>تخصیص‌نیافته</x:v>
      </x:c>
      <x:c r="N85" s="53" t="str">
        <x:v>تأییدشده</x:v>
      </x:c>
      <x:c r="O85" s="53" t="str">
        <x:v>رسید و تأیید کاربر</x:v>
      </x:c>
      <x:c r="P85" s="53" t="str">
        <x:v>BLU-CUSTODIAN</x:v>
      </x:c>
      <x:c r="Q85" s="53" t="str"/>
      <x:c r="R85" s="53" t="str">
        <x:v>233888</x:v>
      </x:c>
      <x:c r="S85" s="53"/>
      <x:c r="T85" s="53" t="str"/>
      <x:c r="U85" s="53" t="str">
        <x:v> کاربر تأیید می‌کند که تمام رسیدها/اسناد مربوط به هزینه‌های انجمن هستند. هدف، مگر در صورت شناسایی مشخص، به‌صورت طبقه‌بندی‌نشده حفظ می‌شود. شناسایی مبدأ: کارت مبدأ پوشانده‌شده با پایان 5780. انتساب به انجمن مبتنی بر اظهار کاربر است؛ هیچ تطبیق مانده‌ای مستلزم نیست. برچسب پروژهٔ قبلی: نامشخص (1405). پروژه به‌طور مشخص تأیید نشده است؛ به‌صورت تخصیص‌نیافته حفظ شده است.</x:v>
      </x:c>
      <x:c r="V85" s="53" t="str">
        <x:v>recipts/photo_4_2026-10-10_11-09-04.jpg
reports/2026-10-10/user_confirmation_2026-10-10.json</x:v>
      </x:c>
      <x:c r="W85" s="68" t="n">
        <x:f>IF(AND(N85="تأییدشده",E85="دریافت",ISNUMBER(H85)),H85,0)</x:f>
        <x:v>0</x:v>
      </x:c>
      <x:c r="X85" s="68" t="n">
        <x:f>IF(AND(N85="تأییدشده",E85="پرداخت",ISNUMBER(H85)),H85,0)</x:f>
        <x:v>4500000</x:v>
      </x:c>
      <x:c r="Y85" s="68" t="n">
        <x:f>W85-X85</x:f>
        <x:v>-4500000</x:v>
      </x:c>
    </x:row>
    <x:row r="86" ht="15" hidden="0" customHeight="1">
      <x:c r="A86" s="53" t="str">
        <x:v>TX0082</x:v>
      </x:c>
      <x:c r="B86" s="65" t="d">
        <x:v>2026-08-29T00:00:00.000Z</x:v>
      </x:c>
      <x:c r="C86" s="53" t="str">
        <x:v>1405/06/07</x:v>
      </x:c>
      <x:c r="D86" s="53" t="str">
        <x:v>1405/06</x:v>
      </x:c>
      <x:c r="E86" s="53" t="str">
        <x:v>پرداخت</x:v>
      </x:c>
      <x:c r="F86" s="66" t="n">
        <x:v>42570000</x:v>
      </x:c>
      <x:c r="G86" s="67" t="str">
        <x:v>ریال</x:v>
      </x:c>
      <x:c r="H86" s="66" t="n">
        <x:v>4257000</x:v>
      </x:c>
      <x:c r="I86" s="53" t="str">
        <x:v>مهبانگ فن‌آوری‌های پارس (اسکای‌روم)</x:v>
      </x:c>
      <x:c r="J86" s="53" t="str">
        <x:v>بستهٔ اشتراک یک‌ماهه اسکای‌روم و ضبط ۲۰ ساعته</x:v>
      </x:c>
      <x:c r="K86" s="53" t="str">
        <x:v>فاکتور اسکای‌روم ۵۰ کاربره و بسته ضبط ۲۰ ساعت</x:v>
      </x:c>
      <x:c r="L86" s="53" t="str">
        <x:v>تدریس</x:v>
      </x:c>
      <x:c r="M86" s="53" t="str">
        <x:v>نامشخص (احتمالاً مدرسه تابستانی 1405)</x:v>
      </x:c>
      <x:c r="N86" s="53" t="str">
        <x:v>صرفاً صورتحساب</x:v>
      </x:c>
      <x:c r="O86" s="53" t="str">
        <x:v>فاکتور</x:v>
      </x:c>
      <x:c r="P86" s="53" t="str">
        <x:v>نامشخص</x:v>
      </x:c>
      <x:c r="Q86" s="53" t="str"/>
      <x:c r="R86" s="53"/>
      <x:c r="S86" s="53"/>
      <x:c r="T86" s="53" t="str">
        <x:v>مدرک پرداخت وجود ندارد. خریدار شخصاً حسن است.</x:v>
      </x:c>
      <x:c r="U86" s="53" t="str">
        <x:v>مالیات ۳۸۷٬۰۰۰ تومان. فایل کاری پالایش‌شده TX-00044 به‌اشتباه این مورد را تأییدشده علامت زده است.</x:v>
      </x:c>
      <x:c r="V86" s="53" t="str">
        <x:v>invoice-61150.pdf#page=1</x:v>
      </x:c>
      <x:c r="W86" s="68" t="n">
        <x:f>IF(AND(N86="تأییدشده",E86="دریافت",ISNUMBER(H86)),H86,0)</x:f>
        <x:v>0</x:v>
      </x:c>
      <x:c r="X86" s="68" t="n">
        <x:f>IF(AND(N86="تأییدشده",E86="پرداخت",ISNUMBER(H86)),H86,0)</x:f>
        <x:v>0</x:v>
      </x:c>
      <x:c r="Y86" s="68" t="n">
        <x:f>W86-X86</x:f>
        <x:v>0</x:v>
      </x:c>
    </x:row>
    <x:row r="87" ht="48" hidden="0" customHeight="1">
      <x:c r="A87" s="53" t="str">
        <x:v>TX0083</x:v>
      </x:c>
      <x:c r="B87" s="65" t="d">
        <x:v>2026-09-21T00:00:00.000Z</x:v>
      </x:c>
      <x:c r="C87" s="53" t="str">
        <x:v>1405/06/30</x:v>
      </x:c>
      <x:c r="D87" s="53" t="str">
        <x:v>1405/06</x:v>
      </x:c>
      <x:c r="E87" s="53" t="str">
        <x:v>پرداخت</x:v>
      </x:c>
      <x:c r="F87" s="66" t="n">
        <x:v>6000000</x:v>
      </x:c>
      <x:c r="G87" s="67" t="str">
        <x:v>ریال</x:v>
      </x:c>
      <x:c r="H87" s="66" t="n">
        <x:v>600000</x:v>
      </x:c>
      <x:c r="I87" s="53" t="str">
        <x:v>زهرا صالح کوشالی</x:v>
      </x:c>
      <x:c r="J87" s="53" t="str">
        <x:v>حق‌التدریس مدرسه تابستانه ۱۴۰۵: دوره مشخص نشده</x:v>
      </x:c>
      <x:c r="K87" s="53" t="str">
        <x:v>حق تدریس مدرسه تابستانه ۱۴۰۵ — زهرا صالح کوشالی</x:v>
      </x:c>
      <x:c r="L87" s="53" t="str">
        <x:v>تدریس</x:v>
      </x:c>
      <x:c r="M87" s="53" t="str">
        <x:v>مدرسه تابستانه ۱۴۰۵</x:v>
      </x:c>
      <x:c r="N87" s="53" t="str">
        <x:v>تأییدشده</x:v>
      </x:c>
      <x:c r="O87" s="53" t="str">
        <x:v>رسید و تأیید کاربر</x:v>
      </x:c>
      <x:c r="P87" s="53" t="str">
        <x:v>BLU-CUSTODIAN</x:v>
      </x:c>
      <x:c r="Q87" s="53" t="str"/>
      <x:c r="R87" s="53" t="str">
        <x:v>140506301533582360563628293194</x:v>
      </x:c>
      <x:c r="S87" s="53"/>
      <x:c r="T87" s="53" t="str"/>
      <x:c r="U87" s="53" t="str">
        <x:v>1405/06/30 = 2026-09-21 که دوشنبه است و با روز هفتهٔ چاپ‌شده «دوشنبه» مطابقت دارد. هیچ مغایرتی در روز هفته وجود ندارد. تاریخ 2026-09-22 در تشخیص نوری متن خطای تبدیل بوده است. کاربر تأیید می‌کند که تمام رسیدها/اسناد مربوط به هزینه‌های انجمن هستند. هدف به‌طور مشخص بر اساس تأیید کاربر طبقه‌بندی شده است. تصویر اصلی یک صفحهٔ انتقال موقت است؛ تکمیل انتقال بر اساس تأیید کاربر پذیرفته شده و به‌طور مستقل با تصویر اثبات نشده است.</x:v>
      </x:c>
      <x:c r="V87" s="53" t="str">
        <x:v>recipts/photo_1_2026-10-10_11-09-04.jpg
reports/2026-10-10/user_confirmation_2026-10-10.json</x:v>
      </x:c>
      <x:c r="W87" s="68" t="n">
        <x:f>IF(AND(N87="تأییدشده",E87="دریافت",ISNUMBER(H87)),H87,0)</x:f>
        <x:v>0</x:v>
      </x:c>
      <x:c r="X87" s="68" t="n">
        <x:f>IF(AND(N87="تأییدشده",E87="پرداخت",ISNUMBER(H87)),H87,0)</x:f>
        <x:v>600000</x:v>
      </x:c>
      <x:c r="Y87" s="68" t="n">
        <x:f>W87-X87</x:f>
        <x:v>-600000</x:v>
      </x:c>
    </x:row>
    <x:row r="88" ht="36" hidden="0" customHeight="1">
      <x:c r="A88" s="53" t="str">
        <x:v>TX0084</x:v>
      </x:c>
      <x:c r="B88" s="65" t="d">
        <x:v>2026-09-21T00:00:00.000Z</x:v>
      </x:c>
      <x:c r="C88" s="53" t="str">
        <x:v>1405/06/30</x:v>
      </x:c>
      <x:c r="D88" s="53" t="str">
        <x:v>1405/06</x:v>
      </x:c>
      <x:c r="E88" s="53" t="str">
        <x:v>پرداخت</x:v>
      </x:c>
      <x:c r="F88" s="66" t="n">
        <x:v>12000000</x:v>
      </x:c>
      <x:c r="G88" s="67" t="str">
        <x:v>ریال</x:v>
      </x:c>
      <x:c r="H88" s="66" t="n">
        <x:v>1200000</x:v>
      </x:c>
      <x:c r="I88" s="53" t="str">
        <x:v>رضا فرهادی</x:v>
      </x:c>
      <x:c r="J88" s="53" t="str">
        <x:v>حق‌التدریس مدرسه تابستانه ۱۴۰۵: دوره مشخص نشده</x:v>
      </x:c>
      <x:c r="K88" s="53" t="str">
        <x:v>حق تدریس مدرسه تابستانه ۱۴۰۵ — رضا فرهادی</x:v>
      </x:c>
      <x:c r="L88" s="53" t="str">
        <x:v>تدریس</x:v>
      </x:c>
      <x:c r="M88" s="53" t="str">
        <x:v>مدرسه تابستانه ۱۴۰۵</x:v>
      </x:c>
      <x:c r="N88" s="53" t="str">
        <x:v>تأییدشده</x:v>
      </x:c>
      <x:c r="O88" s="53" t="str">
        <x:v>رسید و تأیید کاربر</x:v>
      </x:c>
      <x:c r="P88" s="53" t="str">
        <x:v>BLU-CUSTODIAN</x:v>
      </x:c>
      <x:c r="Q88" s="53" t="str"/>
      <x:c r="R88" s="53" t="str">
        <x:v>140506301534578220563979207732</x:v>
      </x:c>
      <x:c r="S88" s="53"/>
      <x:c r="T88" s="53" t="str"/>
      <x:c r="U88" s="53" t="str">
        <x:v>1405/06/30 = دوشنبه 2026-09-21، مطابق با رسید. موقت («این رسید نهایی نیست»). کاربر تأیید می‌کند که تمام رسیدها/اسناد مربوط به هزینه‌های انجمن هستند. هدف به‌طور مشخص بر اساس تأیید کاربر طبقه‌بندی شده است. تصویر اصلی یک صفحهٔ انتقال موقت است؛ تکمیل انتقال بر اساس تأیید کاربر پذیرفته شده و به‌طور مستقل با تصویر اثبات نشده است.</x:v>
      </x:c>
      <x:c r="V88" s="53" t="str">
        <x:v>recipts/photo_2_2026-10-10_11-09-04.jpg
reports/2026-10-10/user_confirmation_2026-10-10.json</x:v>
      </x:c>
      <x:c r="W88" s="68" t="n">
        <x:f>IF(AND(N88="تأییدشده",E88="دریافت",ISNUMBER(H88)),H88,0)</x:f>
        <x:v>0</x:v>
      </x:c>
      <x:c r="X88" s="68" t="n">
        <x:f>IF(AND(N88="تأییدشده",E88="پرداخت",ISNUMBER(H88)),H88,0)</x:f>
        <x:v>1200000</x:v>
      </x:c>
      <x:c r="Y88" s="68" t="n">
        <x:f>W88-X88</x:f>
        <x:v>-1200000</x:v>
      </x:c>
    </x:row>
    <x:row r="89" ht="36" hidden="0" customHeight="1">
      <x:c r="A89" s="53" t="str">
        <x:v>TX0085</x:v>
      </x:c>
      <x:c r="B89" s="65" t="d">
        <x:v>2026-09-21T00:00:00.000Z</x:v>
      </x:c>
      <x:c r="C89" s="53" t="str">
        <x:v>1405/06/30</x:v>
      </x:c>
      <x:c r="D89" s="53" t="str">
        <x:v>1405/06</x:v>
      </x:c>
      <x:c r="E89" s="53" t="str">
        <x:v>پرداخت</x:v>
      </x:c>
      <x:c r="F89" s="66" t="n">
        <x:v>24000000</x:v>
      </x:c>
      <x:c r="G89" s="67" t="str">
        <x:v>ریال</x:v>
      </x:c>
      <x:c r="H89" s="66" t="n">
        <x:v>2400000</x:v>
      </x:c>
      <x:c r="I89" s="53" t="str">
        <x:v>ابوالفضل احمدی (پرداخت به علیرضا کچویی محقق یعقوبی)</x:v>
      </x:c>
      <x:c r="J89" s="53" t="str">
        <x:v>حق‌التدریس مدرسه تابستانه ۱۴۰۵: لاتک و رابط برنامه‌نویسی</x:v>
      </x:c>
      <x:c r="K89" s="53" t="str">
        <x:v>حق تدریس مدرسه تابستانه ۱۴۰۵ — ابوالفضل احمدی</x:v>
      </x:c>
      <x:c r="L89" s="53" t="str">
        <x:v>تدریس</x:v>
      </x:c>
      <x:c r="M89" s="53" t="str">
        <x:v>مدرسه تابستانه ۱۴۰۵</x:v>
      </x:c>
      <x:c r="N89" s="53" t="str">
        <x:v>تأییدشده</x:v>
      </x:c>
      <x:c r="O89" s="53" t="str">
        <x:v>رسید و تأیید کاربر</x:v>
      </x:c>
      <x:c r="P89" s="53" t="str">
        <x:v>BLU-CUSTODIAN</x:v>
      </x:c>
      <x:c r="Q89" s="53" t="str"/>
      <x:c r="R89" s="53" t="str">
        <x:v>14055256207674</x:v>
      </x:c>
      <x:c r="S89" s="53"/>
      <x:c r="T89" s="53" t="str"/>
      <x:c r="U89" s="53" t="str">
        <x:v> کاربر تأیید می‌کند که تمام رسیدها/اسناد مربوط به هزینه‌های انجمن هستند. هدف به‌طور مشخص بر اساس تأیید کاربر طبقه‌بندی شده است. ذی‌نفع مربی: ابوالفضل احمدی؛ دریافت‌کنندهٔ حساب بانکی: علیرضا کچویی محقق یعقوبی. رابطهٔ تأییدشدهٔ صریح توسط کاربر.</x:v>
      </x:c>
      <x:c r="V89" s="53" t="str">
        <x:v>recipts/photo_3_2026-10-10_11-09-04.jpg
reports/2026-10-10/user_confirmation_2026-10-10.json</x:v>
      </x:c>
      <x:c r="W89" s="68" t="n">
        <x:f>IF(AND(N89="تأییدشده",E89="دریافت",ISNUMBER(H89)),H89,0)</x:f>
        <x:v>0</x:v>
      </x:c>
      <x:c r="X89" s="68" t="n">
        <x:f>IF(AND(N89="تأییدشده",E89="پرداخت",ISNUMBER(H89)),H89,0)</x:f>
        <x:v>2400000</x:v>
      </x:c>
      <x:c r="Y89" s="68" t="n">
        <x:f>W89-X89</x:f>
        <x:v>-2400000</x:v>
      </x:c>
    </x:row>
    <x:row r="90" ht="24" hidden="0" customHeight="1">
      <x:c r="A90" s="53" t="str">
        <x:v>TX0086</x:v>
      </x:c>
      <x:c r="B90" s="65" t="d">
        <x:v>2026-09-23T00:00:00.000Z</x:v>
      </x:c>
      <x:c r="C90" s="53" t="str">
        <x:v>1405/07/01</x:v>
      </x:c>
      <x:c r="D90" s="53" t="str">
        <x:v>1405/07</x:v>
      </x:c>
      <x:c r="E90" s="53" t="str">
        <x:v>پرداخت</x:v>
      </x:c>
      <x:c r="F90" s="66" t="n">
        <x:v>47000000</x:v>
      </x:c>
      <x:c r="G90" s="67" t="str">
        <x:v>ریال</x:v>
      </x:c>
      <x:c r="H90" s="66" t="n">
        <x:v>4700000</x:v>
      </x:c>
      <x:c r="I90" s="53" t="str">
        <x:v>بهاره خویش‌خواه</x:v>
      </x:c>
      <x:c r="J90" s="53" t="str">
        <x:v>حق‌التدریس مدرسه تابستانه ۱۴۰۵: شبیه‌سازی فیزیکی با پایتون</x:v>
      </x:c>
      <x:c r="K90" s="53" t="str">
        <x:v>حق تدریس مدرسه تابستانه ۱۴۰۵ — بهاره خویش خواه</x:v>
      </x:c>
      <x:c r="L90" s="53" t="str">
        <x:v>تدریس</x:v>
      </x:c>
      <x:c r="M90" s="53" t="str">
        <x:v>مدرسه تابستانه ۱۴۰۵</x:v>
      </x:c>
      <x:c r="N90" s="53" t="str">
        <x:v>تأییدشده</x:v>
      </x:c>
      <x:c r="O90" s="53" t="str">
        <x:v>رسید و تأیید کاربر</x:v>
      </x:c>
      <x:c r="P90" s="53" t="str">
        <x:v>BLU-CUSTODIAN</x:v>
      </x:c>
      <x:c r="Q90" s="53" t="str"/>
      <x:c r="R90" s="53" t="str">
        <x:v>140507010562889372</x:v>
      </x:c>
      <x:c r="S90" s="53"/>
      <x:c r="T90" s="53" t="str"/>
      <x:c r="U90" s="53" t="str">
        <x:v> کاربر تأیید می‌کند که تمام رسیدها/اسناد مربوط به هزینه‌های انجمن هستند. هدف به‌طور مشخص بر اساس تأیید کاربر طبقه‌بندی شده است.</x:v>
      </x:c>
      <x:c r="V90" s="53" t="str">
        <x:v>recipts/photo_7_2026-10-10_11-09-04.jpg
reports/2026-10-10/user_confirmation_2026-10-10.json</x:v>
      </x:c>
      <x:c r="W90" s="68" t="n">
        <x:f>IF(AND(N90="تأییدشده",E90="دریافت",ISNUMBER(H90)),H90,0)</x:f>
        <x:v>0</x:v>
      </x:c>
      <x:c r="X90" s="68" t="n">
        <x:f>IF(AND(N90="تأییدشده",E90="پرداخت",ISNUMBER(H90)),H90,0)</x:f>
        <x:v>4700000</x:v>
      </x:c>
      <x:c r="Y90" s="68" t="n">
        <x:f>W90-X90</x:f>
        <x:v>-4700000</x:v>
      </x:c>
    </x:row>
    <x:row r="91" ht="24" hidden="0" customHeight="1">
      <x:c r="A91" s="53" t="str">
        <x:v>TX0087</x:v>
      </x:c>
      <x:c r="B91" s="65" t="d">
        <x:v>2026-09-23T00:00:00.000Z</x:v>
      </x:c>
      <x:c r="C91" s="53" t="str">
        <x:v>1405/07/01</x:v>
      </x:c>
      <x:c r="D91" s="53" t="str">
        <x:v>1405/07</x:v>
      </x:c>
      <x:c r="E91" s="53" t="str">
        <x:v>پرداخت</x:v>
      </x:c>
      <x:c r="F91" s="66" t="n">
        <x:v>26000000</x:v>
      </x:c>
      <x:c r="G91" s="67" t="str">
        <x:v>ریال</x:v>
      </x:c>
      <x:c r="H91" s="66" t="n">
        <x:v>2600000</x:v>
      </x:c>
      <x:c r="I91" s="53" t="str">
        <x:v>ایلیا اصغریان دهکردی</x:v>
      </x:c>
      <x:c r="J91" s="53" t="str">
        <x:v>حق‌التدریس مدرسه تابستانه ۱۴۰۵: دوره مشخص نشده</x:v>
      </x:c>
      <x:c r="K91" s="53" t="str">
        <x:v>حق تدریس مدرسه تابستانه ۱۴۰۵ — ایلیا اصغریان دهکردی</x:v>
      </x:c>
      <x:c r="L91" s="53" t="str">
        <x:v>تدریس</x:v>
      </x:c>
      <x:c r="M91" s="53" t="str">
        <x:v>مدرسه تابستانه ۱۴۰۵</x:v>
      </x:c>
      <x:c r="N91" s="53" t="str">
        <x:v>تأییدشده</x:v>
      </x:c>
      <x:c r="O91" s="53" t="str">
        <x:v>رسید و تأیید کاربر</x:v>
      </x:c>
      <x:c r="P91" s="53" t="str">
        <x:v>BLU-CUSTODIAN</x:v>
      </x:c>
      <x:c r="Q91" s="53" t="str"/>
      <x:c r="R91" s="53" t="str">
        <x:v>14055311988732</x:v>
      </x:c>
      <x:c r="S91" s="53"/>
      <x:c r="T91" s="53" t="str"/>
      <x:c r="U91" s="53" t="str">
        <x:v> کاربر تأیید می‌کند که تمام رسیدها/اسناد مربوط به هزینه‌های انجمن هستند. هدف به‌طور مشخص بر اساس تأیید کاربر طبقه‌بندی شده است.</x:v>
      </x:c>
      <x:c r="V91" s="53" t="str">
        <x:v>recipts/photo_8_2026-10-10_11-09-04.jpg
reports/2026-10-10/user_confirmation_2026-10-10.json</x:v>
      </x:c>
      <x:c r="W91" s="68" t="n">
        <x:f>IF(AND(N91="تأییدشده",E91="دریافت",ISNUMBER(H91)),H91,0)</x:f>
        <x:v>0</x:v>
      </x:c>
      <x:c r="X91" s="68" t="n">
        <x:f>IF(AND(N91="تأییدشده",E91="پرداخت",ISNUMBER(H91)),H91,0)</x:f>
        <x:v>2600000</x:v>
      </x:c>
      <x:c r="Y91" s="68" t="n">
        <x:f>W91-X91</x:f>
        <x:v>-2600000</x:v>
      </x:c>
    </x:row>
    <x:row r="92" ht="36" hidden="0" customHeight="1">
      <x:c r="A92" s="53" t="str">
        <x:v>TX0088</x:v>
      </x:c>
      <x:c r="B92" s="65" t="d">
        <x:v>2026-09-23T00:00:00.000Z</x:v>
      </x:c>
      <x:c r="C92" s="53" t="str">
        <x:v>1405/07/01</x:v>
      </x:c>
      <x:c r="D92" s="53" t="str">
        <x:v>1405/07</x:v>
      </x:c>
      <x:c r="E92" s="53" t="str">
        <x:v>پرداخت</x:v>
      </x:c>
      <x:c r="F92" s="66" t="n">
        <x:v>9500000</x:v>
      </x:c>
      <x:c r="G92" s="67" t="str">
        <x:v>ریال</x:v>
      </x:c>
      <x:c r="H92" s="66" t="n">
        <x:v>950000</x:v>
      </x:c>
      <x:c r="I92" s="53" t="str">
        <x:v>زهرا امیری</x:v>
      </x:c>
      <x:c r="J92" s="53" t="str">
        <x:v>بسته‌های استیکر برای برنامهٔ معارفه</x:v>
      </x:c>
      <x:c r="K92" s="53" t="str">
        <x:v>خرید بسته‌های استیکر برای رویداد معرفی</x:v>
      </x:c>
      <x:c r="L92" s="53" t="str">
        <x:v>ملزومات</x:v>
      </x:c>
      <x:c r="M92" s="53" t="str">
        <x:v>برنامهٔ معارفه ۱۴۰۵</x:v>
      </x:c>
      <x:c r="N92" s="53" t="str">
        <x:v>تأییدشده</x:v>
      </x:c>
      <x:c r="O92" s="53" t="str">
        <x:v>رسید و تأیید کاربر</x:v>
      </x:c>
      <x:c r="P92" s="53" t="str">
        <x:v>BLU-CUSTODIAN</x:v>
      </x:c>
      <x:c r="Q92" s="53" t="str"/>
      <x:c r="R92" s="53" t="str">
        <x:v>140507010417015540563175074696</x:v>
      </x:c>
      <x:c r="S92" s="53"/>
      <x:c r="T92" s="53" t="str"/>
      <x:c r="U92" s="53" t="str">
        <x:v> کاربر تأیید می‌کند که تمام رسیدها/اسناد مربوط به هزینه‌های انجمن هستند. هدف به‌طور مشخص بر اساس تأیید کاربر طبقه‌بندی شده است. تصویر اصلی یک صفحهٔ انتقال موقت است؛ تکمیل انتقال بر اساس تأیید کاربر پذیرفته شده و به‌طور مستقل با تصویر اثبات نشده است. کاربر بسته‌های استیکر را تأیید می‌کند؛ نه حق‌التدریس و نه هزینهٔ طراحی.</x:v>
      </x:c>
      <x:c r="V92" s="53" t="str">
        <x:v>recipts/photo_6_2026-10-10_11-09-04.jpg
reports/2026-10-10/user_confirmation_2026-10-10.json</x:v>
      </x:c>
      <x:c r="W92" s="68" t="n">
        <x:f>IF(AND(N92="تأییدشده",E92="دریافت",ISNUMBER(H92)),H92,0)</x:f>
        <x:v>0</x:v>
      </x:c>
      <x:c r="X92" s="68" t="n">
        <x:f>IF(AND(N92="تأییدشده",E92="پرداخت",ISNUMBER(H92)),H92,0)</x:f>
        <x:v>950000</x:v>
      </x:c>
      <x:c r="Y92" s="68" t="n">
        <x:f>W92-X92</x:f>
        <x:v>-950000</x:v>
      </x:c>
    </x:row>
    <x:row r="93" ht="48" hidden="0" customHeight="1">
      <x:c r="A93" s="53" t="str">
        <x:v>TX0089</x:v>
      </x:c>
      <x:c r="B93" s="65" t="d">
        <x:v>2026-09-23T00:00:00.000Z</x:v>
      </x:c>
      <x:c r="C93" s="53" t="str">
        <x:v>1405/07/01</x:v>
      </x:c>
      <x:c r="D93" s="53" t="str">
        <x:v>1405/07</x:v>
      </x:c>
      <x:c r="E93" s="53" t="str">
        <x:v>پرداخت</x:v>
      </x:c>
      <x:c r="F93" s="66" t="n">
        <x:v>99879000</x:v>
      </x:c>
      <x:c r="G93" s="67" t="str">
        <x:v>ریال</x:v>
      </x:c>
      <x:c r="H93" s="66" t="n">
        <x:v>9987900</x:v>
      </x:c>
      <x:c r="I93" s="53" t="str">
        <x:v>یاران دریان لوکس گیشا</x:v>
      </x:c>
      <x:c r="J93" s="53" t="str">
        <x:v>خرید خوراکی و نوشیدنی، تسویه با تأیید کاربر</x:v>
      </x:c>
      <x:c r="K93" s="53" t="str">
        <x:v>فاکتور ۱۹۰ قلم شیرکاکائو و کیک به نام حسن شیری</x:v>
      </x:c>
      <x:c r="L93" s="53" t="str">
        <x:v>پذیرایی</x:v>
      </x:c>
      <x:c r="M93" s="53" t="str">
        <x:v>تخصیص‌نیافته</x:v>
      </x:c>
      <x:c r="N93" s="53" t="str">
        <x:v>تأییدشده</x:v>
      </x:c>
      <x:c r="O93" s="53" t="str">
        <x:v>فاکتور و تأیید پرداخت کاربر</x:v>
      </x:c>
      <x:c r="P93" s="53" t="str">
        <x:v>نامشخص</x:v>
      </x:c>
      <x:c r="Q93" s="53" t="str"/>
      <x:c r="R93" s="53"/>
      <x:c r="S93" s="53"/>
      <x:c r="T93" s="53" t="str"/>
      <x:c r="U93" s="53" t="str">
        <x:v>پرداخت با اظهار کاربر تأیید شده است؛ روش/حساب پرداخت به‌طور مستقل مستند نشده است. مجموع مبالغ اقلام فاکتور 100,100,000 ریال است در برابر مجموع چاپ‌شده 99,879,000 (221,000 ریال بدون توضیح). با مبلغ چاپ‌شده 9,987,900 تومان ثبت شد. مانده اصلی مشتری حفظ شده است؛ کاربر تسویه را تأیید می‌کند. برچسب پروژه قبلی: نامشخص (احتمالاً رویداد معارفه ۱۴۰۵، 1405/07/02). پروژه به‌طور مشخص تأیید نشده است؛ به‌صورت تخصیص‌نیافته حفظ شد.</x:v>
      </x:c>
      <x:c r="V93" s="53" t="str">
        <x:v>recipts/photo_2026-10-10_12-16-28.jpg
reports/2026-10-10/user_confirmation_2026-10-10.json</x:v>
      </x:c>
      <x:c r="W93" s="68" t="n">
        <x:f>IF(AND(N93="تأییدشده",E93="دریافت",ISNUMBER(H93)),H93,0)</x:f>
        <x:v>0</x:v>
      </x:c>
      <x:c r="X93" s="68" t="n">
        <x:f>IF(AND(N93="تأییدشده",E93="پرداخت",ISNUMBER(H93)),H93,0)</x:f>
        <x:v>9987900</x:v>
      </x:c>
      <x:c r="Y93" s="68" t="n">
        <x:f>W93-X93</x:f>
        <x:v>-9987900</x:v>
      </x:c>
    </x:row>
    <x:row r="94" ht="48" hidden="0" customHeight="1">
      <x:c r="A94" s="53" t="str">
        <x:v>TX0090</x:v>
      </x:c>
      <x:c r="B94" s="65" t="d">
        <x:v>2026-09-24T00:00:00.000Z</x:v>
      </x:c>
      <x:c r="C94" s="53" t="str">
        <x:v>1405/07/02</x:v>
      </x:c>
      <x:c r="D94" s="53" t="str">
        <x:v>1405/07</x:v>
      </x:c>
      <x:c r="E94" s="53" t="str">
        <x:v>پرداخت</x:v>
      </x:c>
      <x:c r="F94" s="66" t="n">
        <x:v>139000000</x:v>
      </x:c>
      <x:c r="G94" s="67" t="str">
        <x:v>ریال</x:v>
      </x:c>
      <x:c r="H94" s="66" t="n">
        <x:v>13900000</x:v>
      </x:c>
      <x:c r="I94" s="53" t="str">
        <x:v>پریا هاشمی</x:v>
      </x:c>
      <x:c r="J94" s="53" t="str">
        <x:v>انتقال کارتی، هدف نامشخص</x:v>
      </x:c>
      <x:c r="K94" s="53" t="str">
        <x:v>انتقال کارت به کارت، بابت نامشخص</x:v>
      </x:c>
      <x:c r="L94" s="53" t="str">
        <x:v>طبقه‌بندی‌نشده</x:v>
      </x:c>
      <x:c r="M94" s="53" t="str">
        <x:v>تخصیص‌نیافته</x:v>
      </x:c>
      <x:c r="N94" s="53" t="str">
        <x:v>تأییدشده</x:v>
      </x:c>
      <x:c r="O94" s="53" t="str">
        <x:v>رسید و تأیید کاربر</x:v>
      </x:c>
      <x:c r="P94" s="53" t="str">
        <x:v>BLU-CUSTODIAN</x:v>
      </x:c>
      <x:c r="Q94" s="53" t="str"/>
      <x:c r="R94" s="53" t="str">
        <x:v>487065</x:v>
      </x:c>
      <x:c r="S94" s="53"/>
      <x:c r="T94" s="53" t="str"/>
      <x:c r="U94" s="53" t="str">
        <x:v>شماره مرجع 487026636208. کاربر تأیید می‌کند که همه رسیدها/مدارک مربوط به هزینه‌های انجمن است. هدف، مگر اینکه به‌طور مشخص تعیین شده باشد، به‌صورت طبقه‌بندی‌نشده حفظ می‌شود. شناسایی منبع: کارت مبدأ مخفی‌شده با پایان 6947. انتساب به انجمن مورد تأیید کاربر است؛ هیچ تطبیق مانده‌ای مستتر نیست. برچسب پروژه قبلی: نامشخص (1405). پروژه به‌طور مشخص تأیید نشده است؛ به‌صورت تخصیص‌نیافته حفظ شده است.</x:v>
      </x:c>
      <x:c r="V94" s="53" t="str">
        <x:v>recipts/photo_10_2026-10-10_11-09-04.jpg
reports/2026-10-10/user_confirmation_2026-10-10.json</x:v>
      </x:c>
      <x:c r="W94" s="68" t="n">
        <x:f>IF(AND(N94="تأییدشده",E94="دریافت",ISNUMBER(H94)),H94,0)</x:f>
        <x:v>0</x:v>
      </x:c>
      <x:c r="X94" s="68" t="n">
        <x:f>IF(AND(N94="تأییدشده",E94="پرداخت",ISNUMBER(H94)),H94,0)</x:f>
        <x:v>13900000</x:v>
      </x:c>
      <x:c r="Y94" s="68" t="n">
        <x:f>W94-X94</x:f>
        <x:v>-13900000</x:v>
      </x:c>
    </x:row>
    <x:row r="95" ht="48" hidden="0" customHeight="1">
      <x:c r="A95" s="53" t="str">
        <x:v>TX0091</x:v>
      </x:c>
      <x:c r="B95" s="65" t="d">
        <x:v>2026-09-24T00:00:00.000Z</x:v>
      </x:c>
      <x:c r="C95" s="53" t="str">
        <x:v>1405/07/02</x:v>
      </x:c>
      <x:c r="D95" s="53" t="str">
        <x:v>1405/07</x:v>
      </x:c>
      <x:c r="E95" s="53" t="str">
        <x:v>پرداخت</x:v>
      </x:c>
      <x:c r="F95" s="66" t="n">
        <x:v>23322500</x:v>
      </x:c>
      <x:c r="G95" s="67" t="str">
        <x:v>ریال</x:v>
      </x:c>
      <x:c r="H95" s="66" t="n">
        <x:v>2332250</x:v>
      </x:c>
      <x:c r="I95" s="53" t="str">
        <x:v>پذیرنده 12738006</x:v>
      </x:c>
      <x:c r="J95" s="53" t="str">
        <x:v>خرید فروشگاهی</x:v>
      </x:c>
      <x:c r="K95" s="53" t="str">
        <x:v>خرید از فروشگاه</x:v>
      </x:c>
      <x:c r="L95" s="53" t="str">
        <x:v>طبقه‌بندی‌نشده</x:v>
      </x:c>
      <x:c r="M95" s="53" t="str">
        <x:v>تخصیص‌نیافته</x:v>
      </x:c>
      <x:c r="N95" s="53" t="str">
        <x:v>تأییدشده</x:v>
      </x:c>
      <x:c r="O95" s="53" t="str">
        <x:v>رسید و تأیید کاربر</x:v>
      </x:c>
      <x:c r="P95" s="53" t="str">
        <x:v>BLU-CUSTODIAN</x:v>
      </x:c>
      <x:c r="Q95" s="53" t="str"/>
      <x:c r="R95" s="53"/>
      <x:c r="S95" s="53"/>
      <x:c r="T95" s="53" t="str"/>
      <x:c r="U95" s="53" t="str">
        <x:v>مانده پس از تراکنش: ۱۶,۹۲۱,۳۱۰ ریال. کاربر تأیید می‌کند که تمامی رسیدها/مدارک مربوط به هزینه‌های انجمن هستند. هدف به‌صورت طبقه‌بندی‌نشده نگه داشته می‌شود مگر آنکه به‌طور مشخص شناسایی شده باشد. شناسایی منبع: دارنده نمایش داده نشده است. انتساب به انجمن مبتنی بر اظهار کاربر است؛ هیچ تطبیق مانده‌ای مستلزم نیست. برچسب پروژه قبلی: نامشخص (1405). پروژه به‌طور مشخص تأیید نشده است؛ به‌صورت تخصیص‌نیافته نگه داشته شد.</x:v>
      </x:c>
      <x:c r="V95" s="53" t="str">
        <x:v>recipts/photo_11_2026-10-10_11-09-04.jpg
reports/2026-10-10/user_confirmation_2026-10-10.json</x:v>
      </x:c>
      <x:c r="W95" s="68" t="n">
        <x:f>IF(AND(N95="تأییدشده",E95="دریافت",ISNUMBER(H95)),H95,0)</x:f>
        <x:v>0</x:v>
      </x:c>
      <x:c r="X95" s="68" t="n">
        <x:f>IF(AND(N95="تأییدشده",E95="پرداخت",ISNUMBER(H95)),H95,0)</x:f>
        <x:v>2332250</x:v>
      </x:c>
      <x:c r="Y95" s="68" t="n">
        <x:f>W95-X95</x:f>
        <x:v>-2332250</x:v>
      </x:c>
    </x:row>
    <x:row r="96" ht="48" hidden="0" customHeight="1">
      <x:c r="A96" s="53" t="str">
        <x:v>TX0092</x:v>
      </x:c>
      <x:c r="B96" s="65" t="d">
        <x:v>2026-10-06T00:00:00.000Z</x:v>
      </x:c>
      <x:c r="C96" s="53" t="str">
        <x:v>1405/07/14</x:v>
      </x:c>
      <x:c r="D96" s="53" t="str">
        <x:v>1405/07</x:v>
      </x:c>
      <x:c r="E96" s="53" t="str">
        <x:v>پرداخت</x:v>
      </x:c>
      <x:c r="F96" s="66" t="n">
        <x:v>3050000</x:v>
      </x:c>
      <x:c r="G96" s="67" t="str">
        <x:v>ریال</x:v>
      </x:c>
      <x:c r="H96" s="66" t="n">
        <x:v>305000</x:v>
      </x:c>
      <x:c r="I96" s="53" t="str">
        <x:v>مژده سلمانی سرشکی</x:v>
      </x:c>
      <x:c r="J96" s="53" t="str">
        <x:v>انتقال کارتی، هدف نامشخص</x:v>
      </x:c>
      <x:c r="K96" s="53" t="str">
        <x:v>انتقال کارت به کارت</x:v>
      </x:c>
      <x:c r="L96" s="53" t="str">
        <x:v>طبقه‌بندی‌نشده</x:v>
      </x:c>
      <x:c r="M96" s="53" t="str">
        <x:v>تخصیص‌نیافته</x:v>
      </x:c>
      <x:c r="N96" s="53" t="str">
        <x:v>تأییدشده</x:v>
      </x:c>
      <x:c r="O96" s="53" t="str">
        <x:v>رسید و تأیید کاربر</x:v>
      </x:c>
      <x:c r="P96" s="53" t="str">
        <x:v>BLU-CUSTODIAN</x:v>
      </x:c>
      <x:c r="Q96" s="53" t="str"/>
      <x:c r="R96" s="53" t="str">
        <x:v>981431</x:v>
      </x:c>
      <x:c r="S96" s="53"/>
      <x:c r="T96" s="53" t="str"/>
      <x:c r="U96" s="53" t="str">
        <x:v> کاربر تأیید می‌کند که تمام رسیدها/اسناد مربوط به هزینه‌های انجمن هستند. هدف، مگر در صورت شناسایی مشخص، به‌صورت طبقه‌بندی‌نشده حفظ می‌شود. شناسایی مبدأ: کارت مبدأ پوشانده‌شده با پایان 6947. انتساب به انجمن مبتنی بر اظهار کاربر است؛ هیچ تطبیق مانده‌ای مستلزم نیست. برچسب پروژهٔ قبلی: نامشخص (1405). پروژه به‌طور مشخص تأیید نشده است؛ به‌صورت تخصیص‌نیافته حفظ شده است.</x:v>
      </x:c>
      <x:c r="V96" s="53" t="str">
        <x:v>recipts/photo_12_2026-10-10_11-09-04.jpg
reports/2026-10-10/user_confirmation_2026-10-10.json</x:v>
      </x:c>
      <x:c r="W96" s="68" t="n">
        <x:f>IF(AND(N96="تأییدشده",E96="دریافت",ISNUMBER(H96)),H96,0)</x:f>
        <x:v>0</x:v>
      </x:c>
      <x:c r="X96" s="68" t="n">
        <x:f>IF(AND(N96="تأییدشده",E96="پرداخت",ISNUMBER(H96)),H96,0)</x:f>
        <x:v>305000</x:v>
      </x:c>
      <x:c r="Y96" s="68" t="n">
        <x:f>W96-X96</x:f>
        <x:v>-305000</x:v>
      </x:c>
    </x:row>
    <x:row r="97" ht="15" hidden="0" customHeight="1">
      <x:c r="A97" s="53" t="str">
        <x:v>TX0093</x:v>
      </x:c>
      <x:c r="B97" s="65"/>
      <x:c r="C97" s="53"/>
      <x:c r="D97" s="53" t="str">
        <x:v>1405/07</x:v>
      </x:c>
      <x:c r="E97" s="53" t="str">
        <x:v>دریافت</x:v>
      </x:c>
      <x:c r="F97" s="66" t="n">
        <x:v>23000000</x:v>
      </x:c>
      <x:c r="G97" s="67" t="str">
        <x:v>تومان</x:v>
      </x:c>
      <x:c r="H97" s="66" t="n">
        <x:v>23000000</x:v>
      </x:c>
      <x:c r="I97" s="53" t="str">
        <x:v>پلتفرم رویداد / شرکت‌کنندگان</x:v>
      </x:c>
      <x:c r="J97" s="53" t="str">
        <x:v>دریافت‌های برنامهٔ معارفه ۱۴۰۵ طبق دفتر کل</x:v>
      </x:c>
      <x:c r="K97" s="53" t="str">
        <x:v>درآمد معرفی رشته (مهر ۰۵)</x:v>
      </x:c>
      <x:c r="L97" s="53" t="str">
        <x:v>رویدادها</x:v>
      </x:c>
      <x:c r="M97" s="53" t="str">
        <x:v>برنامهٔ معارفه ۱۴۰۵</x:v>
      </x:c>
      <x:c r="N97" s="53" t="str">
        <x:v>تأییدشده</x:v>
      </x:c>
      <x:c r="O97" s="53" t="str">
        <x:v>دفتر اصلی</x:v>
      </x:c>
      <x:c r="P97" s="53" t="str">
        <x:v>نامشخص</x:v>
      </x:c>
      <x:c r="Q97" s="53" t="str"/>
      <x:c r="R97" s="53"/>
      <x:c r="S97" s="53"/>
      <x:c r="T97" s="53" t="str">
        <x:v>واریز تسویه‌ای وجود ندارد. پل‌زدن به مبلغ ناخالص 27,235,000 لازم است (ISS004).</x:v>
      </x:c>
      <x:c r="U97" s="53" t="str">
        <x:v>مستخرج از دفتر کل. صرفاً بر مبنای دفتر کل اصلی/اظهارنامه خزانه‌دار لحاظ شده است؛ هیچ تأیید واریز بانکی وجود ندارد.</x:v>
      </x:c>
      <x:c r="V97" s="53" t="str">
        <x:v>Anjoman accounting.xlsx#مجموع!B45</x:v>
      </x:c>
      <x:c r="W97" s="68" t="n">
        <x:f>IF(AND(N97="تأییدشده",E97="دریافت",ISNUMBER(H97)),H97,0)</x:f>
        <x:v>23000000</x:v>
      </x:c>
      <x:c r="X97" s="68" t="n">
        <x:f>IF(AND(N97="تأییدشده",E97="پرداخت",ISNUMBER(H97)),H97,0)</x:f>
        <x:v>0</x:v>
      </x:c>
      <x:c r="Y97" s="68" t="n">
        <x:f>W97-X97</x:f>
        <x:v>23000000</x:v>
      </x:c>
    </x:row>
    <x:row r="98" ht="24" hidden="0" customHeight="1">
      <x:c r="A98" s="53" t="str">
        <x:v>TX0094</x:v>
      </x:c>
      <x:c r="B98" s="65" t="d">
        <x:v>2026-09-24T00:00:00.000Z</x:v>
      </x:c>
      <x:c r="C98" s="53" t="str">
        <x:v>1405/07/02</x:v>
      </x:c>
      <x:c r="D98" s="53" t="str">
        <x:v>1405/07</x:v>
      </x:c>
      <x:c r="E98" s="53" t="str">
        <x:v>دریافت</x:v>
      </x:c>
      <x:c r="F98" s="66" t="n">
        <x:v>27235000</x:v>
      </x:c>
      <x:c r="G98" s="67" t="str">
        <x:v>تومان</x:v>
      </x:c>
      <x:c r="H98" s="66" t="n">
        <x:v>27235000</x:v>
      </x:c>
      <x:c r="I98" s="53" t="str">
        <x:v>خریداران بلیت (۹۰)</x:v>
      </x:c>
      <x:c r="J98" s="53" t="str">
        <x:v>فروش ناخالص بلیت بر اساس گزارش پلتفرم</x:v>
      </x:c>
      <x:c r="K98" s="53" t="str">
        <x:v>فروش بلیت ناخالص طبق گزارش پلتفرم</x:v>
      </x:c>
      <x:c r="L98" s="53" t="str">
        <x:v>رویدادها</x:v>
      </x:c>
      <x:c r="M98" s="53" t="str">
        <x:v>برنامهٔ معارفه ۱۴۰۵</x:v>
      </x:c>
      <x:c r="N98" s="53" t="str">
        <x:v>صرفاً گزارش تجمیعی</x:v>
      </x:c>
      <x:c r="O98" s="53" t="str">
        <x:v>گزارش</x:v>
      </x:c>
      <x:c r="P98" s="53" t="str">
        <x:v>نامشخص</x:v>
      </x:c>
      <x:c r="Q98" s="53" t="str"/>
      <x:c r="R98" s="53"/>
      <x:c r="S98" s="53"/>
      <x:c r="T98" s="53" t="str">
        <x:v>فروش ناخالص، نه تسویه. با TX0093 قابل جمع نیست.</x:v>
      </x:c>
      <x:c r="U98" s="53" t="str">
        <x:v>اختلاف ۴٬۲۳۵٬۰۰۰ با دفتر کل (کارمزدها، بازپرداخت‌ها یا زمان‌بندی نامشخص).</x:v>
      </x:c>
      <x:c r="V98" s="53" t="str">
        <x:v>physics_intro full report.pdf#page=1
physics_intro full report.pdf#page=2</x:v>
      </x:c>
      <x:c r="W98" s="68" t="n">
        <x:f>IF(AND(N98="تأییدشده",E98="دریافت",ISNUMBER(H98)),H98,0)</x:f>
        <x:v>0</x:v>
      </x:c>
      <x:c r="X98" s="68" t="n">
        <x:f>IF(AND(N98="تأییدشده",E98="پرداخت",ISNUMBER(H98)),H98,0)</x:f>
        <x:v>0</x:v>
      </x:c>
      <x:c r="Y98" s="68" t="n">
        <x:f>W98-X98</x:f>
        <x:v>0</x:v>
      </x:c>
    </x:row>
    <x:row r="99" ht="15" hidden="0" customHeight="1">
      <x:c r="A99" s="53" t="str">
        <x:v>TX0095</x:v>
      </x:c>
      <x:c r="B99" s="65"/>
      <x:c r="C99" s="53"/>
      <x:c r="D99" s="53" t="str">
        <x:v>1405/07</x:v>
      </x:c>
      <x:c r="E99" s="53" t="str">
        <x:v>پرداخت</x:v>
      </x:c>
      <x:c r="F99" s="66" t="n">
        <x:v>5000000</x:v>
      </x:c>
      <x:c r="G99" s="67" t="str">
        <x:v>تومان</x:v>
      </x:c>
      <x:c r="H99" s="66" t="n">
        <x:v>5000000</x:v>
      </x:c>
      <x:c r="I99" s="53" t="str">
        <x:v>نامشخص</x:v>
      </x:c>
      <x:c r="J99" s="53" t="str">
        <x:v>گردهمایی پس از رویداد</x:v>
      </x:c>
      <x:c r="K99" s="53" t="str">
        <x:v>دورهمی بعد از رویداد معرفی رشته</x:v>
      </x:c>
      <x:c r="L99" s="53" t="str">
        <x:v>رویدادها</x:v>
      </x:c>
      <x:c r="M99" s="53" t="str">
        <x:v>برنامهٔ معارفه ۱۴۰۵</x:v>
      </x:c>
      <x:c r="N99" s="53" t="str">
        <x:v>تأییدشده</x:v>
      </x:c>
      <x:c r="O99" s="53" t="str">
        <x:v>دفتر اصلی</x:v>
      </x:c>
      <x:c r="P99" s="53" t="str">
        <x:v>نامشخص</x:v>
      </x:c>
      <x:c r="Q99" s="53" t="str"/>
      <x:c r="R99" s="53"/>
      <x:c r="S99" s="53"/>
      <x:c r="T99" s="53" t="str">
        <x:v>رسید وجود ندارد؛ مبلغ رند است.</x:v>
      </x:c>
      <x:c r="U99" s="53" t="str">
        <x:v>مستخرج از دفتر کل.</x:v>
      </x:c>
      <x:c r="V99" s="53" t="str">
        <x:v>Anjoman accounting.xlsx#مجموع!D45</x:v>
      </x:c>
      <x:c r="W99" s="68" t="n">
        <x:f>IF(AND(N99="تأییدشده",E99="دریافت",ISNUMBER(H99)),H99,0)</x:f>
        <x:v>0</x:v>
      </x:c>
      <x:c r="X99" s="68" t="n">
        <x:f>IF(AND(N99="تأییدشده",E99="پرداخت",ISNUMBER(H99)),H99,0)</x:f>
        <x:v>5000000</x:v>
      </x:c>
      <x:c r="Y99" s="68" t="n">
        <x:f>W99-X99</x:f>
        <x:v>-5000000</x:v>
      </x:c>
    </x:row>
  </x:sheetData>
  <x:mergeCells>
    <x:mergeCell ref="A2:F2"/>
  </x:mergeCells>
  <x:conditionalFormatting sqref="N5:N99">
    <x:cfRule type="containsText" dxfId="0" priority="1" operator="containsText" text="نیازمند بررسی"/>
  </x:conditionalFormatting>
  <x:dataValidations count="2">
    <x:dataValidation type="list" sqref="N5:N99">
      <x:formula1>"تأییدشده,نیازمند بررسی,تکراری,صرفاً صورتحساب,صرفاً گزارش تجمیعی"</x:formula1>
    </x:dataValidation>
    <x:dataValidation type="list" sqref="E5:E99">
      <x:formula1>"دریافت,پرداخت,انتقال داخلی,نامشخص"</x:formula1>
    </x:dataValidation>
  </x:dataValidations>
  <x:pageMargins left="0.7" right="0.7" top="0.75" bottom="0.75" header="0.3" footer="0.3"/>
  <x:tableParts count="1">
    <x:tablePart xmlns:r="http://schemas.openxmlformats.org/officeDocument/2006/relationships" r:id="R77ef82ad7f1b40cd"/>
  </x:tableParts>
</x:worksheet>
</file>

<file path=xl/worksheets/sheet8.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4" hidden="0" customWidth="1"/>
    <x:col min="2" max="2" width="17" hidden="0" customWidth="1"/>
    <x:col min="3" max="3" width="42" hidden="0" customWidth="1"/>
    <x:col min="4" max="4" width="80" hidden="0" customWidth="1"/>
    <x:col min="5" max="5" width="26" hidden="0" customWidth="1"/>
    <x:col min="6" max="6" width="23" hidden="0" customWidth="1"/>
    <x:col min="7" max="7" width="23" hidden="0" customWidth="1"/>
    <x:col min="8" max="8" width="30" hidden="0" customWidth="1"/>
    <x:col min="9" max="9" width="24" hidden="0" customWidth="1"/>
    <x:col min="10" max="10" width="85" hidden="0" customWidth="1"/>
    <x:col min="11" max="11" width="100" hidden="0" customWidth="1"/>
  </x:cols>
  <x:sheetData>
    <x:row r="1" ht="15" hidden="0" customHeight="1">
      <x:c r="A1" s="51"/>
      <x:c r="B1" s="51"/>
      <x:c r="C1" s="51"/>
      <x:c r="D1" s="51"/>
      <x:c r="E1" s="51"/>
      <x:c r="F1" s="51"/>
      <x:c r="G1" s="51"/>
      <x:c r="H1" s="51"/>
      <x:c r="I1" s="51"/>
      <x:c r="J1" s="51"/>
      <x:c r="K1" s="51"/>
    </x:row>
    <x:row r="2" ht="16.799999237060547" hidden="0" customHeight="1">
      <x:c r="A2" s="52" t="str">
        <x:v>دفتر تطبیق صورتحساب و پرداخت تأمین‌کنندگان</x:v>
      </x:c>
      <x:c r="B2" s="51"/>
      <x:c r="C2" s="51"/>
      <x:c r="D2" s="51"/>
      <x:c r="E2" s="51"/>
      <x:c r="F2" s="51"/>
      <x:c r="G2" s="51"/>
      <x:c r="H2" s="51"/>
      <x:c r="I2" s="51"/>
      <x:c r="J2" s="51"/>
      <x:c r="K2" s="51"/>
    </x:row>
    <x:row r="3" ht="15" hidden="0" customHeight="1">
      <x:c r="A3" s="51"/>
      <x:c r="B3" s="51"/>
      <x:c r="C3" s="51"/>
      <x:c r="D3" s="51"/>
      <x:c r="E3" s="51"/>
      <x:c r="F3" s="51"/>
      <x:c r="G3" s="51"/>
      <x:c r="H3" s="51"/>
      <x:c r="I3" s="51"/>
      <x:c r="J3" s="51"/>
      <x:c r="K3" s="51"/>
    </x:row>
    <x:row r="4" ht="15" hidden="0" customHeight="1">
      <x:c r="A4" s="39" t="str">
        <x:v>شناسه</x:v>
      </x:c>
      <x:c r="B4" s="39" t="str">
        <x:v>تاریخ جلالی</x:v>
      </x:c>
      <x:c r="C4" s="39" t="str">
        <x:v>تأمین‌کننده</x:v>
      </x:c>
      <x:c r="D4" s="39" t="str">
        <x:v>شرح</x:v>
      </x:c>
      <x:c r="E4" s="39" t="str">
        <x:v>مرجع فاکتور</x:v>
      </x:c>
      <x:c r="F4" s="39" t="str">
        <x:v>ناخالص (تومان)</x:v>
      </x:c>
      <x:c r="G4" s="39" t="str">
        <x:v>مالیات (تومان)</x:v>
      </x:c>
      <x:c r="H4" s="39" t="str">
        <x:v>شناسه‌های تراکنش تطبیق‌یافته</x:v>
      </x:c>
      <x:c r="I4" s="39" t="str">
        <x:v>وضعیت</x:v>
      </x:c>
      <x:c r="J4" s="39" t="str">
        <x:v>ارجاع منبع</x:v>
      </x:c>
      <x:c r="K4" s="39" t="str">
        <x:v>یادداشت‌ها</x:v>
      </x:c>
    </x:row>
    <x:row r="5" ht="15" hidden="0" customHeight="1">
      <x:c r="A5" s="53" t="str">
        <x:v>INV001</x:v>
      </x:c>
      <x:c r="B5" s="53" t="str">
        <x:v>1404/07/22</x:v>
      </x:c>
      <x:c r="C5" s="53" t="str">
        <x:v>نوآوران فن‌آوازه (دیجی‌کالا)</x:v>
      </x:c>
      <x:c r="D5" s="53" t="str">
        <x:v>باتری سونی NP-FV50، فاکتور 15628595</x:v>
      </x:c>
      <x:c r="E5" s="53"/>
      <x:c r="F5" s="54" t="n">
        <x:v>696000</x:v>
      </x:c>
      <x:c r="G5" s="54" t="n">
        <x:v>0</x:v>
      </x:c>
      <x:c r="H5" s="53" t="str">
        <x:v>TX0032</x:v>
      </x:c>
      <x:c r="I5" s="53" t="str">
        <x:v>پرداخت تطبیق‌یافته</x:v>
      </x:c>
      <x:c r="J5" s="53" t="str">
        <x:v>telegram export/files/dk-file-2025-10-16-14-43-08.pdf#page=1</x:v>
      </x:c>
      <x:c r="K5" s="53" t="str">
        <x:v>خریدار متین قاسمی. پرداخت از طریق بازپرداخت به نیما کوهی (همراه با INV002 = 725,000).</x:v>
      </x:c>
    </x:row>
    <x:row r="6" ht="15" hidden="0" customHeight="1">
      <x:c r="A6" s="53" t="str">
        <x:v>INV002</x:v>
      </x:c>
      <x:c r="B6" s="53" t="str">
        <x:v>1404/07/22</x:v>
      </x:c>
      <x:c r="C6" s="53" t="str">
        <x:v>نوآوران فن‌آوازه (دیجی‌کالا)</x:v>
      </x:c>
      <x:c r="D6" s="53" t="str">
        <x:v>هزینهٔ حمل و بیمه، فاکتور 12050044</x:v>
      </x:c>
      <x:c r="E6" s="53"/>
      <x:c r="F6" s="54" t="n">
        <x:v>29000</x:v>
      </x:c>
      <x:c r="G6" s="54" t="n">
        <x:v>0</x:v>
      </x:c>
      <x:c r="H6" s="53" t="str">
        <x:v>TX0032</x:v>
      </x:c>
      <x:c r="I6" s="53" t="str">
        <x:v>پرداخت تطبیق‌یافته</x:v>
      </x:c>
      <x:c r="J6" s="53" t="str">
        <x:v>telegram export/files/dk-file-2025-10-16-14-43-08.pdf#page=1</x:v>
      </x:c>
      <x:c r="K6" s="53" t="str">
        <x:v>همان سفارش INV001.</x:v>
      </x:c>
    </x:row>
    <x:row r="7" ht="24" hidden="0" customHeight="1">
      <x:c r="A7" s="53" t="str">
        <x:v>INV003</x:v>
      </x:c>
      <x:c r="B7" s="53" t="str">
        <x:v>1404/08/07</x:v>
      </x:c>
      <x:c r="C7" s="53" t="str">
        <x:v>شادزی</x:v>
      </x:c>
      <x:c r="D7" s="53" t="str">
        <x:v>4 چسب بادکنک، فاکتور 29449</x:v>
      </x:c>
      <x:c r="E7" s="53"/>
      <x:c r="F7" s="54" t="n">
        <x:v>120000</x:v>
      </x:c>
      <x:c r="G7" s="54"/>
      <x:c r="H7" s="53" t="str">
        <x:v>TX0037</x:v>
      </x:c>
      <x:c r="I7" s="53" t="str">
        <x:v>پرداخت تطبیق‌یافته</x:v>
      </x:c>
      <x:c r="J7" s="53" t="str">
        <x:v>telegram export/photos/photo_21@09-11-2025_23-16-09.jpg
telegram export/photos/photo_30@27-06-2026_18-24-31.jpg</x:v>
      </x:c>
      <x:c r="K7" s="53" t="str">
        <x:v>دو عکس از یک فاکتور. از طریق بازپرداخت اردوان پرداخت شده است.</x:v>
      </x:c>
    </x:row>
    <x:row r="8" ht="24" hidden="0" customHeight="1">
      <x:c r="A8" s="53" t="str">
        <x:v>INV004</x:v>
      </x:c>
      <x:c r="B8" s="53" t="str">
        <x:v>1404/08/06</x:v>
      </x:c>
      <x:c r="C8" s="53" t="str">
        <x:v>شادزی</x:v>
      </x:c>
      <x:c r="D8" s="53" t="str">
        <x:v>بادکنک، پمپ، نخ، فویل؛ صورتحساب 2935/29350</x:v>
      </x:c>
      <x:c r="E8" s="53"/>
      <x:c r="F8" s="54" t="n">
        <x:v>1310000</x:v>
      </x:c>
      <x:c r="G8" s="54"/>
      <x:c r="H8" s="53" t="str">
        <x:v>TX0038</x:v>
      </x:c>
      <x:c r="I8" s="53" t="str">
        <x:v>پرداخت تطبیق‌یافته</x:v>
      </x:c>
      <x:c r="J8" s="53" t="str">
        <x:v>telegram export/photos/photo_22@09-11-2025_23-16-15.jpg
telegram export/photos/photo_29@27-06-2026_18-24-14.jpg</x:v>
      </x:c>
      <x:c r="K8" s="53" t="str">
        <x:v>بر اساس مبلغ با بازپرداخت راحله تطبیق داده شد. عنوان «یلدا» برچسب نادرست است.</x:v>
      </x:c>
    </x:row>
    <x:row r="9" ht="15" hidden="0" customHeight="1">
      <x:c r="A9" s="53" t="str">
        <x:v>INV005</x:v>
      </x:c>
      <x:c r="B9" s="53"/>
      <x:c r="C9" s="53" t="str">
        <x:v>نامشخص (دست‌نویس)</x:v>
      </x:c>
      <x:c r="D9" s="53" t="str">
        <x:v>جوایز ورودی‌ها: نگهدارنده، فیجت اسپینر، پاپیون</x:v>
      </x:c>
      <x:c r="E9" s="53"/>
      <x:c r="F9" s="54"/>
      <x:c r="G9" s="54"/>
      <x:c r="H9" s="53" t="str">
        <x:v>TX0033</x:v>
      </x:c>
      <x:c r="I9" s="53" t="str">
        <x:v>نامطمئن</x:v>
      </x:c>
      <x:c r="J9" s="53" t="str">
        <x:v>telegram export/photos/photo_34@27-06-2026_18-26-03.jpg</x:v>
      </x:c>
      <x:c r="K9" s="53" t="str">
        <x:v>مجموع ۱۴,۳۵۰,۰۰۰، واحد نامشخص. احتمالاً جوایز TX0033 یا TX0035.</x:v>
      </x:c>
    </x:row>
    <x:row r="10" ht="15" hidden="0" customHeight="1">
      <x:c r="A10" s="53" t="str">
        <x:v>INV006</x:v>
      </x:c>
      <x:c r="B10" s="53" t="str">
        <x:v>1404/08/07</x:v>
      </x:c>
      <x:c r="C10" s="53" t="str">
        <x:v>تی‌موبایل (احمدی)</x:v>
      </x:c>
      <x:c r="D10" s="53" t="str">
        <x:v>فلش یو‌اس‌بی ۳۲ گیگابایت و هندزفری</x:v>
      </x:c>
      <x:c r="E10" s="53"/>
      <x:c r="F10" s="54" t="n">
        <x:v>1500000</x:v>
      </x:c>
      <x:c r="G10" s="54"/>
      <x:c r="H10" s="53" t="str">
        <x:v>TX0034</x:v>
      </x:c>
      <x:c r="I10" s="53" t="str">
        <x:v>پرداخت تطبیق‌یافته</x:v>
      </x:c>
      <x:c r="J10" s="53" t="str">
        <x:v>telegram export/photos/photo_35@27-06-2026_18-26-22.jpg</x:v>
      </x:c>
      <x:c r="K10" s="53" t="str">
        <x:v>رسید POS به فاکتور منگنه شده است.</x:v>
      </x:c>
    </x:row>
    <x:row r="11" ht="15" hidden="0" customHeight="1">
      <x:c r="A11" s="53" t="str">
        <x:v>INV007</x:v>
      </x:c>
      <x:c r="B11" s="53" t="str">
        <x:v>1404/07/22</x:v>
      </x:c>
      <x:c r="C11" s="53" t="str">
        <x:v>شیرینی مارژولن</x:v>
      </x:c>
      <x:c r="D11" s="53" t="str">
        <x:v>سفارش پای آناناس و شیرینی</x:v>
      </x:c>
      <x:c r="E11" s="53"/>
      <x:c r="F11" s="54" t="n">
        <x:v>1052375</x:v>
      </x:c>
      <x:c r="G11" s="54"/>
      <x:c r="H11" s="53" t="str">
        <x:v>TX0024</x:v>
      </x:c>
      <x:c r="I11" s="53" t="str">
        <x:v>پرداخت تطبیق‌یافته</x:v>
      </x:c>
      <x:c r="J11" s="53" t="str">
        <x:v>telegram export/photos/photo_36@27-06-2026_18-26-45.jpg</x:v>
      </x:c>
      <x:c r="K11" s="53" t="str">
        <x:v>صفحه سفارش.</x:v>
      </x:c>
    </x:row>
    <x:row r="12" ht="15" hidden="0" customHeight="1">
      <x:c r="A12" s="53" t="str">
        <x:v>INV008</x:v>
      </x:c>
      <x:c r="B12" s="53" t="str">
        <x:v>1404/07/20</x:v>
      </x:c>
      <x:c r="C12" s="53" t="str">
        <x:v>شیرینی مارژولن</x:v>
      </x:c>
      <x:c r="D12" s="53" t="str">
        <x:v>شیرینی خامه‌ای شکلاتی فرانسوی</x:v>
      </x:c>
      <x:c r="E12" s="53"/>
      <x:c r="F12" s="54" t="n">
        <x:v>912850</x:v>
      </x:c>
      <x:c r="G12" s="54"/>
      <x:c r="H12" s="53" t="str">
        <x:v>TX0023</x:v>
      </x:c>
      <x:c r="I12" s="53" t="str">
        <x:v>پرداخت تطبیق‌یافته</x:v>
      </x:c>
      <x:c r="J12" s="53" t="str">
        <x:v>telegram export/photos/photo_37@27-06-2026_18-27-12.jpg</x:v>
      </x:c>
      <x:c r="K12" s="53" t="str">
        <x:v>مغایرت محاسباتی ثبت شده است.</x:v>
      </x:c>
    </x:row>
    <x:row r="13" ht="15" hidden="0" customHeight="1">
      <x:c r="A13" s="53" t="str">
        <x:v>INV009</x:v>
      </x:c>
      <x:c r="B13" s="53"/>
      <x:c r="C13" s="53" t="str">
        <x:v>خواربارفروش آنلاین نامشخص</x:v>
      </x:c>
      <x:c r="D13" s="53" t="str">
        <x:v>7 × انار 2 کیلوگرمی</x:v>
      </x:c>
      <x:c r="E13" s="53"/>
      <x:c r="F13" s="54" t="n">
        <x:v>1664700</x:v>
      </x:c>
      <x:c r="G13" s="54"/>
      <x:c r="H13" s="53" t="str"/>
      <x:c r="I13" s="53" t="str">
        <x:v>صورتحساب تطبیق‌نیافته</x:v>
      </x:c>
      <x:c r="J13" s="53" t="str">
        <x:v>telegram export/photos/photo_38@27-06-2026_18-27-25.jpg</x:v>
      </x:c>
      <x:c r="K13" s="53" t="str">
        <x:v>عنوان تصویر یلدا.</x:v>
      </x:c>
    </x:row>
    <x:row r="14" ht="24" hidden="0" customHeight="1">
      <x:c r="A14" s="53" t="str">
        <x:v>INV010</x:v>
      </x:c>
      <x:c r="B14" s="53" t="str">
        <x:v>1404/10/01</x:v>
      </x:c>
      <x:c r="C14" s="53" t="str">
        <x:v>کانبو (اورست مدرن پارس)</x:v>
      </x:c>
      <x:c r="D14" s="53" t="str">
        <x:v>پودر ژله و شربت آلبالو</x:v>
      </x:c>
      <x:c r="E14" s="53"/>
      <x:c r="F14" s="54" t="n">
        <x:v>2150000</x:v>
      </x:c>
      <x:c r="G14" s="54" t="n">
        <x:v>195454.5</x:v>
      </x:c>
      <x:c r="H14" s="53" t="str">
        <x:v>TX0056</x:v>
      </x:c>
      <x:c r="I14" s="53" t="str">
        <x:v>نامطمئن</x:v>
      </x:c>
      <x:c r="J14" s="53" t="str">
        <x:v>telegram export/photos/photo_46@27-06-2026_18-38-52.jpg
telegram export/photos/photo_47@27-06-2026_18-43-30.jpg</x:v>
      </x:c>
      <x:c r="K14" s="53" t="str">
        <x:v>توسط یک داوطلب پرداخت شده است؛ بازپرداخت از سوی انجمن یافت نشد.</x:v>
      </x:c>
    </x:row>
    <x:row r="15" ht="24" hidden="0" customHeight="1">
      <x:c r="A15" s="53" t="str">
        <x:v>INV011</x:v>
      </x:c>
      <x:c r="B15" s="53" t="str">
        <x:v>1404/10/02</x:v>
      </x:c>
      <x:c r="C15" s="53" t="str">
        <x:v>کانبو تارشت 1633 / مترو 2224</x:v>
      </x:c>
      <x:c r="D15" s="53" t="str">
        <x:v>رسیدهای تنقلات C1 تا C8 (هشت رسید)</x:v>
      </x:c>
      <x:c r="E15" s="53"/>
      <x:c r="F15" s="54" t="n">
        <x:v>1306700</x:v>
      </x:c>
      <x:c r="G15" s="54"/>
      <x:c r="H15" s="53" t="str">
        <x:v>TX0064, TX0065, TX0066, TX0067, TX0068, TX0069, TX0072, TX0073</x:v>
      </x:c>
      <x:c r="I15" s="53" t="str">
        <x:v>نامطمئن</x:v>
      </x:c>
      <x:c r="J15" s="53" t="str">
        <x:v>telegram export/files/CamScanner 13-05-2026 12.43 (1).pdf</x:v>
      </x:c>
      <x:c r="K15" s="53" t="str">
        <x:v>شامل C6 (احتمالاً تکراری). پرداخت‌شده توسط داوطلب؛ از بازپرداخت پرنیان پشتیبانی می‌کند.</x:v>
      </x:c>
    </x:row>
    <x:row r="16" ht="15" hidden="0" customHeight="1">
      <x:c r="A16" s="53" t="str">
        <x:v>INV012</x:v>
      </x:c>
      <x:c r="B16" s="53" t="str">
        <x:v>1404/10/02</x:v>
      </x:c>
      <x:c r="C16" s="53" t="str">
        <x:v>هایپرفامیلی</x:v>
      </x:c>
      <x:c r="D16" s="53" t="str">
        <x:v>99 تنقلات مزمز</x:v>
      </x:c>
      <x:c r="E16" s="53"/>
      <x:c r="F16" s="54" t="n">
        <x:v>1916640</x:v>
      </x:c>
      <x:c r="G16" s="54" t="n">
        <x:v>174240</x:v>
      </x:c>
      <x:c r="H16" s="53" t="str">
        <x:v>TX0070</x:v>
      </x:c>
      <x:c r="I16" s="53" t="str">
        <x:v>نامطمئن</x:v>
      </x:c>
      <x:c r="J16" s="53" t="str">
        <x:v>telegram export/files/CamScanner 13-05-2026 12.43 (1).pdf#page=7</x:v>
      </x:c>
      <x:c r="K16" s="53" t="str">
        <x:v>پرداخت‌شده توسط داوطلب.</x:v>
      </x:c>
    </x:row>
    <x:row r="17" ht="15" hidden="0" customHeight="1">
      <x:c r="A17" s="53" t="str">
        <x:v>INV013</x:v>
      </x:c>
      <x:c r="B17" s="53" t="str">
        <x:v>1404/10/03</x:v>
      </x:c>
      <x:c r="C17" s="53" t="str">
        <x:v>اکانو</x:v>
      </x:c>
      <x:c r="D17" s="53" t="str">
        <x:v>شکلات گالا</x:v>
      </x:c>
      <x:c r="E17" s="53"/>
      <x:c r="F17" s="54" t="n">
        <x:v>135800</x:v>
      </x:c>
      <x:c r="G17" s="54" t="n">
        <x:v>12345.4</x:v>
      </x:c>
      <x:c r="H17" s="53" t="str">
        <x:v>TX0071</x:v>
      </x:c>
      <x:c r="I17" s="53" t="str">
        <x:v>نامطمئن</x:v>
      </x:c>
      <x:c r="J17" s="53" t="str">
        <x:v>telegram export/files/CamScanner 13-05-2026 12.43 (1).pdf#page=8</x:v>
      </x:c>
      <x:c r="K17" s="53" t="str">
        <x:v>پرداخت‌شده توسط داوطلب.</x:v>
      </x:c>
    </x:row>
    <x:row r="18" ht="15" hidden="0" customHeight="1">
      <x:c r="A18" s="53" t="str">
        <x:v>INV014</x:v>
      </x:c>
      <x:c r="B18" s="53"/>
      <x:c r="C18" s="53" t="str">
        <x:v>قهوه/فست‌فود ریبار</x:v>
      </x:c>
      <x:c r="D18" s="53" t="str">
        <x:v>دست‌نویس، احتمالاً کوکی شکلاتی</x:v>
      </x:c>
      <x:c r="E18" s="53"/>
      <x:c r="F18" s="54" t="n">
        <x:v>495000</x:v>
      </x:c>
      <x:c r="G18" s="54"/>
      <x:c r="H18" s="53" t="str"/>
      <x:c r="I18" s="53" t="str">
        <x:v>صورتحساب تطبیق‌نیافته</x:v>
      </x:c>
      <x:c r="J18" s="53" t="str">
        <x:v>telegram export/files/CamScanner 13-05-2026 12.43 (1).pdf#page=11</x:v>
      </x:c>
      <x:c r="K18" s="53" t="str">
        <x:v>خوانش با اطمینان پایین؛ تاریخ ≈1404/10/13؟</x:v>
      </x:c>
    </x:row>
    <x:row r="19" ht="15" hidden="0" customHeight="1">
      <x:c r="A19" s="53" t="str">
        <x:v>INV015</x:v>
      </x:c>
      <x:c r="B19" s="53" t="str">
        <x:v>1405/06/07</x:v>
      </x:c>
      <x:c r="C19" s="53" t="str">
        <x:v>مهبانگ فن‌آوری‌های پارس</x:v>
      </x:c>
      <x:c r="D19" s="53" t="str">
        <x:v>اشتراک و ضبط اسکای‌روم، فاکتور 61150</x:v>
      </x:c>
      <x:c r="E19" s="53"/>
      <x:c r="F19" s="54" t="n">
        <x:v>4257000</x:v>
      </x:c>
      <x:c r="G19" s="54" t="n">
        <x:v>387000</x:v>
      </x:c>
      <x:c r="H19" s="53" t="str"/>
      <x:c r="I19" s="53" t="str">
        <x:v>صورتحساب تطبیق‌نیافته</x:v>
      </x:c>
      <x:c r="J19" s="53" t="str">
        <x:v>invoice-61150.pdf#page=1</x:v>
      </x:c>
      <x:c r="K19" s="53" t="str">
        <x:v>خریدار حسن شیری.</x:v>
      </x:c>
    </x:row>
    <x:row r="20" ht="24" hidden="0" customHeight="1">
      <x:c r="A20" s="53" t="str">
        <x:v>INV016</x:v>
      </x:c>
      <x:c r="B20" s="53" t="str">
        <x:v>1405/07/01</x:v>
      </x:c>
      <x:c r="C20" s="53" t="str">
        <x:v>یاران دریان لوکس گیشا</x:v>
      </x:c>
      <x:c r="D20" s="53" t="str">
        <x:v>190 نوشیدنی لبنی و کیک، سفارش 165826</x:v>
      </x:c>
      <x:c r="E20" s="53"/>
      <x:c r="F20" s="54" t="n">
        <x:v>9987900</x:v>
      </x:c>
      <x:c r="G20" s="54"/>
      <x:c r="H20" s="53" t="str">
        <x:v>TX0089</x:v>
      </x:c>
      <x:c r="I20" s="53" t="str">
        <x:v>پرداخت تطبیق‌یافته</x:v>
      </x:c>
      <x:c r="J20" s="53" t="str">
        <x:v>recipts/photo_2026-10-10_12-16-28.jpg
reports/2026-10-10/user_confirmation_2026-10-10.json</x:v>
      </x:c>
      <x:c r="K20" s="53" t="str">
        <x:v>در زمان صدور پرداخت‌نشده بوده است. کاربر صراحتاً تأیید می‌کند که این سند پوشه هزینه تسویه‌شده انجمن است. بر اساس تأییدیه با TX0089 تطبیق داده شده است؛ هیچ انتقال بانکی جداگانه‌ای ارائه نشده است.</x:v>
      </x:c>
    </x:row>
  </x:sheetData>
  <x:mergeCells>
    <x:mergeCell ref="A2:F2"/>
  </x:mergeCells>
  <x:pageMargins left="0.7" right="0.7" top="0.75" bottom="0.75" header="0.3" footer="0.3"/>
  <x:tableParts count="1">
    <x:tablePart xmlns:r="http://schemas.openxmlformats.org/officeDocument/2006/relationships" r:id="R1260670e234f4cbe"/>
  </x:tableParts>
</x:worksheet>
</file>

<file path=xl/worksheets/sheet9.xml><?xml version="1.0" encoding="utf-8"?>
<x:worksheet xmlns:x="http://schemas.openxmlformats.org/spreadsheetml/2006/main">
  <x:sheetPr>
    <x:tabColor rgb="FFEDF2F7"/>
  </x:sheetPr>
  <x:sheetViews>
    <x:sheetView showGridLines="0" workbookViewId="0"/>
  </x:sheetViews>
  <x:sheetFormatPr defaultRowHeight="15"/>
  <x:cols>
    <x:col min="1" max="1" width="13" hidden="0" customWidth="1"/>
    <x:col min="2" max="2" width="15" hidden="0" customWidth="1"/>
    <x:col min="3" max="3" width="56" hidden="0" customWidth="1"/>
    <x:col min="4" max="4" width="110" hidden="0" customWidth="1"/>
    <x:col min="5" max="5" width="23" hidden="0" customWidth="1"/>
    <x:col min="6" max="6" width="30" hidden="0" customWidth="1"/>
    <x:col min="7" max="7" width="110" hidden="0" customWidth="1"/>
    <x:col min="8" max="8" width="85" hidden="0" customWidth="1"/>
  </x:cols>
  <x:sheetData>
    <x:row r="1" ht="15" hidden="0" customHeight="1">
      <x:c r="A1" s="51"/>
      <x:c r="B1" s="51"/>
      <x:c r="C1" s="51"/>
      <x:c r="D1" s="51"/>
      <x:c r="E1" s="51"/>
      <x:c r="F1" s="51"/>
      <x:c r="G1" s="51"/>
      <x:c r="H1" s="51"/>
    </x:row>
    <x:row r="2" ht="16.799999237060547" hidden="0" customHeight="1">
      <x:c r="A2" s="52" t="str">
        <x:v>مسائل تطبیق و پیگیری‌های لازم</x:v>
      </x:c>
      <x:c r="B2" s="51"/>
      <x:c r="C2" s="51"/>
      <x:c r="D2" s="51"/>
      <x:c r="E2" s="51"/>
      <x:c r="F2" s="51"/>
      <x:c r="G2" s="51"/>
      <x:c r="H2" s="51"/>
    </x:row>
    <x:row r="3" ht="15" hidden="0" customHeight="1">
      <x:c r="A3" s="51"/>
      <x:c r="B3" s="51"/>
      <x:c r="C3" s="51"/>
      <x:c r="D3" s="51"/>
      <x:c r="E3" s="51"/>
      <x:c r="F3" s="51"/>
      <x:c r="G3" s="51"/>
      <x:c r="H3" s="51"/>
    </x:row>
    <x:row r="4" ht="15" hidden="0" customHeight="1">
      <x:c r="A4" s="39" t="str">
        <x:v>شناسه مسئله</x:v>
      </x:c>
      <x:c r="B4" s="39" t="str">
        <x:v>اولویت</x:v>
      </x:c>
      <x:c r="C4" s="39" t="str">
        <x:v>مسئله</x:v>
      </x:c>
      <x:c r="D4" s="39" t="str">
        <x:v>شرح</x:v>
      </x:c>
      <x:c r="E4" s="39" t="str">
        <x:v>مبلغ (تومان)</x:v>
      </x:c>
      <x:c r="F4" s="39" t="str">
        <x:v>شناسه‌های تراکنش</x:v>
      </x:c>
      <x:c r="G4" s="39" t="str">
        <x:v>اقدام لازم</x:v>
      </x:c>
      <x:c r="H4" s="39" t="str">
        <x:v>ارجاع منبع</x:v>
      </x:c>
    </x:row>
    <x:row r="5" ht="48" hidden="0" customHeight="1">
      <x:c r="A5" s="53" t="str">
        <x:v>ISS001</x:v>
      </x:c>
      <x:c r="B5" s="53" t="str">
        <x:v>زیاد</x:v>
      </x:c>
      <x:c r="C5" s="53" t="str">
        <x:v>صورت‌حساب بانکی وجود ندارد؛ مانده ابتدا و انتهای دوره نقدی قابل راستی‌آزمایی نیست</x:v>
      </x:c>
      <x:c r="D5" s="53" t="str">
        <x:v>فقط قطعاتی از مدارک در دسترس است: رسیدها، پیامک‌ها و تصاویر صفحه. موجودی اول دوره وجود ندارد و تصاویر لحظه‌ای موجودی با هم تعارض دارند (۲۳۰٬۲۰۳٬۹۶۵ ریال در ۱۴۰۴/۰۵/۰۲؛ ۲۲٬۹۵۳٬۹۱۳ ریال در ۱۴۰۴/۰۷/۲۰؛ «۵۶۰٬۸۰۰٬۱۶۳» در ۱۴۰۴/۰۷/۲۲؛ ۲۲٬۷۶۵٬۰۰۰ در message52؛ ۲۹٬۲۰۰ در message86). موجودی‌های ۵۶۰٬۸۰۰٬۱۶۳ و ۵۶۵٬۸۰۰٬۱۶۳ ریال با یک واریز ۵٬۰۰۰٬۰۰۰ ریالی همخوان‌اند؛ ارتباط آن‌ها با موجودی قبلی ۲۲٬۹۵۳٬۹۱۳ ریال همچنان توضیح داده نشده است. در ۱۴۰۴/۰۵/۰۳ کاهش موجودی به مبلغ ۹٬۶۱۴٬۴۰۰ ریال، ۷٬۳۹۴٬۶۰۰ ریال کمتر از بدهکارهای ثبت‌شده‌ی میانی به مبلغ ۱۷٬۰۰۹٬۰۰۰ ریال است و نیازمند ورود وجه یا توضیح دیگری است.</x:v>
      </x:c>
      <x:c r="E5" s="54"/>
      <x:c r="F5" s="53" t="str"/>
      <x:c r="G5" s="53" t="str">
        <x:v>صورت‌حساب کامل شهر 400816808774، سپه 3001254062925 و بلو را تهیه کنید.</x:v>
      </x:c>
      <x:c r="H5" s="53" t="str">
        <x:v>telegram export/messages.html</x:v>
      </x:c>
    </x:row>
    <x:row r="6" ht="36" hidden="0" customHeight="1">
      <x:c r="A6" s="53" t="str">
        <x:v>ISS002</x:v>
      </x:c>
      <x:c r="B6" s="53" t="str">
        <x:v>متوسط</x:v>
      </x:c>
      <x:c r="C6" s="53" t="str">
        <x:v>جزئیات تخصیص پرداخت‌های انجمن که کاربر تأیید کرده است</x:v>
      </x:c>
      <x:c r="D6" s="53" t="str">
        <x:v>کاربر تأیید می‌کند که هر یازده خروجی بلو به مجموع 33,937,250 هزینه انجمن هستند. پنج حق‌التدریس شناسایی‌شده مدرسه تابستانی 1405 در مجموع 11,500,000 است؛ بسته‌های استیکر 950,000 هزینه داشته‌اند. مبلغ باقی‌مانده 21,487,250 نیازمند تخصیص هدف/پروژه است، نه تأیید جهت درآمد/هزینه.</x:v>
      </x:c>
      <x:c r="E6" s="54" t="n">
        <x:v>33937250</x:v>
      </x:c>
      <x:c r="F6" s="53" t="str">
        <x:v>TX0080, TX0081, TX0083, TX0084, TX0085, TX0086, TX0087, TX0088, TX0090, TX0091, TX0092</x:v>
      </x:c>
      <x:c r="G6" s="53" t="str">
        <x:v>تخصیص‌های باقی‌مانده پروژه/دسته‌بندی و پرداخت ششمین مدرس مدرسه تابستانی را مشخص کنید. اظهار کاربر را جدا از مدارک بانکی نگه دارید.</x:v>
      </x:c>
      <x:c r="H6" s="53" t="str">
        <x:v>recipts/photo_10_2026-10-10_11-09-04.jpg</x:v>
      </x:c>
    </x:row>
    <x:row r="7" ht="24" hidden="0" customHeight="1">
      <x:c r="A7" s="53" t="str">
        <x:v>ISS003</x:v>
      </x:c>
      <x:c r="B7" s="53" t="str">
        <x:v>زیاد</x:v>
      </x:c>
      <x:c r="C7" s="53" t="str">
        <x:v>هزینه‌های شهر و اختلاف‌های موجودی بانکی تأییدشده توسط کاربر</x:v>
      </x:c>
      <x:c r="D7" s="53" t="str">
        <x:v>کاربر تأیید می‌کند که هفت خروجی پوشه شهر به مجموع 14,038,220 هزینه انجمن هستند، از جمله TX0061 که قبلاً از نظر جهت طبقه‌بندی‌نشده بود. تخصیص فروشنده/پروژه همچنان در انتظار است. جابه‌جایی مانده ثبت‌نشده همچنان بدون توضیح است.</x:v>
      </x:c>
      <x:c r="E7" s="54" t="n">
        <x:v>14038220</x:v>
      </x:c>
      <x:c r="F7" s="53" t="str">
        <x:v>TX0075, TX0076, TX0077, TX0078, TX0079, TX0043, TX0061</x:v>
      </x:c>
      <x:c r="G7" s="53" t="str">
        <x:v>برای پرداخت‌های پذیرنده، منظور/پروژه تعیین شود و صورت‌حساب‌های کامل دریافت شود تا اختلاف مانده ۳۱٬۶۳۰٬۰۰۰ ریال توضیح داده شود.</x:v>
      </x:c>
      <x:c r="H7" s="53" t="str">
        <x:v>recipts/photo_3_2026-10-10_14-07-27.jpg</x:v>
      </x:c>
    </x:row>
    <x:row r="8" ht="36" hidden="0" customHeight="1">
      <x:c r="A8" s="53" t="str">
        <x:v>ISS004</x:v>
      </x:c>
      <x:c r="B8" s="53" t="str">
        <x:v>زیاد</x:v>
      </x:c>
      <x:c r="C8" s="53" t="str">
        <x:v>پل تطبیق برنامهٔ معارفه ۱۴۰۵: ۲۷٬۲۳۵٬۰۰۰ ناخالص در برابر ۲۳٬۰۰۰٬۰۰۰ دفتر کل</x:v>
      </x:c>
      <x:c r="D8" s="53" t="str">
        <x:v>مجموع فروش ناخالص پلتفرم (۲۷٬۲۳۵٬۰۰۰) در برابر دریافت‌های دفتر اصلی (۲۳٬۰۰۰٬۰۰۰) همچنان تطبیق داده نشده است. فاکتور اسکای‌روم به مبلغ 4,257,000 همچنان بدون تطبیق مانده است. فاکتور غذا به مبلغ 9,987,900 اکنون با تأیید کاربر پرداخت‌شده تلقی می‌شود (TX0089)؛ خرید استیکر به مبلغ 950,000 به این رویداد تعلق دارد (TX0088). هیچ دریافت ثبت‌نام جدیدی استنباط نشده است.</x:v>
      </x:c>
      <x:c r="E8" s="54" t="n">
        <x:v>4235000</x:v>
      </x:c>
      <x:c r="F8" s="53" t="str">
        <x:v>TX0093, TX0094, TX0095, TX0082, TX0089</x:v>
      </x:c>
      <x:c r="G8" s="53" t="str">
        <x:v>صورت‌حساب پرداخت پلتفرم (کارمزدها و بازپرداخت‌ها) و واریزی را تهیه کنید. فقط یکی از دو حالت را ثبت کنید: مبلغ ناخالص همراه با کارمزدها یا مبلغ خالص؛ هرگز هر دو را با هم ثبت نکنید.</x:v>
      </x:c>
      <x:c r="H8" s="53" t="str">
        <x:v>physics_intro full report.pdf#page=1
Anjoman accounting.xlsx#مجموع!B45</x:v>
      </x:c>
    </x:row>
    <x:row r="9" ht="15" hidden="0" customHeight="1">
      <x:c r="A9" s="53" t="str">
        <x:v>ISS005</x:v>
      </x:c>
      <x:c r="B9" s="53" t="str">
        <x:v>متوسط</x:v>
      </x:c>
      <x:c r="C9" s="53" t="str">
        <x:v>خالص انتقال برنامهٔ معارفه ۱۴۰۴ فاقد واحد است</x:v>
      </x:c>
      <x:c r="D9" s="53" t="str">
        <x:v>17,650,000 بدون ذکر واحد. در صورتی که ریال باشد (1,765,000 تومان)، با خالص M3 دفتر کل برابر است. به‌عنوان انتقال داخلی در نظر گرفته شد.</x:v>
      </x:c>
      <x:c r="E9" s="54"/>
      <x:c r="F9" s="53" t="str">
        <x:v>TX0018, TX0014</x:v>
      </x:c>
      <x:c r="G9" s="53" t="str">
        <x:v>واحد را با امین یا بانک تأیید کنید.</x:v>
      </x:c>
      <x:c r="H9" s="53" t="str">
        <x:v>telegram export/photos/photo_12@01-10-2025_18-02-44.jpg</x:v>
      </x:c>
    </x:row>
    <x:row r="10" ht="24" hidden="0" customHeight="1">
      <x:c r="A10" s="53" t="str">
        <x:v>ISS006</x:v>
      </x:c>
      <x:c r="B10" s="53" t="str">
        <x:v>متوسط</x:v>
      </x:c>
      <x:c r="C10" s="53" t="str">
        <x:v>ردیف‌های تکراری دفتر</x:v>
      </x:c>
      <x:c r="D10" s="53" t="str">
        <x:v>مجموع D23 تکراری D20 شیرینی (۱٬۰۵۲٬۳۷۵) است. D12 احتمالاً تکراری آگهی D9 (۴۰۰٬۰۰۰) است.</x:v>
      </x:c>
      <x:c r="E10" s="54" t="n">
        <x:v>1452375</x:v>
      </x:c>
      <x:c r="F10" s="53" t="str">
        <x:v>TX0025, TX0010</x:v>
      </x:c>
      <x:c r="G10" s="53" t="str">
        <x:v>D23 را حذف کنید. D12 را با حسن تأیید کنید.</x:v>
      </x:c>
      <x:c r="H10" s="53" t="str">
        <x:v>Anjoman accounting.xlsx#مجموع!D23
Anjoman accounting.xlsx#مجموع!D12</x:v>
      </x:c>
    </x:row>
    <x:row r="11" ht="24" hidden="0" customHeight="1">
      <x:c r="A11" s="53" t="str">
        <x:v>ISS007</x:v>
      </x:c>
      <x:c r="B11" s="53" t="str">
        <x:v>متوسط</x:v>
      </x:c>
      <x:c r="C11" s="53" t="str">
        <x:v>جهت شاباش نقدی نامشخص است</x:v>
      </x:c>
      <x:c r="D11" s="53" t="str">
        <x:v>message111 reads '300000 cash shabash for the party'. The ledger treats it as an expense (D29), but it could be cash received. This Telegram/workbook item is outside recipts/ and is not resolved by the folder-wide expense confirmation.</x:v>
      </x:c>
      <x:c r="E11" s="54" t="n">
        <x:v>300000</x:v>
      </x:c>
      <x:c r="F11" s="53" t="str">
        <x:v>TX0036</x:v>
      </x:c>
      <x:c r="G11" s="53" t="str">
        <x:v>از خزانه‌دار بپرسید که وجه نقد دریافت شده یا پرداخت شده و چه کسی آن را نگه می‌دارد.</x:v>
      </x:c>
      <x:c r="H11" s="53" t="str">
        <x:v>telegram export/messages.html#message111</x:v>
      </x:c>
    </x:row>
    <x:row r="12" ht="36" hidden="0" customHeight="1">
      <x:c r="A12" s="53" t="str">
        <x:v>ISS008</x:v>
      </x:c>
      <x:c r="B12" s="53" t="str">
        <x:v>متوسط</x:v>
      </x:c>
      <x:c r="C12" s="53" t="str">
        <x:v>بازپرداخت‌ها و خریدهای داوطلبان یلدا</x:v>
      </x:c>
      <x:c r="D12" s="53" t="str">
        <x:v>بازپرداخت پرنیان به مبلغ 4,050,000 در دفتر کل اصلی وجود ندارد. مجموع خریدهای چاپی 3,359,139.9 است، یا 3,180,139.9 با کسر تکراری احتمالی C6. با احتساب ریبار که صرفاً صورتحساب است (495,000) مجموع 3,854,139.9 یا 3,675,139.9 می‌شود. این‌ها شکاف‌های مستندسازی موقت هستند، نه پرداخت مازاد تأییدشده. بازپرداخت حسین مستندسازی نشده است. مطالبات بردیا در مقابل پرداخت به یک پل تطبیق جداگانه نیاز دارد.</x:v>
      </x:c>
      <x:c r="E12" s="54" t="n">
        <x:v>4050000</x:v>
      </x:c>
      <x:c r="F12" s="53" t="str">
        <x:v>TX0050, TX0062, TX0063, TX0056, TX0058, TX0064, TX0069, TX0074</x:v>
      </x:c>
      <x:c r="G12" s="53" t="str">
        <x:v>جدول بازپرداخت به تفکیک هر داوطلب تهیه شود. مورد تکراری C6 و مبلغ ریبار تأیید شود.</x:v>
      </x:c>
      <x:c r="H12" s="53" t="str">
        <x:v>telegram export/files/CamScanner 13-05-2026 12.43 (1).pdf</x:v>
      </x:c>
    </x:row>
    <x:row r="13" ht="36" hidden="0" customHeight="1">
      <x:c r="A13" s="53" t="str">
        <x:v>ISS009</x:v>
      </x:c>
      <x:c r="B13" s="53" t="str">
        <x:v>متوسط</x:v>
      </x:c>
      <x:c r="C13" s="53" t="str">
        <x:v>ناسازگاری پیامک سپه یلدا</x:v>
      </x:c>
      <x:c r="D13" s="53" t="str">
        <x:v>برداشت مندرج در پیامک 100,037,800 با واحد چاپ‌نشده است (در صورت ریال بودن، 10,003,780 تومان). Message120 پرداخت‌ها یا انتقال‌های هزینه را توصیف می‌کند، نه درآمد. این مورد تبدیل‌نشده باقی مانده و ممکن است با هزینه‌های ثبت‌شده همپوشانی داشته باشد. ردیف‌های واریز صراحتاً ریالی هستند: 150,000، 500,000 و 1,000,000 تومان؛ مجموع آن‌ها با کل اعلام‌شده توسط خزانه‌دار، یعنی 15,790,000، برابر نیست. مانده‌ها حاکی از جابه‌جایی‌های ثبت‌نشده‌اند.</x:v>
      </x:c>
      <x:c r="E13" s="54"/>
      <x:c r="F13" s="53" t="str">
        <x:v>TX0049, TX0047</x:v>
      </x:c>
      <x:c r="G13" s="53" t="str">
        <x:v>صورت‌حساب کامل سپه را تهیه کنید و دریافت‌کنندگان وجه برداشت را فهرست کنید.</x:v>
      </x:c>
      <x:c r="H13" s="53" t="str">
        <x:v>telegram export/messages.html#message115</x:v>
      </x:c>
    </x:row>
    <x:row r="14" ht="15" hidden="0" customHeight="1">
      <x:c r="A14" s="53" t="str">
        <x:v>ISS010</x:v>
      </x:c>
      <x:c r="B14" s="53" t="str">
        <x:v>کم</x:v>
      </x:c>
      <x:c r="C14" s="53" t="str">
        <x:v>مبلغ پذیرایی غرفه</x:v>
      </x:c>
      <x:c r="D14" s="53" t="str">
        <x:v>رسید 235,000 را نشان می‌دهد؛ دفتر کل و پیام 230,000 را نشان می‌دهند.</x:v>
      </x:c>
      <x:c r="E14" s="54" t="n">
        <x:v>5000</x:v>
      </x:c>
      <x:c r="F14" s="53" t="str">
        <x:v>TX0031</x:v>
      </x:c>
      <x:c r="G14" s="53" t="str">
        <x:v>دفتر را مطابق مبلغ رسید اصلاح کنید.</x:v>
      </x:c>
      <x:c r="H14" s="53" t="str">
        <x:v>telegram export/photos/photo_40@27-06-2026_18-31-08.jpg</x:v>
      </x:c>
    </x:row>
    <x:row r="15" ht="24" hidden="0" customHeight="1">
      <x:c r="A15" s="53" t="str">
        <x:v>ISS011</x:v>
      </x:c>
      <x:c r="B15" s="53" t="str">
        <x:v>کم</x:v>
      </x:c>
      <x:c r="C15" s="53" t="str">
        <x:v>اقلام غایب از دفتر کل اصلی</x:v>
      </x:c>
      <x:c r="D15" s="53" t="str">
        <x:v>کارمزد انتقال ۹۰۰، دینا ضالی ۱۸۰,۰۰۰، پرنیان ۴,۰۵۰,۰۰۰. چاپ پوستر به مبلغ ۱۳,۰۰۰ مطابقت داده نشده است.</x:v>
      </x:c>
      <x:c r="E15" s="54" t="n">
        <x:v>4230900</x:v>
      </x:c>
      <x:c r="F15" s="53" t="str">
        <x:v>TX0008, TX0059, TX0062, TX0063, TX0042</x:v>
      </x:c>
      <x:c r="G15" s="53" t="str">
        <x:v>این موارد را به دفتر کل اضافه کنید.</x:v>
      </x:c>
      <x:c r="H15" s="53" t="str"/>
    </x:row>
    <x:row r="16" ht="24" hidden="0" customHeight="1">
      <x:c r="A16" s="53" t="str">
        <x:v>ISS012</x:v>
      </x:c>
      <x:c r="B16" s="53" t="str">
        <x:v>کم</x:v>
      </x:c>
      <x:c r="C16" s="53" t="str">
        <x:v>خطاهای فرمول و برچسب کارپوشه</x:v>
      </x:c>
      <x:c r="D16" s="53" t="str">
        <x:v>تطبیق!B7 در نسخه پالایش‌شده ارجاع دوری است (=B6-B7؛ باید B5-B6 باشد). طرف‌حساب TX-00002 نادرست است. TX-00044 تأییدشده علامت‌گذاری شده اما پرداختی ندارد. برگه مرداد D10-D12 را در نظر نگرفته است. کارمزد سهراب از قاعده گرد کردن به 100 هزار پیروی نمی‌کند (2,934→3,000).</x:v>
      </x:c>
      <x:c r="E16" s="54"/>
      <x:c r="F16" s="53" t="str">
        <x:v>TX0001, TX0002, TX0082</x:v>
      </x:c>
      <x:c r="G16" s="53" t="str">
        <x:v>فرمول‌ها و وضعیت‌ها را اصلاح کنید.</x:v>
      </x:c>
      <x:c r="H16" s="53" t="str">
        <x:v>Anjoman accounting - refined.xlsx#تطبیق!B7</x:v>
      </x:c>
    </x:row>
    <x:row r="17" ht="15" hidden="0" customHeight="1">
      <x:c r="A17" s="53" t="str">
        <x:v>ISS013</x:v>
      </x:c>
      <x:c r="B17" s="53" t="str">
        <x:v>کم</x:v>
      </x:c>
      <x:c r="C17" s="53" t="str">
        <x:v>تعارض تاریخ کمک مالی</x:v>
      </x:c>
      <x:c r="D17" s="53" t="str">
        <x:v>رسید 10 میلیونی مقیمی تاریخ ندارد. سربرگ پیام بازارسال‌شده 1404/08/28 است اما ماه دفتر آذر است.</x:v>
      </x:c>
      <x:c r="E17" s="54" t="n">
        <x:v>10000000</x:v>
      </x:c>
      <x:c r="F17" s="53" t="str">
        <x:v>TX0044</x:v>
      </x:c>
      <x:c r="G17" s="53" t="str">
        <x:v>تاریخ بانکی را تهیه کنید.</x:v>
      </x:c>
      <x:c r="H17" s="53" t="str">
        <x:v>telegram export/photos/photo_25@19-11-2025_11-46-31.jpg</x:v>
      </x:c>
    </x:row>
    <x:row r="18" ht="36" hidden="0" customHeight="1">
      <x:c r="A18" s="53" t="str">
        <x:v>ISS014</x:v>
      </x:c>
      <x:c r="B18" s="53" t="str">
        <x:v>کم</x:v>
      </x:c>
      <x:c r="C18" s="53" t="str">
        <x:v>تخصیص درآمد گزارش دوره‌ها</x:v>
      </x:c>
      <x:c r="D18" s="53" t="str">
        <x:v>گزارش‌های دوره، ۱۱٬۶۰۱، ۱۲٬۲۶۱ و ۹٬۷۸۱ را به‌عنوان تومان برچسب‌گذاری کرده‌اند. مجموع بر اساس واحد چاپ‌شده ۳۳٬۶۴۳ تومان است. مقیاس احتمالی هزارتومانی مجموعاً ۳۳٬۶۴۳٬۰۰۰ می‌شود، در برابر ۳۳٬۶۴۲٬۰۰۰ در دفتر؛ این مقیاس تأییدنشده است و فقط برای مقایسه به‌کار رفته، نه به‌عنوان درآمد اضافی. گزارش‌ها شامل شماره تلفن دانشجویان است.</x:v>
      </x:c>
      <x:c r="E18" s="54" t="n">
        <x:v>1000</x:v>
      </x:c>
      <x:c r="F18" s="53" t="str">
        <x:v>TX0001</x:v>
      </x:c>
      <x:c r="G18" s="53" t="str">
        <x:v>فقط به‌عنوان کنترل تخصیص در نظر گرفته شود. شماره‌های تلفن را حذف (مخفی) کنید.</x:v>
      </x:c>
      <x:c r="H18" s="53" t="str">
        <x:v>telegram export/files/report_Python.txt</x:v>
      </x:c>
    </x:row>
    <x:row r="19" ht="24" hidden="0" customHeight="1">
      <x:c r="A19" s="53" t="str">
        <x:v>ISS015</x:v>
      </x:c>
      <x:c r="B19" s="53" t="str">
        <x:v>متوسط</x:v>
      </x:c>
      <x:c r="C19" s="53" t="str">
        <x:v>پرداخت ششم حق‌التدریس مدرسهٔ تابستانه ۱۴۰۵ شناسایی نشده</x:v>
      </x:c>
      <x:c r="D19" s="53" t="str">
        <x:v>کاربر اعلام می‌کند شش رسید پوشه پرداخت به مدرسان هستند. پنج مورد بر اساس شواهد نام گیرنده و توضیح صریح تطبیق داده شده‌اند: TX0083-87، مجموع 11,500,000. TX0088 صراحتاً بسته‌های استیکر است، نه حق‌التدریس. مورد ششم میان هزینه‌های پوشه که قبلاً ثبت شده‌اند تطبیق‌نیافته باقی مانده است.</x:v>
      </x:c>
      <x:c r="E19" s="54"/>
      <x:c r="F19" s="53" t="str">
        <x:v>TX0083, TX0084, TX0085, TX0086, TX0087</x:v>
      </x:c>
      <x:c r="G19" s="53" t="str">
        <x:v>نام نفر ششم مربی/دریافت‌کننده یا نام فایل رسید ارائه شود. پرداخت اضافی ایجاد نشود و درآمد ثبت‌نام استنباط نشود.</x:v>
      </x:c>
      <x:c r="H19" s="53" t="str">
        <x:v>reports/2026-10-10/user_confirmation_2026-10-10.json</x:v>
      </x:c>
    </x:row>
  </x:sheetData>
  <x:mergeCells>
    <x:mergeCell ref="A2:F2"/>
  </x:mergeCells>
  <x:pageMargins left="0.7" right="0.7" top="0.75" bottom="0.75" header="0.3" footer="0.3"/>
  <x:tableParts count="1">
    <x:tablePart xmlns:r="http://schemas.openxmlformats.org/officeDocument/2006/relationships" r:id="R327acf5ddf5f4eaa"/>
  </x:tableParts>
</x:worksheet>
</file>

<file path=xl/worksheets/sheet10.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85" hidden="0" customWidth="1"/>
    <x:col min="3" max="3" width="15" hidden="0" customWidth="1"/>
    <x:col min="4" max="4" width="16" hidden="0" customWidth="1"/>
    <x:col min="5" max="5" width="75" hidden="0" customWidth="1"/>
    <x:col min="6" max="6" width="18" hidden="0" customWidth="1"/>
    <x:col min="7" max="7" width="40" hidden="0" customWidth="1"/>
    <x:col min="8" max="8" width="26" hidden="0" customWidth="1"/>
    <x:col min="9" max="9" width="25" hidden="0" customWidth="1"/>
    <x:col min="10" max="10" width="110" hidden="0" customWidth="1"/>
    <x:col min="11" max="11" width="120" hidden="0" customWidth="1"/>
  </x:cols>
  <x:sheetData>
    <x:row r="1" ht="15" hidden="0" customHeight="1">
      <x:c r="A1" s="51"/>
      <x:c r="B1" s="51"/>
      <x:c r="C1" s="51"/>
      <x:c r="D1" s="51"/>
      <x:c r="E1" s="51"/>
      <x:c r="F1" s="51"/>
      <x:c r="G1" s="51"/>
      <x:c r="H1" s="51"/>
      <x:c r="I1" s="51"/>
      <x:c r="J1" s="51"/>
      <x:c r="K1" s="51"/>
    </x:row>
    <x:row r="2" ht="16.799999237060547" hidden="0" customHeight="1">
      <x:c r="A2" s="52" t="str">
        <x:v>فهرست منابع و پوشش استخراج</x:v>
      </x:c>
      <x:c r="B2" s="51"/>
      <x:c r="C2" s="51"/>
      <x:c r="D2" s="51"/>
      <x:c r="E2" s="51"/>
      <x:c r="F2" s="51"/>
      <x:c r="G2" s="51"/>
      <x:c r="H2" s="51"/>
      <x:c r="I2" s="51"/>
      <x:c r="J2" s="51"/>
      <x:c r="K2" s="51"/>
    </x:row>
    <x:row r="3" ht="15" hidden="0" customHeight="1">
      <x:c r="A3" s="51"/>
      <x:c r="B3" s="51"/>
      <x:c r="C3" s="51"/>
      <x:c r="D3" s="51"/>
      <x:c r="E3" s="51"/>
      <x:c r="F3" s="51"/>
      <x:c r="G3" s="51"/>
      <x:c r="H3" s="51"/>
      <x:c r="I3" s="51"/>
      <x:c r="J3" s="51"/>
      <x:c r="K3" s="51"/>
    </x:row>
    <x:row r="4" ht="15" hidden="0" customHeight="1">
      <x:c r="A4" s="39" t="str">
        <x:v>شناسهٔ منبع</x:v>
      </x:c>
      <x:c r="B4" s="39" t="str">
        <x:v>فایل مخزن</x:v>
      </x:c>
      <x:c r="C4" s="39" t="str">
        <x:v>نوع فایل</x:v>
      </x:c>
      <x:c r="D4" s="39" t="str">
        <x:v>بایت</x:v>
      </x:c>
      <x:c r="E4" s="39" t="str">
        <x:v>SHA-256</x:v>
      </x:c>
      <x:c r="F4" s="39" t="str">
        <x:v>وضعیت خواندن</x:v>
      </x:c>
      <x:c r="G4" s="39" t="str">
        <x:v>شناسه‌های دفتر کل</x:v>
      </x:c>
      <x:c r="H4" s="39" t="str">
        <x:v>شناسه‌های پیام</x:v>
      </x:c>
      <x:c r="I4" s="39" t="str">
        <x:v>نحوه برخورد</x:v>
      </x:c>
      <x:c r="J4" s="39" t="str">
        <x:v>یادداشت‌ها</x:v>
      </x:c>
      <x:c r="K4" s="39" t="str">
        <x:v>نسخه برداشت‌شده از منبع گیت‌هاب</x:v>
      </x:c>
    </x:row>
    <x:row r="5" ht="15" hidden="0" customHeight="1">
      <x:c r="A5" s="53" t="str">
        <x:v>SRC001</x:v>
      </x:c>
      <x:c r="B5" s="53" t="str">
        <x:v>Anjoman accounting - refined.xlsx</x:v>
      </x:c>
      <x:c r="C5" s="53" t="str">
        <x:v>xlsx</x:v>
      </x:c>
      <x:c r="D5" s="53" t="n">
        <x:v>63212</x:v>
      </x:c>
      <x:c r="E5" s="53" t="str">
        <x:v>d77c540aba056a0bce5abaef9ac974fbf1f91ead2f0ea55d7ac1bc96b94a2228</x:v>
      </x:c>
      <x:c r="F5" s="53" t="str">
        <x:v>بررسی‌شده</x:v>
      </x:c>
      <x:c r="G5" s="53" t="str"/>
      <x:c r="H5" s="53" t="str"/>
      <x:c r="I5" s="53" t="str">
        <x:v>فقط برای زمینه</x:v>
      </x:c>
      <x:c r="J5" s="53" t="str">
        <x:v>نسخه مشتق‌شده از مجموع به‌همراه پیشنهادهای TX-00044..48. خطاها در ISS012 علامت‌گذاری شده‌اند.</x:v>
      </x:c>
      <x:c r="K5" s="53" t="str">
        <x:v>https://github.com/SireJeff/anjoman-accounting/blob/6a005a29ab910c0599fc061d27ea33fcbf7aa5d7/Anjoman%20accounting%20-%20refined.xlsx</x:v>
      </x:c>
    </x:row>
    <x:row r="6" ht="24" hidden="0" customHeight="1">
      <x:c r="A6" s="53" t="str">
        <x:v>SRC002</x:v>
      </x:c>
      <x:c r="B6" s="53" t="str">
        <x:v>Anjoman accounting.xlsx</x:v>
      </x:c>
      <x:c r="C6" s="53" t="str">
        <x:v>xlsx</x:v>
      </x:c>
      <x:c r="D6" s="53" t="n">
        <x:v>130028</x:v>
      </x:c>
      <x:c r="E6" s="53" t="str">
        <x:v>5701b246ebee5bd5db7fc022de097f47c34354e420bb59f08f4f2fc74a0bfcf0</x:v>
      </x:c>
      <x:c r="F6" s="53" t="str">
        <x:v>بررسی‌شده</x:v>
      </x:c>
      <x:c r="G6" s="53" t="str">
        <x:v>TX0001, TX0013, TX0014, TX0016, TX0017, TX0045, TX0093, TX0095</x:v>
      </x:c>
      <x:c r="H6" s="53" t="str"/>
      <x:c r="I6" s="53" t="str">
        <x:v>تطبیق‌شده</x:v>
      </x:c>
      <x:c r="J6" s="53" t="str">
        <x:v>هر ردیف مجموع در original_ledger_reconciliation نگاشت شده است. برگه‌های مرداد و شهریور زیرمجموعه‌اند.</x:v>
      </x:c>
      <x:c r="K6" s="53" t="str">
        <x:v>https://github.com/SireJeff/anjoman-accounting/blob/6a005a29ab910c0599fc061d27ea33fcbf7aa5d7/Anjoman%20accounting.xlsx</x:v>
      </x:c>
    </x:row>
    <x:row r="7" ht="15" hidden="0" customHeight="1">
      <x:c r="A7" s="53" t="str">
        <x:v>SRC003</x:v>
      </x:c>
      <x:c r="B7" s="53" t="str">
        <x:v>invoice-61150.pdf</x:v>
      </x:c>
      <x:c r="C7" s="53" t="str">
        <x:v>pdf</x:v>
      </x:c>
      <x:c r="D7" s="53" t="n">
        <x:v>153863</x:v>
      </x:c>
      <x:c r="E7" s="53" t="str">
        <x:v>06626a709e2a23bc59d3a5185c64e0a85b64e59ccf244cbb3b0867344bc07b57</x:v>
      </x:c>
      <x:c r="F7" s="53" t="str">
        <x:v>بررسی‌شده</x:v>
      </x:c>
      <x:c r="G7" s="53" t="str">
        <x:v>TX0082</x:v>
      </x:c>
      <x:c r="H7" s="53" t="str"/>
      <x:c r="I7" s="53" t="str">
        <x:v>استخراج‌شده</x:v>
      </x:c>
      <x:c r="J7" s="53" t="str">
        <x:v>صرفاً صورتحساب.</x:v>
      </x:c>
      <x:c r="K7" s="53" t="str">
        <x:v>https://github.com/SireJeff/anjoman-accounting/blob/6a005a29ab910c0599fc061d27ea33fcbf7aa5d7/invoice-61150.pdf</x:v>
      </x:c>
    </x:row>
    <x:row r="8" ht="15" hidden="0" customHeight="1">
      <x:c r="A8" s="53" t="str">
        <x:v>SRC004</x:v>
      </x:c>
      <x:c r="B8" s="53" t="str">
        <x:v>physics_intro full report.pdf</x:v>
      </x:c>
      <x:c r="C8" s="53" t="str">
        <x:v>pdf</x:v>
      </x:c>
      <x:c r="D8" s="53" t="n">
        <x:v>52198</x:v>
      </x:c>
      <x:c r="E8" s="53" t="str">
        <x:v>993061f6f022016308bbd6585c6ae0e8a2b67575c39f21e740659cc25da7dc70</x:v>
      </x:c>
      <x:c r="F8" s="53" t="str">
        <x:v>بررسی‌شده</x:v>
      </x:c>
      <x:c r="G8" s="53" t="str">
        <x:v>TX0094</x:v>
      </x:c>
      <x:c r="H8" s="53" t="str"/>
      <x:c r="I8" s="53" t="str">
        <x:v>استخراج‌شده</x:v>
      </x:c>
      <x:c r="J8" s="53" t="str">
        <x:v>صرفاً گزارش تجمیعی.</x:v>
      </x:c>
      <x:c r="K8" s="53" t="str">
        <x:v>https://github.com/SireJeff/anjoman-accounting/blob/6a005a29ab910c0599fc061d27ea33fcbf7aa5d7/physics_intro%20full%20report.pdf</x:v>
      </x:c>
    </x:row>
    <x:row r="9" ht="15" hidden="0" customHeight="1">
      <x:c r="A9" s="53" t="str">
        <x:v>SRC005</x:v>
      </x:c>
      <x:c r="B9" s="53" t="str">
        <x:v>recipts/photo_10_2026-10-10_11-09-04.jpg</x:v>
      </x:c>
      <x:c r="C9" s="53" t="str">
        <x:v>jpg</x:v>
      </x:c>
      <x:c r="D9" s="53" t="n">
        <x:v>49752</x:v>
      </x:c>
      <x:c r="E9" s="53" t="str">
        <x:v>b424f88e66186c7fdfcd19043e65ade1aef245c80f81328c53bd4c1354047ea3</x:v>
      </x:c>
      <x:c r="F9" s="53" t="str">
        <x:v>بررسی‌شده</x:v>
      </x:c>
      <x:c r="G9" s="53" t="str">
        <x:v>TX0090</x:v>
      </x:c>
      <x:c r="H9" s="53" t="str"/>
      <x:c r="I9" s="53" t="str">
        <x:v>استخراج‌شده</x:v>
      </x:c>
      <x:c r="J9" s="53" t="str"/>
      <x:c r="K9" s="53" t="str">
        <x:v>https://github.com/SireJeff/anjoman-accounting/blob/6a005a29ab910c0599fc061d27ea33fcbf7aa5d7/recipts/photo_10_2026-10-10_11-09-04.jpg</x:v>
      </x:c>
    </x:row>
    <x:row r="10" ht="15" hidden="0" customHeight="1">
      <x:c r="A10" s="53" t="str">
        <x:v>SRC006</x:v>
      </x:c>
      <x:c r="B10" s="53" t="str">
        <x:v>recipts/photo_11_2026-10-10_11-09-04.jpg</x:v>
      </x:c>
      <x:c r="C10" s="53" t="str">
        <x:v>jpg</x:v>
      </x:c>
      <x:c r="D10" s="53" t="n">
        <x:v>31986</x:v>
      </x:c>
      <x:c r="E10" s="53" t="str">
        <x:v>4b6a665eaaa0ff0a14e2f665cd7ef1480d78c90efa576fa0f1cf910698baacc6</x:v>
      </x:c>
      <x:c r="F10" s="53" t="str">
        <x:v>بررسی‌شده</x:v>
      </x:c>
      <x:c r="G10" s="53" t="str">
        <x:v>TX0091</x:v>
      </x:c>
      <x:c r="H10" s="53" t="str"/>
      <x:c r="I10" s="53" t="str">
        <x:v>استخراج‌شده</x:v>
      </x:c>
      <x:c r="J10" s="53" t="str"/>
      <x:c r="K10" s="53" t="str">
        <x:v>https://github.com/SireJeff/anjoman-accounting/blob/6a005a29ab910c0599fc061d27ea33fcbf7aa5d7/recipts/photo_11_2026-10-10_11-09-04.jpg</x:v>
      </x:c>
    </x:row>
    <x:row r="11" ht="15" hidden="0" customHeight="1">
      <x:c r="A11" s="53" t="str">
        <x:v>SRC007</x:v>
      </x:c>
      <x:c r="B11" s="53" t="str">
        <x:v>recipts/photo_12_2026-10-10_11-09-04.jpg</x:v>
      </x:c>
      <x:c r="C11" s="53" t="str">
        <x:v>jpg</x:v>
      </x:c>
      <x:c r="D11" s="53" t="n">
        <x:v>50026</x:v>
      </x:c>
      <x:c r="E11" s="53" t="str">
        <x:v>77e952d643e05bc03bdd136daa677561a5610e8049fb8d8aedfc24280909d917</x:v>
      </x:c>
      <x:c r="F11" s="53" t="str">
        <x:v>بررسی‌شده</x:v>
      </x:c>
      <x:c r="G11" s="53" t="str">
        <x:v>TX0092</x:v>
      </x:c>
      <x:c r="H11" s="53" t="str"/>
      <x:c r="I11" s="53" t="str">
        <x:v>استخراج‌شده</x:v>
      </x:c>
      <x:c r="J11" s="53" t="str"/>
      <x:c r="K11" s="53" t="str">
        <x:v>https://github.com/SireJeff/anjoman-accounting/blob/6a005a29ab910c0599fc061d27ea33fcbf7aa5d7/recipts/photo_12_2026-10-10_11-09-04.jpg</x:v>
      </x:c>
    </x:row>
    <x:row r="12" ht="15" hidden="0" customHeight="1">
      <x:c r="A12" s="53" t="str">
        <x:v>SRC008</x:v>
      </x:c>
      <x:c r="B12" s="53" t="str">
        <x:v>recipts/photo_1_2026-10-10_11-09-04.jpg</x:v>
      </x:c>
      <x:c r="C12" s="53" t="str">
        <x:v>jpg</x:v>
      </x:c>
      <x:c r="D12" s="53" t="n">
        <x:v>58923</x:v>
      </x:c>
      <x:c r="E12" s="53" t="str">
        <x:v>9b398cb3fd79cacf08994828e10209d3739b9ec072ff9dbdb29e456ad1a29262</x:v>
      </x:c>
      <x:c r="F12" s="53" t="str">
        <x:v>بررسی‌شده</x:v>
      </x:c>
      <x:c r="G12" s="53" t="str">
        <x:v>TX0083</x:v>
      </x:c>
      <x:c r="H12" s="53" t="str"/>
      <x:c r="I12" s="53" t="str">
        <x:v>استخراج‌شده</x:v>
      </x:c>
      <x:c r="J12" s="53" t="str"/>
      <x:c r="K12" s="53" t="str">
        <x:v>https://github.com/SireJeff/anjoman-accounting/blob/6a005a29ab910c0599fc061d27ea33fcbf7aa5d7/recipts/photo_1_2026-10-10_11-09-04.jpg</x:v>
      </x:c>
    </x:row>
    <x:row r="13" ht="15" hidden="0" customHeight="1">
      <x:c r="A13" s="53" t="str">
        <x:v>SRC009</x:v>
      </x:c>
      <x:c r="B13" s="53" t="str">
        <x:v>recipts/photo_1_2026-10-10_14-07-27.jpg</x:v>
      </x:c>
      <x:c r="C13" s="53" t="str">
        <x:v>jpg</x:v>
      </x:c>
      <x:c r="D13" s="53" t="n">
        <x:v>44693</x:v>
      </x:c>
      <x:c r="E13" s="53" t="str">
        <x:v>a50d13d6abcf5b4aacd05fa7fa773b5c01a6d2739577691d719c1bf334433b52</x:v>
      </x:c>
      <x:c r="F13" s="53" t="str">
        <x:v>بررسی‌شده</x:v>
      </x:c>
      <x:c r="G13" s="53" t="str">
        <x:v>TX0022</x:v>
      </x:c>
      <x:c r="H13" s="53" t="str"/>
      <x:c r="I13" s="53" t="str">
        <x:v>استخراج‌شده</x:v>
      </x:c>
      <x:c r="J13" s="53" t="str">
        <x:v>تکراری photo_16.</x:v>
      </x:c>
      <x:c r="K13" s="53" t="str">
        <x:v>https://github.com/SireJeff/anjoman-accounting/blob/6a005a29ab910c0599fc061d27ea33fcbf7aa5d7/recipts/photo_1_2026-10-10_14-07-27.jpg</x:v>
      </x:c>
    </x:row>
    <x:row r="14" ht="15" hidden="0" customHeight="1">
      <x:c r="A14" s="53" t="str">
        <x:v>SRC010</x:v>
      </x:c>
      <x:c r="B14" s="53" t="str">
        <x:v>recipts/photo_2026-10-10_12-16-28.jpg</x:v>
      </x:c>
      <x:c r="C14" s="53" t="str">
        <x:v>jpg</x:v>
      </x:c>
      <x:c r="D14" s="53" t="n">
        <x:v>160143</x:v>
      </x:c>
      <x:c r="E14" s="53" t="str">
        <x:v>99a77eab001c2f3c72a639a7ec75b0a97bb90c5e5e244a8cf575d61107bedcc9</x:v>
      </x:c>
      <x:c r="F14" s="53" t="str">
        <x:v>بررسی‌شده</x:v>
      </x:c>
      <x:c r="G14" s="53" t="str">
        <x:v>TX0089</x:v>
      </x:c>
      <x:c r="H14" s="53" t="str"/>
      <x:c r="I14" s="53" t="str">
        <x:v>استخراج‌شده</x:v>
      </x:c>
      <x:c r="J14" s="53" t="str">
        <x:v>صرفاً صورتحساب.</x:v>
      </x:c>
      <x:c r="K14" s="53" t="str">
        <x:v>https://github.com/SireJeff/anjoman-accounting/blob/6a005a29ab910c0599fc061d27ea33fcbf7aa5d7/recipts/photo_2026-10-10_12-16-28.jpg</x:v>
      </x:c>
    </x:row>
    <x:row r="15" ht="15" hidden="0" customHeight="1">
      <x:c r="A15" s="53" t="str">
        <x:v>SRC011</x:v>
      </x:c>
      <x:c r="B15" s="53" t="str">
        <x:v>recipts/photo_2_2026-10-10_11-09-04.jpg</x:v>
      </x:c>
      <x:c r="C15" s="53" t="str">
        <x:v>jpg</x:v>
      </x:c>
      <x:c r="D15" s="53" t="n">
        <x:v>57944</x:v>
      </x:c>
      <x:c r="E15" s="53" t="str">
        <x:v>5b8abe4d9a9d270a1a5cb0583fbb4ff555d551b16023d63343affe459769150f</x:v>
      </x:c>
      <x:c r="F15" s="53" t="str">
        <x:v>بررسی‌شده</x:v>
      </x:c>
      <x:c r="G15" s="53" t="str">
        <x:v>TX0084</x:v>
      </x:c>
      <x:c r="H15" s="53" t="str"/>
      <x:c r="I15" s="53" t="str">
        <x:v>استخراج‌شده</x:v>
      </x:c>
      <x:c r="J15" s="53" t="str"/>
      <x:c r="K15" s="53" t="str">
        <x:v>https://github.com/SireJeff/anjoman-accounting/blob/6a005a29ab910c0599fc061d27ea33fcbf7aa5d7/recipts/photo_2_2026-10-10_11-09-04.jpg</x:v>
      </x:c>
    </x:row>
    <x:row r="16" ht="15" hidden="0" customHeight="1">
      <x:c r="A16" s="53" t="str">
        <x:v>SRC012</x:v>
      </x:c>
      <x:c r="B16" s="53" t="str">
        <x:v>recipts/photo_2_2026-10-10_14-07-27.jpg</x:v>
      </x:c>
      <x:c r="C16" s="53" t="str">
        <x:v>jpg</x:v>
      </x:c>
      <x:c r="D16" s="53" t="n">
        <x:v>39945</x:v>
      </x:c>
      <x:c r="E16" s="53" t="str">
        <x:v>6f9a6e2d264b36faa78b41d76c6a1448122e4a243a95c361fd1281ae2bc47e4a</x:v>
      </x:c>
      <x:c r="F16" s="53" t="str">
        <x:v>بررسی‌شده</x:v>
      </x:c>
      <x:c r="G16" s="53" t="str">
        <x:v>TX0076</x:v>
      </x:c>
      <x:c r="H16" s="53" t="str"/>
      <x:c r="I16" s="53" t="str">
        <x:v>استخراج‌شده</x:v>
      </x:c>
      <x:c r="J16" s="53" t="str"/>
      <x:c r="K16" s="53" t="str">
        <x:v>https://github.com/SireJeff/anjoman-accounting/blob/6a005a29ab910c0599fc061d27ea33fcbf7aa5d7/recipts/photo_2_2026-10-10_14-07-27.jpg</x:v>
      </x:c>
    </x:row>
    <x:row r="17" ht="15" hidden="0" customHeight="1">
      <x:c r="A17" s="53" t="str">
        <x:v>SRC013</x:v>
      </x:c>
      <x:c r="B17" s="53" t="str">
        <x:v>recipts/photo_3_2026-10-10_11-09-04.jpg</x:v>
      </x:c>
      <x:c r="C17" s="53" t="str">
        <x:v>jpg</x:v>
      </x:c>
      <x:c r="D17" s="53" t="n">
        <x:v>48603</x:v>
      </x:c>
      <x:c r="E17" s="53" t="str">
        <x:v>5e9f3828411eb9b655e40edf6506756897d37de7bd8a35ea38c9eee80d9742c0</x:v>
      </x:c>
      <x:c r="F17" s="53" t="str">
        <x:v>بررسی‌شده</x:v>
      </x:c>
      <x:c r="G17" s="53" t="str">
        <x:v>TX0085</x:v>
      </x:c>
      <x:c r="H17" s="53" t="str"/>
      <x:c r="I17" s="53" t="str">
        <x:v>استخراج‌شده</x:v>
      </x:c>
      <x:c r="J17" s="53" t="str"/>
      <x:c r="K17" s="53" t="str">
        <x:v>https://github.com/SireJeff/anjoman-accounting/blob/6a005a29ab910c0599fc061d27ea33fcbf7aa5d7/recipts/photo_3_2026-10-10_11-09-04.jpg</x:v>
      </x:c>
    </x:row>
    <x:row r="18" ht="15" hidden="0" customHeight="1">
      <x:c r="A18" s="53" t="str">
        <x:v>SRC014</x:v>
      </x:c>
      <x:c r="B18" s="53" t="str">
        <x:v>recipts/photo_3_2026-10-10_14-07-27.jpg</x:v>
      </x:c>
      <x:c r="C18" s="53" t="str">
        <x:v>jpg</x:v>
      </x:c>
      <x:c r="D18" s="53" t="n">
        <x:v>45037</x:v>
      </x:c>
      <x:c r="E18" s="53" t="str">
        <x:v>89cfe54d6ab70d44461da04c4318c4b7a11f78947d9a61bda0e7266fbcc3bdab</x:v>
      </x:c>
      <x:c r="F18" s="53" t="str">
        <x:v>بررسی‌شده</x:v>
      </x:c>
      <x:c r="G18" s="53" t="str">
        <x:v>TX0075</x:v>
      </x:c>
      <x:c r="H18" s="53" t="str"/>
      <x:c r="I18" s="53" t="str">
        <x:v>استخراج‌شده</x:v>
      </x:c>
      <x:c r="J18" s="53" t="str"/>
      <x:c r="K18" s="53" t="str">
        <x:v>https://github.com/SireJeff/anjoman-accounting/blob/6a005a29ab910c0599fc061d27ea33fcbf7aa5d7/recipts/photo_3_2026-10-10_14-07-27.jpg</x:v>
      </x:c>
    </x:row>
    <x:row r="19" ht="15" hidden="0" customHeight="1">
      <x:c r="A19" s="53" t="str">
        <x:v>SRC015</x:v>
      </x:c>
      <x:c r="B19" s="53" t="str">
        <x:v>recipts/photo_4_2026-10-10_11-09-04.jpg</x:v>
      </x:c>
      <x:c r="C19" s="53" t="str">
        <x:v>jpg</x:v>
      </x:c>
      <x:c r="D19" s="53" t="n">
        <x:v>49704</x:v>
      </x:c>
      <x:c r="E19" s="53" t="str">
        <x:v>da2ff247cc7b5f3f295635d3052d3d599eebc0806a657613e584d1cce0639769</x:v>
      </x:c>
      <x:c r="F19" s="53" t="str">
        <x:v>بررسی‌شده</x:v>
      </x:c>
      <x:c r="G19" s="53" t="str">
        <x:v>TX0081</x:v>
      </x:c>
      <x:c r="H19" s="53" t="str"/>
      <x:c r="I19" s="53" t="str">
        <x:v>استخراج‌شده</x:v>
      </x:c>
      <x:c r="J19" s="53" t="str"/>
      <x:c r="K19" s="53" t="str">
        <x:v>https://github.com/SireJeff/anjoman-accounting/blob/6a005a29ab910c0599fc061d27ea33fcbf7aa5d7/recipts/photo_4_2026-10-10_11-09-04.jpg</x:v>
      </x:c>
    </x:row>
    <x:row r="20" ht="15" hidden="0" customHeight="1">
      <x:c r="A20" s="53" t="str">
        <x:v>SRC016</x:v>
      </x:c>
      <x:c r="B20" s="53" t="str">
        <x:v>recipts/photo_4_2026-10-10_14-07-27.jpg</x:v>
      </x:c>
      <x:c r="C20" s="53" t="str">
        <x:v>jpg</x:v>
      </x:c>
      <x:c r="D20" s="53" t="n">
        <x:v>44990</x:v>
      </x:c>
      <x:c r="E20" s="53" t="str">
        <x:v>44a438cc79650702edcbab92c8d1b6d5bc74008f068089c928f463f0657d2162</x:v>
      </x:c>
      <x:c r="F20" s="53" t="str">
        <x:v>بررسی‌شده</x:v>
      </x:c>
      <x:c r="G20" s="53" t="str">
        <x:v>TX0043</x:v>
      </x:c>
      <x:c r="H20" s="53" t="str"/>
      <x:c r="I20" s="53" t="str">
        <x:v>استخراج‌شده</x:v>
      </x:c>
      <x:c r="J20" s="53" t="str"/>
      <x:c r="K20" s="53" t="str">
        <x:v>https://github.com/SireJeff/anjoman-accounting/blob/6a005a29ab910c0599fc061d27ea33fcbf7aa5d7/recipts/photo_4_2026-10-10_14-07-27.jpg</x:v>
      </x:c>
    </x:row>
    <x:row r="21" ht="15" hidden="0" customHeight="1">
      <x:c r="A21" s="53" t="str">
        <x:v>SRC017</x:v>
      </x:c>
      <x:c r="B21" s="53" t="str">
        <x:v>recipts/photo_5_2026-10-10_11-09-04.jpg</x:v>
      </x:c>
      <x:c r="C21" s="53" t="str">
        <x:v>jpg</x:v>
      </x:c>
      <x:c r="D21" s="53" t="n">
        <x:v>49513</x:v>
      </x:c>
      <x:c r="E21" s="53" t="str">
        <x:v>556c6c35f9ce9e0fb5845f3b0d5b9a1b2696d7e1377af7f4c39d6a23e4360af2</x:v>
      </x:c>
      <x:c r="F21" s="53" t="str">
        <x:v>بررسی‌شده</x:v>
      </x:c>
      <x:c r="G21" s="53" t="str">
        <x:v>TX0080</x:v>
      </x:c>
      <x:c r="H21" s="53" t="str"/>
      <x:c r="I21" s="53" t="str">
        <x:v>استخراج‌شده</x:v>
      </x:c>
      <x:c r="J21" s="53" t="str"/>
      <x:c r="K21" s="53" t="str">
        <x:v>https://github.com/SireJeff/anjoman-accounting/blob/6a005a29ab910c0599fc061d27ea33fcbf7aa5d7/recipts/photo_5_2026-10-10_11-09-04.jpg</x:v>
      </x:c>
    </x:row>
    <x:row r="22" ht="15" hidden="0" customHeight="1">
      <x:c r="A22" s="53" t="str">
        <x:v>SRC018</x:v>
      </x:c>
      <x:c r="B22" s="53" t="str">
        <x:v>recipts/photo_5_2026-10-10_14-07-27.jpg</x:v>
      </x:c>
      <x:c r="C22" s="53" t="str">
        <x:v>jpg</x:v>
      </x:c>
      <x:c r="D22" s="53" t="n">
        <x:v>39739</x:v>
      </x:c>
      <x:c r="E22" s="53" t="str">
        <x:v>63f59a169b5a2bb5dd1bc0587d75173d88da586a0b9b30cbe7effcd5b676c67c</x:v>
      </x:c>
      <x:c r="F22" s="53" t="str">
        <x:v>بررسی‌شده</x:v>
      </x:c>
      <x:c r="G22" s="53" t="str">
        <x:v>TX0077</x:v>
      </x:c>
      <x:c r="H22" s="53" t="str"/>
      <x:c r="I22" s="53" t="str">
        <x:v>استخراج‌شده</x:v>
      </x:c>
      <x:c r="J22" s="53" t="str"/>
      <x:c r="K22" s="53" t="str">
        <x:v>https://github.com/SireJeff/anjoman-accounting/blob/6a005a29ab910c0599fc061d27ea33fcbf7aa5d7/recipts/photo_5_2026-10-10_14-07-27.jpg</x:v>
      </x:c>
    </x:row>
    <x:row r="23" ht="15" hidden="0" customHeight="1">
      <x:c r="A23" s="53" t="str">
        <x:v>SRC019</x:v>
      </x:c>
      <x:c r="B23" s="53" t="str">
        <x:v>recipts/photo_6_2026-10-10_11-09-04.jpg</x:v>
      </x:c>
      <x:c r="C23" s="53" t="str">
        <x:v>jpg</x:v>
      </x:c>
      <x:c r="D23" s="53" t="n">
        <x:v>57246</x:v>
      </x:c>
      <x:c r="E23" s="53" t="str">
        <x:v>3e2419ef0ccbe67c3e775ffb4f32e97152e3923bab3c3760071727253938e142</x:v>
      </x:c>
      <x:c r="F23" s="53" t="str">
        <x:v>بررسی‌شده</x:v>
      </x:c>
      <x:c r="G23" s="53" t="str">
        <x:v>TX0088</x:v>
      </x:c>
      <x:c r="H23" s="53" t="str"/>
      <x:c r="I23" s="53" t="str">
        <x:v>استخراج‌شده</x:v>
      </x:c>
      <x:c r="J23" s="53" t="str"/>
      <x:c r="K23" s="53" t="str">
        <x:v>https://github.com/SireJeff/anjoman-accounting/blob/6a005a29ab910c0599fc061d27ea33fcbf7aa5d7/recipts/photo_6_2026-10-10_11-09-04.jpg</x:v>
      </x:c>
    </x:row>
    <x:row r="24" ht="15" hidden="0" customHeight="1">
      <x:c r="A24" s="53" t="str">
        <x:v>SRC020</x:v>
      </x:c>
      <x:c r="B24" s="53" t="str">
        <x:v>recipts/photo_6_2026-10-10_14-07-27.jpg</x:v>
      </x:c>
      <x:c r="C24" s="53" t="str">
        <x:v>jpg</x:v>
      </x:c>
      <x:c r="D24" s="53" t="n">
        <x:v>41211</x:v>
      </x:c>
      <x:c r="E24" s="53" t="str">
        <x:v>2a51ef05147371b78e220f491a2c3e82578cb8a9cc8a65128cd503f3f2eaf183</x:v>
      </x:c>
      <x:c r="F24" s="53" t="str">
        <x:v>بررسی‌شده</x:v>
      </x:c>
      <x:c r="G24" s="53" t="str">
        <x:v>TX0061</x:v>
      </x:c>
      <x:c r="H24" s="53" t="str"/>
      <x:c r="I24" s="53" t="str">
        <x:v>استخراج‌شده</x:v>
      </x:c>
      <x:c r="J24" s="53" t="str"/>
      <x:c r="K24" s="53" t="str">
        <x:v>https://github.com/SireJeff/anjoman-accounting/blob/6a005a29ab910c0599fc061d27ea33fcbf7aa5d7/recipts/photo_6_2026-10-10_14-07-27.jpg</x:v>
      </x:c>
    </x:row>
    <x:row r="25" ht="15" hidden="0" customHeight="1">
      <x:c r="A25" s="53" t="str">
        <x:v>SRC021</x:v>
      </x:c>
      <x:c r="B25" s="53" t="str">
        <x:v>recipts/photo_7_2026-10-10_11-09-04.jpg</x:v>
      </x:c>
      <x:c r="C25" s="53" t="str">
        <x:v>jpg</x:v>
      </x:c>
      <x:c r="D25" s="53" t="n">
        <x:v>49510</x:v>
      </x:c>
      <x:c r="E25" s="53" t="str">
        <x:v>805ebbd2b231c7cf1c2858b5a056938b59dd5c7ccaed44d74c4edc20f4b57ce2</x:v>
      </x:c>
      <x:c r="F25" s="53" t="str">
        <x:v>بررسی‌شده</x:v>
      </x:c>
      <x:c r="G25" s="53" t="str">
        <x:v>TX0086</x:v>
      </x:c>
      <x:c r="H25" s="53" t="str"/>
      <x:c r="I25" s="53" t="str">
        <x:v>استخراج‌شده</x:v>
      </x:c>
      <x:c r="J25" s="53" t="str"/>
      <x:c r="K25" s="53" t="str">
        <x:v>https://github.com/SireJeff/anjoman-accounting/blob/6a005a29ab910c0599fc061d27ea33fcbf7aa5d7/recipts/photo_7_2026-10-10_11-09-04.jpg</x:v>
      </x:c>
    </x:row>
    <x:row r="26" ht="15" hidden="0" customHeight="1">
      <x:c r="A26" s="53" t="str">
        <x:v>SRC022</x:v>
      </x:c>
      <x:c r="B26" s="53" t="str">
        <x:v>recipts/photo_7_2026-10-10_14-07-27.jpg</x:v>
      </x:c>
      <x:c r="C26" s="53" t="str">
        <x:v>jpg</x:v>
      </x:c>
      <x:c r="D26" s="53" t="n">
        <x:v>44918</x:v>
      </x:c>
      <x:c r="E26" s="53" t="str">
        <x:v>1bfe3e9b9076ece14313b068bc35b4b58c247e5b9fbf0c8ac9d9161c5a1eab10</x:v>
      </x:c>
      <x:c r="F26" s="53" t="str">
        <x:v>بررسی‌شده</x:v>
      </x:c>
      <x:c r="G26" s="53" t="str">
        <x:v>TX0079</x:v>
      </x:c>
      <x:c r="H26" s="53" t="str"/>
      <x:c r="I26" s="53" t="str">
        <x:v>استخراج‌شده</x:v>
      </x:c>
      <x:c r="J26" s="53" t="str"/>
      <x:c r="K26" s="53" t="str">
        <x:v>https://github.com/SireJeff/anjoman-accounting/blob/6a005a29ab910c0599fc061d27ea33fcbf7aa5d7/recipts/photo_7_2026-10-10_14-07-27.jpg</x:v>
      </x:c>
    </x:row>
    <x:row r="27" ht="15" hidden="0" customHeight="1">
      <x:c r="A27" s="53" t="str">
        <x:v>SRC023</x:v>
      </x:c>
      <x:c r="B27" s="53" t="str">
        <x:v>recipts/photo_8_2026-10-10_11-09-04.jpg</x:v>
      </x:c>
      <x:c r="C27" s="53" t="str">
        <x:v>jpg</x:v>
      </x:c>
      <x:c r="D27" s="53" t="n">
        <x:v>48893</x:v>
      </x:c>
      <x:c r="E27" s="53" t="str">
        <x:v>75fee797d13ddb85ea935721b36fb145c6c9fe6b2ea11406f10a551c57acac32</x:v>
      </x:c>
      <x:c r="F27" s="53" t="str">
        <x:v>بررسی‌شده</x:v>
      </x:c>
      <x:c r="G27" s="53" t="str">
        <x:v>TX0087</x:v>
      </x:c>
      <x:c r="H27" s="53" t="str"/>
      <x:c r="I27" s="53" t="str">
        <x:v>استخراج‌شده</x:v>
      </x:c>
      <x:c r="J27" s="53" t="str"/>
      <x:c r="K27" s="53" t="str">
        <x:v>https://github.com/SireJeff/anjoman-accounting/blob/6a005a29ab910c0599fc061d27ea33fcbf7aa5d7/recipts/photo_8_2026-10-10_11-09-04.jpg</x:v>
      </x:c>
    </x:row>
    <x:row r="28" ht="15" hidden="0" customHeight="1">
      <x:c r="A28" s="53" t="str">
        <x:v>SRC024</x:v>
      </x:c>
      <x:c r="B28" s="53" t="str">
        <x:v>recipts/photo_8_2026-10-10_14-07-27.jpg</x:v>
      </x:c>
      <x:c r="C28" s="53" t="str">
        <x:v>jpg</x:v>
      </x:c>
      <x:c r="D28" s="53" t="n">
        <x:v>39907</x:v>
      </x:c>
      <x:c r="E28" s="53" t="str">
        <x:v>ae9fe7eccdae6bf86a1de9ecb8dc330494dec3835c76a1f55a0dd695297689b8</x:v>
      </x:c>
      <x:c r="F28" s="53" t="str">
        <x:v>بررسی‌شده</x:v>
      </x:c>
      <x:c r="G28" s="53" t="str">
        <x:v>TX0078</x:v>
      </x:c>
      <x:c r="H28" s="53" t="str"/>
      <x:c r="I28" s="53" t="str">
        <x:v>استخراج‌شده</x:v>
      </x:c>
      <x:c r="J28" s="53" t="str"/>
      <x:c r="K28" s="53" t="str">
        <x:v>https://github.com/SireJeff/anjoman-accounting/blob/6a005a29ab910c0599fc061d27ea33fcbf7aa5d7/recipts/photo_8_2026-10-10_14-07-27.jpg</x:v>
      </x:c>
    </x:row>
    <x:row r="29" ht="24" hidden="0" customHeight="1">
      <x:c r="A29" s="53" t="str">
        <x:v>SRC025</x:v>
      </x:c>
      <x:c r="B29" s="53" t="str">
        <x:v>telegram export/files/CamScanner 13-05-2026 12.43 (1).pdf</x:v>
      </x:c>
      <x:c r="C29" s="53" t="str">
        <x:v>pdf</x:v>
      </x:c>
      <x:c r="D29" s="53" t="n">
        <x:v>7377808</x:v>
      </x:c>
      <x:c r="E29" s="53" t="str">
        <x:v>6710c8248b7f8f3fb3ccc8ef74c9e5f017aa69fcd6c02fb1e5e4f8d33d134b2b</x:v>
      </x:c>
      <x:c r="F29" s="53" t="str">
        <x:v>بررسی‌شده</x:v>
      </x:c>
      <x:c r="G29" s="53" t="str">
        <x:v>TX0064, TX0065, TX0066, TX0067, TX0068, TX0069, TX0070, TX0071, TX0072, TX0073, TX0074</x:v>
      </x:c>
      <x:c r="H29" s="53" t="str">
        <x:v>message124</x:v>
      </x:c>
      <x:c r="I29" s="53" t="str">
        <x:v>استخراج‌شده</x:v>
      </x:c>
      <x:c r="J29" s="53" t="str">
        <x:v>11 صفحه = scan_pages_01-03، 04-06، 07-09، 10-11. بررسی مستقل صفحات انجام شده است.</x:v>
      </x:c>
      <x:c r="K29" s="53" t="str">
        <x:v>https://github.com/SireJeff/anjoman-accounting/blob/6a005a29ab910c0599fc061d27ea33fcbf7aa5d7/telegram%20export/files/CamScanner%2013-05-2026%2012.43%20(1).pdf</x:v>
      </x:c>
    </x:row>
    <x:row r="30" ht="15" hidden="0" customHeight="1">
      <x:c r="A30" s="53" t="str">
        <x:v>SRC026</x:v>
      </x:c>
      <x:c r="B30" s="53" t="str">
        <x:v>telegram export/files/dk-file-2025-10-16-14-43-08.pdf</x:v>
      </x:c>
      <x:c r="C30" s="53" t="str">
        <x:v>pdf</x:v>
      </x:c>
      <x:c r="D30" s="53" t="n">
        <x:v>326283</x:v>
      </x:c>
      <x:c r="E30" s="53" t="str">
        <x:v>6e8ce528a639e8464eeb696a426eea1e00398cec8ff5e910340153fd01552139</x:v>
      </x:c>
      <x:c r="F30" s="53" t="str">
        <x:v>بررسی‌شده</x:v>
      </x:c>
      <x:c r="G30" s="53" t="str">
        <x:v>TX0032</x:v>
      </x:c>
      <x:c r="H30" s="53" t="str">
        <x:v>message66</x:v>
      </x:c>
      <x:c r="I30" s="53" t="str">
        <x:v>تطبیق‌شده</x:v>
      </x:c>
      <x:c r="J30" s="53" t="str">
        <x:v>INV001/002.</x:v>
      </x:c>
      <x:c r="K30" s="53" t="str">
        <x:v>https://github.com/SireJeff/anjoman-accounting/blob/6a005a29ab910c0599fc061d27ea33fcbf7aa5d7/telegram%20export/files/dk-file-2025-10-16-14-43-08.pdf</x:v>
      </x:c>
    </x:row>
    <x:row r="31" ht="15" hidden="0" customHeight="1">
      <x:c r="A31" s="53" t="str">
        <x:v>SRC027</x:v>
      </x:c>
      <x:c r="B31" s="53" t="str">
        <x:v>telegram export/files/report_LaTeX.txt</x:v>
      </x:c>
      <x:c r="C31" s="53" t="str">
        <x:v>txt</x:v>
      </x:c>
      <x:c r="D31" s="53" t="n">
        <x:v>6858</x:v>
      </x:c>
      <x:c r="E31" s="53" t="str">
        <x:v>31bbba72112289413c94d94087af8adf90da26ee8f61c7340c3042896a931038</x:v>
      </x:c>
      <x:c r="F31" s="53" t="str">
        <x:v>بررسی‌شده</x:v>
      </x:c>
      <x:c r="G31" s="53" t="str">
        <x:v>TX0001</x:v>
      </x:c>
      <x:c r="H31" s="53" t="str">
        <x:v>message7</x:v>
      </x:c>
      <x:c r="I31" s="53" t="str">
        <x:v>فقط برای زمینه</x:v>
      </x:c>
      <x:c r="J31" s="53" t="str">
        <x:v>کنترل تخصیص.</x:v>
      </x:c>
      <x:c r="K31" s="53" t="str">
        <x:v>https://github.com/SireJeff/anjoman-accounting/blob/6a005a29ab910c0599fc061d27ea33fcbf7aa5d7/telegram%20export/files/report_LaTeX.txt</x:v>
      </x:c>
    </x:row>
    <x:row r="32" ht="15" hidden="0" customHeight="1">
      <x:c r="A32" s="53" t="str">
        <x:v>SRC028</x:v>
      </x:c>
      <x:c r="B32" s="53" t="str">
        <x:v>telegram export/files/report_Mathematica.txt</x:v>
      </x:c>
      <x:c r="C32" s="53" t="str">
        <x:v>txt</x:v>
      </x:c>
      <x:c r="D32" s="53" t="n">
        <x:v>5711</x:v>
      </x:c>
      <x:c r="E32" s="53" t="str">
        <x:v>63b8607b7119b6c9b55fc9d03c59faa2b7722b6d12fd9ec43f51827b9048224b</x:v>
      </x:c>
      <x:c r="F32" s="53" t="str">
        <x:v>بررسی‌شده</x:v>
      </x:c>
      <x:c r="G32" s="53" t="str">
        <x:v>TX0001</x:v>
      </x:c>
      <x:c r="H32" s="53" t="str">
        <x:v>message8</x:v>
      </x:c>
      <x:c r="I32" s="53" t="str">
        <x:v>فقط برای زمینه</x:v>
      </x:c>
      <x:c r="J32" s="53" t="str">
        <x:v>کنترل تخصیص.</x:v>
      </x:c>
      <x:c r="K32" s="53" t="str">
        <x:v>https://github.com/SireJeff/anjoman-accounting/blob/6a005a29ab910c0599fc061d27ea33fcbf7aa5d7/telegram%20export/files/report_Mathematica.txt</x:v>
      </x:c>
    </x:row>
    <x:row r="33" ht="15" hidden="0" customHeight="1">
      <x:c r="A33" s="53" t="str">
        <x:v>SRC029</x:v>
      </x:c>
      <x:c r="B33" s="53" t="str">
        <x:v>telegram export/files/report_Python.txt</x:v>
      </x:c>
      <x:c r="C33" s="53" t="str">
        <x:v>txt</x:v>
      </x:c>
      <x:c r="D33" s="53" t="n">
        <x:v>6285</x:v>
      </x:c>
      <x:c r="E33" s="53" t="str">
        <x:v>8ff96f7277fc07553a6ac271872413e31de240ec23f25984e53ebd6202e8e6b6</x:v>
      </x:c>
      <x:c r="F33" s="53" t="str">
        <x:v>بررسی‌شده</x:v>
      </x:c>
      <x:c r="G33" s="53" t="str">
        <x:v>TX0001</x:v>
      </x:c>
      <x:c r="H33" s="53" t="str">
        <x:v>message6</x:v>
      </x:c>
      <x:c r="I33" s="53" t="str">
        <x:v>فقط برای زمینه</x:v>
      </x:c>
      <x:c r="J33" s="53" t="str">
        <x:v>کنترل تخصیص؛ شامل اطلاعات شخصی است.</x:v>
      </x:c>
      <x:c r="K33" s="53" t="str">
        <x:v>https://github.com/SireJeff/anjoman-accounting/blob/6a005a29ab910c0599fc061d27ea33fcbf7aa5d7/telegram%20export/files/report_Python.txt</x:v>
      </x:c>
    </x:row>
    <x:row r="34" ht="36" hidden="0" customHeight="1">
      <x:c r="A34" s="53" t="str">
        <x:v>SRC030</x:v>
      </x:c>
      <x:c r="B34" s="53" t="str">
        <x:v>telegram export/messages.html</x:v>
      </x:c>
      <x:c r="C34" s="53" t="str">
        <x:v>html</x:v>
      </x:c>
      <x:c r="D34" s="53" t="n">
        <x:v>116651</x:v>
      </x:c>
      <x:c r="E34" s="53" t="str">
        <x:v>4ac19a5c1db97672da0893539fa00e862d2f986c2b12a577bfe816891b24e7e4</x:v>
      </x:c>
      <x:c r="F34" s="53" t="str">
        <x:v>بررسی‌شده</x:v>
      </x:c>
      <x:c r="G34" s="53" t="str">
        <x:v>TX0008, TX0018, TX0029, TX0030, TX0035, TX0036, TX0039, TX0040, TX0041, TX0047, TX0048, TX0049, TX0058</x:v>
      </x:c>
      <x:c r="H34" s="53" t="str"/>
      <x:c r="I34" s="53" t="str">
        <x:v>تطبیق‌شده</x:v>
      </x:c>
      <x:c r="J34" s="53" t="str">
        <x:v>همه پیام‌های مالی نگاشت شدند. گفتگوهای غیرمالی فقط زمینه‌اند (تعهدات در project_notes).</x:v>
      </x:c>
      <x:c r="K34" s="53" t="str">
        <x:v>https://github.com/SireJeff/anjoman-accounting/blob/6a005a29ab910c0599fc061d27ea33fcbf7aa5d7/telegram%20export/messages.html</x:v>
      </x:c>
    </x:row>
    <x:row r="35" ht="24" hidden="0" customHeight="1">
      <x:c r="A35" s="53" t="str">
        <x:v>SRC031</x:v>
      </x:c>
      <x:c r="B35" s="53" t="str">
        <x:v>telegram export/photos/photo_10@15-08-2025_18-28-22.jpg</x:v>
      </x:c>
      <x:c r="C35" s="53" t="str">
        <x:v>jpg</x:v>
      </x:c>
      <x:c r="D35" s="53" t="n">
        <x:v>74672</x:v>
      </x:c>
      <x:c r="E35" s="53" t="str">
        <x:v>28455c00bd0229cddc0b8874a8b025fc25700f4e553b6c67bdfc9082b2cad0b7</x:v>
      </x:c>
      <x:c r="F35" s="53" t="str">
        <x:v>بررسی‌شده</x:v>
      </x:c>
      <x:c r="G35" s="53" t="str">
        <x:v>TX0012</x:v>
      </x:c>
      <x:c r="H35" s="53" t="str">
        <x:v>message47</x:v>
      </x:c>
      <x:c r="I35" s="53" t="str">
        <x:v>استخراج‌شده</x:v>
      </x:c>
      <x:c r="J35" s="53" t="str"/>
      <x:c r="K35" s="53" t="str">
        <x:v>https://github.com/SireJeff/anjoman-accounting/blob/6a005a29ab910c0599fc061d27ea33fcbf7aa5d7/telegram%20export/photos/photo_10%4015-08-2025_18-28-22.jpg</x:v>
      </x:c>
    </x:row>
    <x:row r="36" ht="24" hidden="0" customHeight="1">
      <x:c r="A36" s="53" t="str">
        <x:v>SRC032</x:v>
      </x:c>
      <x:c r="B36" s="53" t="str">
        <x:v>telegram export/photos/photo_11@04-09-2025_14-05-56.jpg</x:v>
      </x:c>
      <x:c r="C36" s="53" t="str">
        <x:v>jpg</x:v>
      </x:c>
      <x:c r="D36" s="53" t="n">
        <x:v>56585</x:v>
      </x:c>
      <x:c r="E36" s="53" t="str">
        <x:v>dba6c9549b471a9a2d016b29b57970c53eedf21a4f80e3a841478cf04784555e</x:v>
      </x:c>
      <x:c r="F36" s="53" t="str">
        <x:v>بررسی‌شده</x:v>
      </x:c>
      <x:c r="G36" s="53" t="str">
        <x:v>TX0015</x:v>
      </x:c>
      <x:c r="H36" s="53" t="str">
        <x:v>message48</x:v>
      </x:c>
      <x:c r="I36" s="53" t="str">
        <x:v>استخراج‌شده</x:v>
      </x:c>
      <x:c r="J36" s="53" t="str"/>
      <x:c r="K36" s="53" t="str">
        <x:v>https://github.com/SireJeff/anjoman-accounting/blob/6a005a29ab910c0599fc061d27ea33fcbf7aa5d7/telegram%20export/photos/photo_11%4004-09-2025_14-05-56.jpg</x:v>
      </x:c>
    </x:row>
    <x:row r="37" ht="24" hidden="0" customHeight="1">
      <x:c r="A37" s="53" t="str">
        <x:v>SRC033</x:v>
      </x:c>
      <x:c r="B37" s="53" t="str">
        <x:v>telegram export/photos/photo_12@01-10-2025_18-02-44.jpg</x:v>
      </x:c>
      <x:c r="C37" s="53" t="str">
        <x:v>jpg</x:v>
      </x:c>
      <x:c r="D37" s="53" t="n">
        <x:v>48640</x:v>
      </x:c>
      <x:c r="E37" s="53" t="str">
        <x:v>6295ac27d8bc4463d51132d3a86a8e01dc37946b107ee50d0c77ceffe9470b4c</x:v>
      </x:c>
      <x:c r="F37" s="53" t="str">
        <x:v>بررسی‌شده</x:v>
      </x:c>
      <x:c r="G37" s="53" t="str">
        <x:v>TX0018</x:v>
      </x:c>
      <x:c r="H37" s="53" t="str">
        <x:v>message51</x:v>
      </x:c>
      <x:c r="I37" s="53" t="str">
        <x:v>استخراج‌شده</x:v>
      </x:c>
      <x:c r="J37" s="53" t="str"/>
      <x:c r="K37" s="53" t="str">
        <x:v>https://github.com/SireJeff/anjoman-accounting/blob/6a005a29ab910c0599fc061d27ea33fcbf7aa5d7/telegram%20export/photos/photo_12%4001-10-2025_18-02-44.jpg</x:v>
      </x:c>
    </x:row>
    <x:row r="38" ht="24" hidden="0" customHeight="1">
      <x:c r="A38" s="53" t="str">
        <x:v>SRC034</x:v>
      </x:c>
      <x:c r="B38" s="53" t="str">
        <x:v>telegram export/photos/photo_13@12-10-2025_10-24-38.jpg</x:v>
      </x:c>
      <x:c r="C38" s="53" t="str">
        <x:v>jpg</x:v>
      </x:c>
      <x:c r="D38" s="53" t="n">
        <x:v>66592</x:v>
      </x:c>
      <x:c r="E38" s="53" t="str">
        <x:v>6d79bcdee6b1e2fb274811a327e44deb472e519ef16ca2cb2633fddb9da7e083</x:v>
      </x:c>
      <x:c r="F38" s="53" t="str">
        <x:v>بررسی‌شده</x:v>
      </x:c>
      <x:c r="G38" s="53" t="str">
        <x:v>TX0020</x:v>
      </x:c>
      <x:c r="H38" s="53" t="str">
        <x:v>message61</x:v>
      </x:c>
      <x:c r="I38" s="53" t="str">
        <x:v>استخراج‌شده</x:v>
      </x:c>
      <x:c r="J38" s="53" t="str"/>
      <x:c r="K38" s="53" t="str">
        <x:v>https://github.com/SireJeff/anjoman-accounting/blob/6a005a29ab910c0599fc061d27ea33fcbf7aa5d7/telegram%20export/photos/photo_13%4012-10-2025_10-24-38.jpg</x:v>
      </x:c>
    </x:row>
    <x:row r="39" ht="24" hidden="0" customHeight="1">
      <x:c r="A39" s="53" t="str">
        <x:v>SRC035</x:v>
      </x:c>
      <x:c r="B39" s="53" t="str">
        <x:v>telegram export/photos/photo_14@15-10-2025_14-18-25.jpg</x:v>
      </x:c>
      <x:c r="C39" s="53" t="str">
        <x:v>jpg</x:v>
      </x:c>
      <x:c r="D39" s="53" t="n">
        <x:v>69226</x:v>
      </x:c>
      <x:c r="E39" s="53" t="str">
        <x:v>b214b33a77c58bb0428ba09719496e21696b82ae4055292c9711694e4e16fd3b</x:v>
      </x:c>
      <x:c r="F39" s="53" t="str">
        <x:v>بررسی‌شده</x:v>
      </x:c>
      <x:c r="G39" s="53" t="str">
        <x:v>TX0024</x:v>
      </x:c>
      <x:c r="H39" s="53" t="str">
        <x:v>message62</x:v>
      </x:c>
      <x:c r="I39" s="53" t="str">
        <x:v>استخراج‌شده</x:v>
      </x:c>
      <x:c r="J39" s="53" t="str"/>
      <x:c r="K39" s="53" t="str">
        <x:v>https://github.com/SireJeff/anjoman-accounting/blob/6a005a29ab910c0599fc061d27ea33fcbf7aa5d7/telegram%20export/photos/photo_14%4015-10-2025_14-18-25.jpg</x:v>
      </x:c>
    </x:row>
    <x:row r="40" ht="24" hidden="0" customHeight="1">
      <x:c r="A40" s="53" t="str">
        <x:v>SRC036</x:v>
      </x:c>
      <x:c r="B40" s="53" t="str">
        <x:v>telegram export/photos/photo_15@15-10-2025_14-18-25.jpg</x:v>
      </x:c>
      <x:c r="C40" s="53" t="str">
        <x:v>jpg</x:v>
      </x:c>
      <x:c r="D40" s="53" t="n">
        <x:v>64998</x:v>
      </x:c>
      <x:c r="E40" s="53" t="str">
        <x:v>f31ffa6bdd2395d18e073911daffc69b21952eaef6f5b1d6bcf7beacb8193f96</x:v>
      </x:c>
      <x:c r="F40" s="53" t="str">
        <x:v>بررسی‌شده</x:v>
      </x:c>
      <x:c r="G40" s="53" t="str">
        <x:v>TX0019</x:v>
      </x:c>
      <x:c r="H40" s="53" t="str">
        <x:v>message63</x:v>
      </x:c>
      <x:c r="I40" s="53" t="str">
        <x:v>استخراج‌شده</x:v>
      </x:c>
      <x:c r="J40" s="53" t="str"/>
      <x:c r="K40" s="53" t="str">
        <x:v>https://github.com/SireJeff/anjoman-accounting/blob/6a005a29ab910c0599fc061d27ea33fcbf7aa5d7/telegram%20export/photos/photo_15%4015-10-2025_14-18-25.jpg</x:v>
      </x:c>
    </x:row>
    <x:row r="41" ht="24" hidden="0" customHeight="1">
      <x:c r="A41" s="53" t="str">
        <x:v>SRC037</x:v>
      </x:c>
      <x:c r="B41" s="53" t="str">
        <x:v>telegram export/photos/photo_16@15-10-2025_14-18-26.jpg</x:v>
      </x:c>
      <x:c r="C41" s="53" t="str">
        <x:v>jpg</x:v>
      </x:c>
      <x:c r="D41" s="53" t="n">
        <x:v>68536</x:v>
      </x:c>
      <x:c r="E41" s="53" t="str">
        <x:v>28db8e201da1e5584cadcf90b8a007d7293f769983b96c5cee2f7e2e3fd3fa83</x:v>
      </x:c>
      <x:c r="F41" s="53" t="str">
        <x:v>بررسی‌شده</x:v>
      </x:c>
      <x:c r="G41" s="53" t="str">
        <x:v>TX0021</x:v>
      </x:c>
      <x:c r="H41" s="53" t="str">
        <x:v>message64</x:v>
      </x:c>
      <x:c r="I41" s="53" t="str">
        <x:v>استخراج‌شده</x:v>
      </x:c>
      <x:c r="J41" s="53" t="str"/>
      <x:c r="K41" s="53" t="str">
        <x:v>https://github.com/SireJeff/anjoman-accounting/blob/6a005a29ab910c0599fc061d27ea33fcbf7aa5d7/telegram%20export/photos/photo_16%4015-10-2025_14-18-26.jpg</x:v>
      </x:c>
    </x:row>
    <x:row r="42" ht="24" hidden="0" customHeight="1">
      <x:c r="A42" s="53" t="str">
        <x:v>SRC038</x:v>
      </x:c>
      <x:c r="B42" s="53" t="str">
        <x:v>telegram export/photos/photo_17@15-10-2025_14-18-26.jpg</x:v>
      </x:c>
      <x:c r="C42" s="53" t="str">
        <x:v>jpg</x:v>
      </x:c>
      <x:c r="D42" s="53" t="n">
        <x:v>68859</x:v>
      </x:c>
      <x:c r="E42" s="53" t="str">
        <x:v>ed8841b0f4a343d505b7aecc8f250fbe6f41fbcf2dcf64ca77e75a72fcf51b2b</x:v>
      </x:c>
      <x:c r="F42" s="53" t="str">
        <x:v>بررسی‌شده</x:v>
      </x:c>
      <x:c r="G42" s="53" t="str">
        <x:v>TX0023</x:v>
      </x:c>
      <x:c r="H42" s="53" t="str">
        <x:v>message65</x:v>
      </x:c>
      <x:c r="I42" s="53" t="str">
        <x:v>استخراج‌شده</x:v>
      </x:c>
      <x:c r="J42" s="53" t="str"/>
      <x:c r="K42" s="53" t="str">
        <x:v>https://github.com/SireJeff/anjoman-accounting/blob/6a005a29ab910c0599fc061d27ea33fcbf7aa5d7/telegram%20export/photos/photo_17%4015-10-2025_14-18-26.jpg</x:v>
      </x:c>
    </x:row>
    <x:row r="43" ht="24" hidden="0" customHeight="1">
      <x:c r="A43" s="53" t="str">
        <x:v>SRC039</x:v>
      </x:c>
      <x:c r="B43" s="53" t="str">
        <x:v>telegram export/photos/photo_18@28-10-2025_01-53-01.jpg</x:v>
      </x:c>
      <x:c r="C43" s="53" t="str">
        <x:v>jpg</x:v>
      </x:c>
      <x:c r="D43" s="53" t="n">
        <x:v>69491</x:v>
      </x:c>
      <x:c r="E43" s="53" t="str">
        <x:v>52872081d1c4fc01e8f48c9cae4df8a96c78c269d03384ab89a398a382fda9e2</x:v>
      </x:c>
      <x:c r="F43" s="53" t="str">
        <x:v>بررسی‌شده</x:v>
      </x:c>
      <x:c r="G43" s="53" t="str">
        <x:v>TX0027</x:v>
      </x:c>
      <x:c r="H43" s="53" t="str">
        <x:v>message67</x:v>
      </x:c>
      <x:c r="I43" s="53" t="str">
        <x:v>استخراج‌شده</x:v>
      </x:c>
      <x:c r="J43" s="53" t="str"/>
      <x:c r="K43" s="53" t="str">
        <x:v>https://github.com/SireJeff/anjoman-accounting/blob/6a005a29ab910c0599fc061d27ea33fcbf7aa5d7/telegram%20export/photos/photo_18%4028-10-2025_01-53-01.jpg</x:v>
      </x:c>
    </x:row>
    <x:row r="44" ht="24" hidden="0" customHeight="1">
      <x:c r="A44" s="53" t="str">
        <x:v>SRC040</x:v>
      </x:c>
      <x:c r="B44" s="53" t="str">
        <x:v>telegram export/photos/photo_19@28-10-2025_01-58-07.jpg</x:v>
      </x:c>
      <x:c r="C44" s="53" t="str">
        <x:v>jpg</x:v>
      </x:c>
      <x:c r="D44" s="53" t="n">
        <x:v>65290</x:v>
      </x:c>
      <x:c r="E44" s="53" t="str">
        <x:v>6406d711ff22151beab2efc5ad32dff29634b42c4df6d6c1de3e76cff738b2ca</x:v>
      </x:c>
      <x:c r="F44" s="53" t="str">
        <x:v>بررسی‌شده</x:v>
      </x:c>
      <x:c r="G44" s="53" t="str">
        <x:v>TX0032</x:v>
      </x:c>
      <x:c r="H44" s="53" t="str">
        <x:v>message69</x:v>
      </x:c>
      <x:c r="I44" s="53" t="str">
        <x:v>استخراج‌شده</x:v>
      </x:c>
      <x:c r="J44" s="53" t="str"/>
      <x:c r="K44" s="53" t="str">
        <x:v>https://github.com/SireJeff/anjoman-accounting/blob/6a005a29ab910c0599fc061d27ea33fcbf7aa5d7/telegram%20export/photos/photo_19%4028-10-2025_01-58-07.jpg</x:v>
      </x:c>
    </x:row>
    <x:row r="45" ht="24" hidden="0" customHeight="1">
      <x:c r="A45" s="53" t="str">
        <x:v>SRC041</x:v>
      </x:c>
      <x:c r="B45" s="53" t="str">
        <x:v>telegram export/photos/photo_1@24-07-2025_21-00-16.jpg</x:v>
      </x:c>
      <x:c r="C45" s="53" t="str">
        <x:v>jpg</x:v>
      </x:c>
      <x:c r="D45" s="53" t="n">
        <x:v>73477</x:v>
      </x:c>
      <x:c r="E45" s="53" t="str">
        <x:v>79265bb04e6428f336712238ba43edcc9065f4a4313a8b75c7f937a113c99ce2</x:v>
      </x:c>
      <x:c r="F45" s="53" t="str">
        <x:v>بررسی‌شده</x:v>
      </x:c>
      <x:c r="G45" s="53" t="str">
        <x:v>TX0002</x:v>
      </x:c>
      <x:c r="H45" s="53" t="str">
        <x:v>message25</x:v>
      </x:c>
      <x:c r="I45" s="53" t="str">
        <x:v>استخراج‌شده</x:v>
      </x:c>
      <x:c r="J45" s="53" t="str"/>
      <x:c r="K45" s="53" t="str">
        <x:v>https://github.com/SireJeff/anjoman-accounting/blob/6a005a29ab910c0599fc061d27ea33fcbf7aa5d7/telegram%20export/photos/photo_1%4024-07-2025_21-00-16.jpg</x:v>
      </x:c>
    </x:row>
    <x:row r="46" ht="24" hidden="0" customHeight="1">
      <x:c r="A46" s="53" t="str">
        <x:v>SRC042</x:v>
      </x:c>
      <x:c r="B46" s="53" t="str">
        <x:v>telegram export/photos/photo_20@28-10-2025_22-07-57.jpg</x:v>
      </x:c>
      <x:c r="C46" s="53" t="str">
        <x:v>jpg</x:v>
      </x:c>
      <x:c r="D46" s="53" t="n">
        <x:v>145202</x:v>
      </x:c>
      <x:c r="E46" s="53" t="str">
        <x:v>18a41c8ef151421d6a8438c0c292c313bd9d69817efed89507abf1bb0e852e6b</x:v>
      </x:c>
      <x:c r="F46" s="53" t="str">
        <x:v>بررسی‌شده</x:v>
      </x:c>
      <x:c r="G46" s="53" t="str">
        <x:v>TX0026</x:v>
      </x:c>
      <x:c r="H46" s="53" t="str">
        <x:v>message71</x:v>
      </x:c>
      <x:c r="I46" s="53" t="str">
        <x:v>استخراج‌شده</x:v>
      </x:c>
      <x:c r="J46" s="53" t="str"/>
      <x:c r="K46" s="53" t="str">
        <x:v>https://github.com/SireJeff/anjoman-accounting/blob/6a005a29ab910c0599fc061d27ea33fcbf7aa5d7/telegram%20export/photos/photo_20%4028-10-2025_22-07-57.jpg</x:v>
      </x:c>
    </x:row>
    <x:row r="47" ht="24" hidden="0" customHeight="1">
      <x:c r="A47" s="53" t="str">
        <x:v>SRC043</x:v>
      </x:c>
      <x:c r="B47" s="53" t="str">
        <x:v>telegram export/photos/photo_21@09-11-2025_23-16-09.jpg</x:v>
      </x:c>
      <x:c r="C47" s="53" t="str">
        <x:v>jpg</x:v>
      </x:c>
      <x:c r="D47" s="53" t="n">
        <x:v>89073</x:v>
      </x:c>
      <x:c r="E47" s="53" t="str">
        <x:v>430d605cb4bf4e4aaaf901e209b69c43c2d82946451612543b40ef112ba1fe22</x:v>
      </x:c>
      <x:c r="F47" s="53" t="str">
        <x:v>بررسی‌شده</x:v>
      </x:c>
      <x:c r="G47" s="53" t="str">
        <x:v>TX0037</x:v>
      </x:c>
      <x:c r="H47" s="53" t="str">
        <x:v>message90</x:v>
      </x:c>
      <x:c r="I47" s="53" t="str">
        <x:v>تطبیق‌شده</x:v>
      </x:c>
      <x:c r="J47" s="53" t="str">
        <x:v>INV003.</x:v>
      </x:c>
      <x:c r="K47" s="53" t="str">
        <x:v>https://github.com/SireJeff/anjoman-accounting/blob/6a005a29ab910c0599fc061d27ea33fcbf7aa5d7/telegram%20export/photos/photo_21%4009-11-2025_23-16-09.jpg</x:v>
      </x:c>
    </x:row>
    <x:row r="48" ht="24" hidden="0" customHeight="1">
      <x:c r="A48" s="53" t="str">
        <x:v>SRC044</x:v>
      </x:c>
      <x:c r="B48" s="53" t="str">
        <x:v>telegram export/photos/photo_22@09-11-2025_23-16-15.jpg</x:v>
      </x:c>
      <x:c r="C48" s="53" t="str">
        <x:v>jpg</x:v>
      </x:c>
      <x:c r="D48" s="53" t="n">
        <x:v>84952</x:v>
      </x:c>
      <x:c r="E48" s="53" t="str">
        <x:v>64e9c8107140b08a348e146533350e8bd264e2f59b1f09ade0e80ba76639f360</x:v>
      </x:c>
      <x:c r="F48" s="53" t="str">
        <x:v>بررسی‌شده</x:v>
      </x:c>
      <x:c r="G48" s="53" t="str">
        <x:v>TX0038</x:v>
      </x:c>
      <x:c r="H48" s="53" t="str">
        <x:v>message91</x:v>
      </x:c>
      <x:c r="I48" s="53" t="str">
        <x:v>تطبیق‌شده</x:v>
      </x:c>
      <x:c r="J48" s="53" t="str">
        <x:v>INV004.</x:v>
      </x:c>
      <x:c r="K48" s="53" t="str">
        <x:v>https://github.com/SireJeff/anjoman-accounting/blob/6a005a29ab910c0599fc061d27ea33fcbf7aa5d7/telegram%20export/photos/photo_22%4009-11-2025_23-16-15.jpg</x:v>
      </x:c>
    </x:row>
    <x:row r="49" ht="24" hidden="0" customHeight="1">
      <x:c r="A49" s="53" t="str">
        <x:v>SRC045</x:v>
      </x:c>
      <x:c r="B49" s="53" t="str">
        <x:v>telegram export/photos/photo_23@14-11-2025_04-07-19.jpg</x:v>
      </x:c>
      <x:c r="C49" s="53" t="str">
        <x:v>jpg</x:v>
      </x:c>
      <x:c r="D49" s="53" t="n">
        <x:v>65632</x:v>
      </x:c>
      <x:c r="E49" s="53" t="str">
        <x:v>7003f7a94da98c211e78490a0c98ad1e5681266cb40708889b8d9b8cb66f3455</x:v>
      </x:c>
      <x:c r="F49" s="53" t="str">
        <x:v>بررسی‌شده</x:v>
      </x:c>
      <x:c r="G49" s="53" t="str">
        <x:v>TX0037</x:v>
      </x:c>
      <x:c r="H49" s="53" t="str">
        <x:v>message99</x:v>
      </x:c>
      <x:c r="I49" s="53" t="str">
        <x:v>استخراج‌شده</x:v>
      </x:c>
      <x:c r="J49" s="53" t="str"/>
      <x:c r="K49" s="53" t="str">
        <x:v>https://github.com/SireJeff/anjoman-accounting/blob/6a005a29ab910c0599fc061d27ea33fcbf7aa5d7/telegram%20export/photos/photo_23%4014-11-2025_04-07-19.jpg</x:v>
      </x:c>
    </x:row>
    <x:row r="50" ht="24" hidden="0" customHeight="1">
      <x:c r="A50" s="53" t="str">
        <x:v>SRC046</x:v>
      </x:c>
      <x:c r="B50" s="53" t="str">
        <x:v>telegram export/photos/photo_24@14-11-2025_04-07-19.jpg</x:v>
      </x:c>
      <x:c r="C50" s="53" t="str">
        <x:v>jpg</x:v>
      </x:c>
      <x:c r="D50" s="53" t="n">
        <x:v>66823</x:v>
      </x:c>
      <x:c r="E50" s="53" t="str">
        <x:v>2944f175b5256a669c1a6407a09eecb566d715c37dd54b80eed0cee2ae943f0c</x:v>
      </x:c>
      <x:c r="F50" s="53" t="str">
        <x:v>بررسی‌شده</x:v>
      </x:c>
      <x:c r="G50" s="53" t="str">
        <x:v>TX0038</x:v>
      </x:c>
      <x:c r="H50" s="53" t="str">
        <x:v>message100</x:v>
      </x:c>
      <x:c r="I50" s="53" t="str">
        <x:v>استخراج‌شده</x:v>
      </x:c>
      <x:c r="J50" s="53" t="str"/>
      <x:c r="K50" s="53" t="str">
        <x:v>https://github.com/SireJeff/anjoman-accounting/blob/6a005a29ab910c0599fc061d27ea33fcbf7aa5d7/telegram%20export/photos/photo_24%4014-11-2025_04-07-19.jpg</x:v>
      </x:c>
    </x:row>
    <x:row r="51" ht="24" hidden="0" customHeight="1">
      <x:c r="A51" s="53" t="str">
        <x:v>SRC047</x:v>
      </x:c>
      <x:c r="B51" s="53" t="str">
        <x:v>telegram export/photos/photo_25@19-11-2025_11-46-31.jpg</x:v>
      </x:c>
      <x:c r="C51" s="53" t="str">
        <x:v>jpg</x:v>
      </x:c>
      <x:c r="D51" s="53" t="n">
        <x:v>18253</x:v>
      </x:c>
      <x:c r="E51" s="53" t="str">
        <x:v>5c7d3623f81cfec1c847235a9e6124fc4d7090687911db318684c83dc455de7f</x:v>
      </x:c>
      <x:c r="F51" s="53" t="str">
        <x:v>بررسی‌شده</x:v>
      </x:c>
      <x:c r="G51" s="53" t="str">
        <x:v>TX0044</x:v>
      </x:c>
      <x:c r="H51" s="53" t="str">
        <x:v>message102</x:v>
      </x:c>
      <x:c r="I51" s="53" t="str">
        <x:v>استخراج‌شده</x:v>
      </x:c>
      <x:c r="J51" s="53" t="str"/>
      <x:c r="K51" s="53" t="str">
        <x:v>https://github.com/SireJeff/anjoman-accounting/blob/6a005a29ab910c0599fc061d27ea33fcbf7aa5d7/telegram%20export/photos/photo_25%4019-11-2025_11-46-31.jpg</x:v>
      </x:c>
    </x:row>
    <x:row r="52" ht="24" hidden="0" customHeight="1">
      <x:c r="A52" s="53" t="str">
        <x:v>SRC048</x:v>
      </x:c>
      <x:c r="B52" s="53" t="str">
        <x:v>telegram export/photos/photo_26@21-12-2025_05-36-21.jpg</x:v>
      </x:c>
      <x:c r="C52" s="53" t="str">
        <x:v>jpg</x:v>
      </x:c>
      <x:c r="D52" s="53" t="n">
        <x:v>35321</x:v>
      </x:c>
      <x:c r="E52" s="53" t="str">
        <x:v>a7ff8727fc0c461dc0be5e4bbc9c6c1409720229eae30931e3ae85f417819512</x:v>
      </x:c>
      <x:c r="F52" s="53" t="str">
        <x:v>بررسی‌شده</x:v>
      </x:c>
      <x:c r="G52" s="53" t="str">
        <x:v>TX0046</x:v>
      </x:c>
      <x:c r="H52" s="53" t="str">
        <x:v>message112</x:v>
      </x:c>
      <x:c r="I52" s="53" t="str">
        <x:v>استخراج‌شده</x:v>
      </x:c>
      <x:c r="J52" s="53" t="str"/>
      <x:c r="K52" s="53" t="str">
        <x:v>https://github.com/SireJeff/anjoman-accounting/blob/6a005a29ab910c0599fc061d27ea33fcbf7aa5d7/telegram%20export/photos/photo_26%4021-12-2025_05-36-21.jpg</x:v>
      </x:c>
    </x:row>
    <x:row r="53" ht="24" hidden="0" customHeight="1">
      <x:c r="A53" s="53" t="str">
        <x:v>SRC049</x:v>
      </x:c>
      <x:c r="B53" s="53" t="str">
        <x:v>telegram export/photos/photo_27@17-05-2026_19-45-07.jpg</x:v>
      </x:c>
      <x:c r="C53" s="53" t="str">
        <x:v>jpg</x:v>
      </x:c>
      <x:c r="D53" s="53" t="n">
        <x:v>71982</x:v>
      </x:c>
      <x:c r="E53" s="53" t="str">
        <x:v>e0e7050e5e9b2018e96723ae4831b7cdcbf4f3d79406e74efb72a47e928fe9e5</x:v>
      </x:c>
      <x:c r="F53" s="53" t="str">
        <x:v>بررسی‌شده</x:v>
      </x:c>
      <x:c r="G53" s="53" t="str">
        <x:v>TX0063</x:v>
      </x:c>
      <x:c r="H53" s="53" t="str">
        <x:v>message125</x:v>
      </x:c>
      <x:c r="I53" s="53" t="str">
        <x:v>استخراج‌شده</x:v>
      </x:c>
      <x:c r="J53" s="53" t="str"/>
      <x:c r="K53" s="53" t="str">
        <x:v>https://github.com/SireJeff/anjoman-accounting/blob/6a005a29ab910c0599fc061d27ea33fcbf7aa5d7/telegram%20export/photos/photo_27%4017-05-2026_19-45-07.jpg</x:v>
      </x:c>
    </x:row>
    <x:row r="54" ht="24" hidden="0" customHeight="1">
      <x:c r="A54" s="53" t="str">
        <x:v>SRC050</x:v>
      </x:c>
      <x:c r="B54" s="53" t="str">
        <x:v>telegram export/photos/photo_28@17-05-2026_19-45-07.jpg</x:v>
      </x:c>
      <x:c r="C54" s="53" t="str">
        <x:v>jpg</x:v>
      </x:c>
      <x:c r="D54" s="53" t="n">
        <x:v>72527</x:v>
      </x:c>
      <x:c r="E54" s="53" t="str">
        <x:v>a79a95c1f0e5d599fc42a26df85ffafea142c9cc7caa622a0a1b3e9d5b7dae31</x:v>
      </x:c>
      <x:c r="F54" s="53" t="str">
        <x:v>بررسی‌شده</x:v>
      </x:c>
      <x:c r="G54" s="53" t="str">
        <x:v>TX0062</x:v>
      </x:c>
      <x:c r="H54" s="53" t="str">
        <x:v>message126</x:v>
      </x:c>
      <x:c r="I54" s="53" t="str">
        <x:v>استخراج‌شده</x:v>
      </x:c>
      <x:c r="J54" s="53" t="str"/>
      <x:c r="K54" s="53" t="str">
        <x:v>https://github.com/SireJeff/anjoman-accounting/blob/6a005a29ab910c0599fc061d27ea33fcbf7aa5d7/telegram%20export/photos/photo_28%4017-05-2026_19-45-07.jpg</x:v>
      </x:c>
    </x:row>
    <x:row r="55" ht="24" hidden="0" customHeight="1">
      <x:c r="A55" s="53" t="str">
        <x:v>SRC051</x:v>
      </x:c>
      <x:c r="B55" s="53" t="str">
        <x:v>telegram export/photos/photo_29@27-06-2026_18-24-14.jpg</x:v>
      </x:c>
      <x:c r="C55" s="53" t="str">
        <x:v>jpg</x:v>
      </x:c>
      <x:c r="D55" s="53" t="n">
        <x:v>89975</x:v>
      </x:c>
      <x:c r="E55" s="53" t="str">
        <x:v>fdfebe75ba5891f2dbc84e11ef7625558452b73f3ce3b50b63d9c1745a4385b5</x:v>
      </x:c>
      <x:c r="F55" s="53" t="str">
        <x:v>بررسی‌شده</x:v>
      </x:c>
      <x:c r="G55" s="53" t="str">
        <x:v>TX0038</x:v>
      </x:c>
      <x:c r="H55" s="53" t="str">
        <x:v>message142</x:v>
      </x:c>
      <x:c r="I55" s="53" t="str">
        <x:v>تطبیق‌شده</x:v>
      </x:c>
      <x:c r="J55" s="53" t="str">
        <x:v>عکس دوم INV004.</x:v>
      </x:c>
      <x:c r="K55" s="53" t="str">
        <x:v>https://github.com/SireJeff/anjoman-accounting/blob/6a005a29ab910c0599fc061d27ea33fcbf7aa5d7/telegram%20export/photos/photo_29%4027-06-2026_18-24-14.jpg</x:v>
      </x:c>
    </x:row>
    <x:row r="56" ht="24" hidden="0" customHeight="1">
      <x:c r="A56" s="53" t="str">
        <x:v>SRC052</x:v>
      </x:c>
      <x:c r="B56" s="53" t="str">
        <x:v>telegram export/photos/photo_2@24-07-2025_21-00-17.jpg</x:v>
      </x:c>
      <x:c r="C56" s="53" t="str">
        <x:v>jpg</x:v>
      </x:c>
      <x:c r="D56" s="53" t="n">
        <x:v>74772</x:v>
      </x:c>
      <x:c r="E56" s="53" t="str">
        <x:v>9d1cc7913277237d5bf999452661d8ab00c1add42d2751e54bfa96521f756b17</x:v>
      </x:c>
      <x:c r="F56" s="53" t="str">
        <x:v>بررسی‌شده</x:v>
      </x:c>
      <x:c r="G56" s="53" t="str">
        <x:v>TX0003</x:v>
      </x:c>
      <x:c r="H56" s="53" t="str">
        <x:v>message26</x:v>
      </x:c>
      <x:c r="I56" s="53" t="str">
        <x:v>استخراج‌شده</x:v>
      </x:c>
      <x:c r="J56" s="53" t="str"/>
      <x:c r="K56" s="53" t="str">
        <x:v>https://github.com/SireJeff/anjoman-accounting/blob/6a005a29ab910c0599fc061d27ea33fcbf7aa5d7/telegram%20export/photos/photo_2%4024-07-2025_21-00-17.jpg</x:v>
      </x:c>
    </x:row>
    <x:row r="57" ht="24" hidden="0" customHeight="1">
      <x:c r="A57" s="53" t="str">
        <x:v>SRC053</x:v>
      </x:c>
      <x:c r="B57" s="53" t="str">
        <x:v>telegram export/photos/photo_30@27-06-2026_18-24-31.jpg</x:v>
      </x:c>
      <x:c r="C57" s="53" t="str">
        <x:v>jpg</x:v>
      </x:c>
      <x:c r="D57" s="53" t="n">
        <x:v>114397</x:v>
      </x:c>
      <x:c r="E57" s="53" t="str">
        <x:v>f5569b998adf63c1cebcb144277502c32db8088ce75d731cd3a7d98be3b2c669</x:v>
      </x:c>
      <x:c r="F57" s="53" t="str">
        <x:v>بررسی‌شده</x:v>
      </x:c>
      <x:c r="G57" s="53" t="str">
        <x:v>TX0037</x:v>
      </x:c>
      <x:c r="H57" s="53" t="str">
        <x:v>message143</x:v>
      </x:c>
      <x:c r="I57" s="53" t="str">
        <x:v>تطبیق‌شده</x:v>
      </x:c>
      <x:c r="J57" s="53" t="str">
        <x:v>عکس دوم INV003.</x:v>
      </x:c>
      <x:c r="K57" s="53" t="str">
        <x:v>https://github.com/SireJeff/anjoman-accounting/blob/6a005a29ab910c0599fc061d27ea33fcbf7aa5d7/telegram%20export/photos/photo_30%4027-06-2026_18-24-31.jpg</x:v>
      </x:c>
    </x:row>
    <x:row r="58" ht="24" hidden="0" customHeight="1">
      <x:c r="A58" s="53" t="str">
        <x:v>SRC054</x:v>
      </x:c>
      <x:c r="B58" s="53" t="str">
        <x:v>telegram export/photos/photo_31@27-06-2026_18-24-39.jpg</x:v>
      </x:c>
      <x:c r="C58" s="53" t="str">
        <x:v>jpg</x:v>
      </x:c>
      <x:c r="D58" s="53" t="n">
        <x:v>51950</x:v>
      </x:c>
      <x:c r="E58" s="53" t="str">
        <x:v>5e693fc6f8303f5ee512c9ec9b3eadec3f3d7319b2c2f969e9875baca06d790b</x:v>
      </x:c>
      <x:c r="F58" s="53" t="str">
        <x:v>بررسی‌شده</x:v>
      </x:c>
      <x:c r="G58" s="53" t="str">
        <x:v>TX0028</x:v>
      </x:c>
      <x:c r="H58" s="53" t="str">
        <x:v>message144</x:v>
      </x:c>
      <x:c r="I58" s="53" t="str">
        <x:v>استخراج‌شده</x:v>
      </x:c>
      <x:c r="J58" s="53" t="str"/>
      <x:c r="K58" s="53" t="str">
        <x:v>https://github.com/SireJeff/anjoman-accounting/blob/6a005a29ab910c0599fc061d27ea33fcbf7aa5d7/telegram%20export/photos/photo_31%4027-06-2026_18-24-39.jpg</x:v>
      </x:c>
    </x:row>
    <x:row r="59" ht="24" hidden="0" customHeight="1">
      <x:c r="A59" s="53" t="str">
        <x:v>SRC055</x:v>
      </x:c>
      <x:c r="B59" s="53" t="str">
        <x:v>telegram export/photos/photo_32@27-06-2026_18-24-52.jpg</x:v>
      </x:c>
      <x:c r="C59" s="53" t="str">
        <x:v>jpg</x:v>
      </x:c>
      <x:c r="D59" s="53" t="n">
        <x:v>66516</x:v>
      </x:c>
      <x:c r="E59" s="53" t="str">
        <x:v>7628c00e8636b2fb53053ed1feaab9c04fbc27a578e143dd6f1f16a64d6e00e3</x:v>
      </x:c>
      <x:c r="F59" s="53" t="str">
        <x:v>بررسی‌شده</x:v>
      </x:c>
      <x:c r="G59" s="53" t="str">
        <x:v>TX0042</x:v>
      </x:c>
      <x:c r="H59" s="53" t="str">
        <x:v>message145</x:v>
      </x:c>
      <x:c r="I59" s="53" t="str">
        <x:v>استخراج‌شده</x:v>
      </x:c>
      <x:c r="J59" s="53" t="str"/>
      <x:c r="K59" s="53" t="str">
        <x:v>https://github.com/SireJeff/anjoman-accounting/blob/6a005a29ab910c0599fc061d27ea33fcbf7aa5d7/telegram%20export/photos/photo_32%4027-06-2026_18-24-52.jpg</x:v>
      </x:c>
    </x:row>
    <x:row r="60" ht="24" hidden="0" customHeight="1">
      <x:c r="A60" s="53" t="str">
        <x:v>SRC056</x:v>
      </x:c>
      <x:c r="B60" s="53" t="str">
        <x:v>telegram export/photos/photo_33@27-06-2026_18-25-49.jpg</x:v>
      </x:c>
      <x:c r="C60" s="53" t="str">
        <x:v>jpg</x:v>
      </x:c>
      <x:c r="D60" s="53" t="n">
        <x:v>69981</x:v>
      </x:c>
      <x:c r="E60" s="53" t="str">
        <x:v>a0ebad23be285a1e51b629326f6f3a8dab9f52662632f4ef6194fea9855b2267</x:v>
      </x:c>
      <x:c r="F60" s="53" t="str">
        <x:v>بررسی‌شده</x:v>
      </x:c>
      <x:c r="G60" s="53" t="str">
        <x:v>TX0033</x:v>
      </x:c>
      <x:c r="H60" s="53" t="str">
        <x:v>message146</x:v>
      </x:c>
      <x:c r="I60" s="53" t="str">
        <x:v>استخراج‌شده</x:v>
      </x:c>
      <x:c r="J60" s="53" t="str"/>
      <x:c r="K60" s="53" t="str">
        <x:v>https://github.com/SireJeff/anjoman-accounting/blob/6a005a29ab910c0599fc061d27ea33fcbf7aa5d7/telegram%20export/photos/photo_33%4027-06-2026_18-25-49.jpg</x:v>
      </x:c>
    </x:row>
    <x:row r="61" ht="24" hidden="0" customHeight="1">
      <x:c r="A61" s="53" t="str">
        <x:v>SRC057</x:v>
      </x:c>
      <x:c r="B61" s="53" t="str">
        <x:v>telegram export/photos/photo_34@27-06-2026_18-26-03.jpg</x:v>
      </x:c>
      <x:c r="C61" s="53" t="str">
        <x:v>jpg</x:v>
      </x:c>
      <x:c r="D61" s="53" t="n">
        <x:v>162060</x:v>
      </x:c>
      <x:c r="E61" s="53" t="str">
        <x:v>d7091b678efb3e0f2e1da6270bff602fc8d5dd14fd758484945206f09aec6835</x:v>
      </x:c>
      <x:c r="F61" s="53" t="str">
        <x:v>بررسی‌شده</x:v>
      </x:c>
      <x:c r="G61" s="53" t="str">
        <x:v>TX0033</x:v>
      </x:c>
      <x:c r="H61" s="53" t="str">
        <x:v>message147</x:v>
      </x:c>
      <x:c r="I61" s="53" t="str">
        <x:v>تطبیق‌شده</x:v>
      </x:c>
      <x:c r="J61" s="53" t="str">
        <x:v>INV005, uncertain.</x:v>
      </x:c>
      <x:c r="K61" s="53" t="str">
        <x:v>https://github.com/SireJeff/anjoman-accounting/blob/6a005a29ab910c0599fc061d27ea33fcbf7aa5d7/telegram%20export/photos/photo_34%4027-06-2026_18-26-03.jpg</x:v>
      </x:c>
    </x:row>
    <x:row r="62" ht="24" hidden="0" customHeight="1">
      <x:c r="A62" s="53" t="str">
        <x:v>SRC058</x:v>
      </x:c>
      <x:c r="B62" s="53" t="str">
        <x:v>telegram export/photos/photo_35@27-06-2026_18-26-22.jpg</x:v>
      </x:c>
      <x:c r="C62" s="53" t="str">
        <x:v>jpg</x:v>
      </x:c>
      <x:c r="D62" s="53" t="n">
        <x:v>168669</x:v>
      </x:c>
      <x:c r="E62" s="53" t="str">
        <x:v>df1dad972da0ba8c3da2b76b90ccdd5c9ae6c42488b2b0f50e3eb232ab177028</x:v>
      </x:c>
      <x:c r="F62" s="53" t="str">
        <x:v>بررسی‌شده</x:v>
      </x:c>
      <x:c r="G62" s="53" t="str">
        <x:v>TX0034</x:v>
      </x:c>
      <x:c r="H62" s="53" t="str">
        <x:v>message148</x:v>
      </x:c>
      <x:c r="I62" s="53" t="str">
        <x:v>استخراج‌شده</x:v>
      </x:c>
      <x:c r="J62" s="53" t="str"/>
      <x:c r="K62" s="53" t="str">
        <x:v>https://github.com/SireJeff/anjoman-accounting/blob/6a005a29ab910c0599fc061d27ea33fcbf7aa5d7/telegram%20export/photos/photo_35%4027-06-2026_18-26-22.jpg</x:v>
      </x:c>
    </x:row>
    <x:row r="63" ht="24" hidden="0" customHeight="1">
      <x:c r="A63" s="53" t="str">
        <x:v>SRC059</x:v>
      </x:c>
      <x:c r="B63" s="53" t="str">
        <x:v>telegram export/photos/photo_36@27-06-2026_18-26-45.jpg</x:v>
      </x:c>
      <x:c r="C63" s="53" t="str">
        <x:v>jpg</x:v>
      </x:c>
      <x:c r="D63" s="53" t="n">
        <x:v>56182</x:v>
      </x:c>
      <x:c r="E63" s="53" t="str">
        <x:v>c76783f3ab2aa8dfafe81fe1d3273e3a70b017cbb8e04ee0aebf20c7896fd8a6</x:v>
      </x:c>
      <x:c r="F63" s="53" t="str">
        <x:v>بررسی‌شده</x:v>
      </x:c>
      <x:c r="G63" s="53" t="str">
        <x:v>TX0024</x:v>
      </x:c>
      <x:c r="H63" s="53" t="str">
        <x:v>message149</x:v>
      </x:c>
      <x:c r="I63" s="53" t="str">
        <x:v>تطبیق‌شده</x:v>
      </x:c>
      <x:c r="J63" s="53" t="str">
        <x:v>همان خرید photo_14.</x:v>
      </x:c>
      <x:c r="K63" s="53" t="str">
        <x:v>https://github.com/SireJeff/anjoman-accounting/blob/6a005a29ab910c0599fc061d27ea33fcbf7aa5d7/telegram%20export/photos/photo_36%4027-06-2026_18-26-45.jpg</x:v>
      </x:c>
    </x:row>
    <x:row r="64" ht="24" hidden="0" customHeight="1">
      <x:c r="A64" s="53" t="str">
        <x:v>SRC060</x:v>
      </x:c>
      <x:c r="B64" s="53" t="str">
        <x:v>telegram export/photos/photo_37@27-06-2026_18-27-12.jpg</x:v>
      </x:c>
      <x:c r="C64" s="53" t="str">
        <x:v>jpg</x:v>
      </x:c>
      <x:c r="D64" s="53" t="n">
        <x:v>45970</x:v>
      </x:c>
      <x:c r="E64" s="53" t="str">
        <x:v>9a1f8890689207a4000e3fe0fc271e522bb56ace944c1646ccf84577b88f9405</x:v>
      </x:c>
      <x:c r="F64" s="53" t="str">
        <x:v>بررسی‌شده</x:v>
      </x:c>
      <x:c r="G64" s="53" t="str">
        <x:v>TX0023</x:v>
      </x:c>
      <x:c r="H64" s="53" t="str">
        <x:v>message150</x:v>
      </x:c>
      <x:c r="I64" s="53" t="str">
        <x:v>تطبیق‌شده</x:v>
      </x:c>
      <x:c r="J64" s="53" t="str">
        <x:v>همان خرید photo_17.</x:v>
      </x:c>
      <x:c r="K64" s="53" t="str">
        <x:v>https://github.com/SireJeff/anjoman-accounting/blob/6a005a29ab910c0599fc061d27ea33fcbf7aa5d7/telegram%20export/photos/photo_37%4027-06-2026_18-27-12.jpg</x:v>
      </x:c>
    </x:row>
    <x:row r="65" ht="24" hidden="0" customHeight="1">
      <x:c r="A65" s="53" t="str">
        <x:v>SRC061</x:v>
      </x:c>
      <x:c r="B65" s="53" t="str">
        <x:v>telegram export/photos/photo_38@27-06-2026_18-27-25.jpg</x:v>
      </x:c>
      <x:c r="C65" s="53" t="str">
        <x:v>jpg</x:v>
      </x:c>
      <x:c r="D65" s="53" t="n">
        <x:v>41070</x:v>
      </x:c>
      <x:c r="E65" s="53" t="str">
        <x:v>e8a6c9ba9556546fa4abbc8e152e35df08dcc2c6669884f9dc12679882029c3e</x:v>
      </x:c>
      <x:c r="F65" s="53" t="str">
        <x:v>بررسی‌شده</x:v>
      </x:c>
      <x:c r="G65" s="53" t="str">
        <x:v>TX0060</x:v>
      </x:c>
      <x:c r="H65" s="53" t="str">
        <x:v>message151</x:v>
      </x:c>
      <x:c r="I65" s="53" t="str">
        <x:v>استخراج‌شده</x:v>
      </x:c>
      <x:c r="J65" s="53" t="str"/>
      <x:c r="K65" s="53" t="str">
        <x:v>https://github.com/SireJeff/anjoman-accounting/blob/6a005a29ab910c0599fc061d27ea33fcbf7aa5d7/telegram%20export/photos/photo_38%4027-06-2026_18-27-25.jpg</x:v>
      </x:c>
    </x:row>
    <x:row r="66" ht="24" hidden="0" customHeight="1">
      <x:c r="A66" s="53" t="str">
        <x:v>SRC062</x:v>
      </x:c>
      <x:c r="B66" s="53" t="str">
        <x:v>telegram export/photos/photo_39@27-06-2026_18-29-10.jpg</x:v>
      </x:c>
      <x:c r="C66" s="53" t="str">
        <x:v>jpg</x:v>
      </x:c>
      <x:c r="D66" s="53" t="n">
        <x:v>62596</x:v>
      </x:c>
      <x:c r="E66" s="53" t="str">
        <x:v>2cc0dda007136a8eb626cca071cf976fa2faea1a3ec9461e2f9e61d426d539da</x:v>
      </x:c>
      <x:c r="F66" s="53" t="str">
        <x:v>بررسی‌شده</x:v>
      </x:c>
      <x:c r="G66" s="53" t="str">
        <x:v>TX0059</x:v>
      </x:c>
      <x:c r="H66" s="53" t="str">
        <x:v>message152</x:v>
      </x:c>
      <x:c r="I66" s="53" t="str">
        <x:v>استخراج‌شده</x:v>
      </x:c>
      <x:c r="J66" s="53" t="str"/>
      <x:c r="K66" s="53" t="str">
        <x:v>https://github.com/SireJeff/anjoman-accounting/blob/6a005a29ab910c0599fc061d27ea33fcbf7aa5d7/telegram%20export/photos/photo_39%4027-06-2026_18-29-10.jpg</x:v>
      </x:c>
    </x:row>
    <x:row r="67" ht="24" hidden="0" customHeight="1">
      <x:c r="A67" s="53" t="str">
        <x:v>SRC063</x:v>
      </x:c>
      <x:c r="B67" s="53" t="str">
        <x:v>telegram export/photos/photo_3@24-07-2025_21-02-51.jpg</x:v>
      </x:c>
      <x:c r="C67" s="53" t="str">
        <x:v>jpg</x:v>
      </x:c>
      <x:c r="D67" s="53" t="n">
        <x:v>71647</x:v>
      </x:c>
      <x:c r="E67" s="53" t="str">
        <x:v>3a30db869e1f6a6c63f03739af4268b7b0405346be7199ac5e26f23dc73806fc</x:v>
      </x:c>
      <x:c r="F67" s="53" t="str">
        <x:v>بررسی‌شده</x:v>
      </x:c>
      <x:c r="G67" s="53" t="str">
        <x:v>TX0004</x:v>
      </x:c>
      <x:c r="H67" s="53" t="str">
        <x:v>message27</x:v>
      </x:c>
      <x:c r="I67" s="53" t="str">
        <x:v>استخراج‌شده</x:v>
      </x:c>
      <x:c r="J67" s="53" t="str"/>
      <x:c r="K67" s="53" t="str">
        <x:v>https://github.com/SireJeff/anjoman-accounting/blob/6a005a29ab910c0599fc061d27ea33fcbf7aa5d7/telegram%20export/photos/photo_3%4024-07-2025_21-02-51.jpg</x:v>
      </x:c>
    </x:row>
    <x:row r="68" ht="24" hidden="0" customHeight="1">
      <x:c r="A68" s="53" t="str">
        <x:v>SRC064</x:v>
      </x:c>
      <x:c r="B68" s="53" t="str">
        <x:v>telegram export/photos/photo_40@27-06-2026_18-31-08.jpg</x:v>
      </x:c>
      <x:c r="C68" s="53" t="str">
        <x:v>jpg</x:v>
      </x:c>
      <x:c r="D68" s="53" t="n">
        <x:v>59578</x:v>
      </x:c>
      <x:c r="E68" s="53" t="str">
        <x:v>8e9cb970ead01179e35ef3181ee0017987b3e8de78c03c3bb37fc20f4f3ef402</x:v>
      </x:c>
      <x:c r="F68" s="53" t="str">
        <x:v>بررسی‌شده</x:v>
      </x:c>
      <x:c r="G68" s="53" t="str">
        <x:v>TX0031</x:v>
      </x:c>
      <x:c r="H68" s="53" t="str">
        <x:v>message153</x:v>
      </x:c>
      <x:c r="I68" s="53" t="str">
        <x:v>استخراج‌شده</x:v>
      </x:c>
      <x:c r="J68" s="53" t="str"/>
      <x:c r="K68" s="53" t="str">
        <x:v>https://github.com/SireJeff/anjoman-accounting/blob/6a005a29ab910c0599fc061d27ea33fcbf7aa5d7/telegram%20export/photos/photo_40%4027-06-2026_18-31-08.jpg</x:v>
      </x:c>
    </x:row>
    <x:row r="69" ht="24" hidden="0" customHeight="1">
      <x:c r="A69" s="53" t="str">
        <x:v>SRC065</x:v>
      </x:c>
      <x:c r="B69" s="53" t="str">
        <x:v>telegram export/photos/photo_41@27-06-2026_18-36-09.jpg</x:v>
      </x:c>
      <x:c r="C69" s="53" t="str">
        <x:v>jpg</x:v>
      </x:c>
      <x:c r="D69" s="53" t="n">
        <x:v>77996</x:v>
      </x:c>
      <x:c r="E69" s="53" t="str">
        <x:v>78ad7571d728263883b5dc1bb9cd22848b5c2e67370643caa12c8c8935da2b20</x:v>
      </x:c>
      <x:c r="F69" s="53" t="str">
        <x:v>بررسی‌شده</x:v>
      </x:c>
      <x:c r="G69" s="53" t="str">
        <x:v>TX0053</x:v>
      </x:c>
      <x:c r="H69" s="53" t="str">
        <x:v>message155</x:v>
      </x:c>
      <x:c r="I69" s="53" t="str">
        <x:v>استخراج‌شده</x:v>
      </x:c>
      <x:c r="J69" s="53" t="str"/>
      <x:c r="K69" s="53" t="str">
        <x:v>https://github.com/SireJeff/anjoman-accounting/blob/6a005a29ab910c0599fc061d27ea33fcbf7aa5d7/telegram%20export/photos/photo_41%4027-06-2026_18-36-09.jpg</x:v>
      </x:c>
    </x:row>
    <x:row r="70" ht="24" hidden="0" customHeight="1">
      <x:c r="A70" s="53" t="str">
        <x:v>SRC066</x:v>
      </x:c>
      <x:c r="B70" s="53" t="str">
        <x:v>telegram export/photos/photo_42@27-06-2026_18-36-09.jpg</x:v>
      </x:c>
      <x:c r="C70" s="53" t="str">
        <x:v>jpg</x:v>
      </x:c>
      <x:c r="D70" s="53" t="n">
        <x:v>77238</x:v>
      </x:c>
      <x:c r="E70" s="53" t="str">
        <x:v>94ca1e41dc1aa15b41dd5ec0b9bb664d54733c8559fe9e348d1adc782f316712</x:v>
      </x:c>
      <x:c r="F70" s="53" t="str">
        <x:v>بررسی‌شده</x:v>
      </x:c>
      <x:c r="G70" s="53" t="str">
        <x:v>TX0052</x:v>
      </x:c>
      <x:c r="H70" s="53" t="str">
        <x:v>message156</x:v>
      </x:c>
      <x:c r="I70" s="53" t="str">
        <x:v>استخراج‌شده</x:v>
      </x:c>
      <x:c r="J70" s="53" t="str"/>
      <x:c r="K70" s="53" t="str">
        <x:v>https://github.com/SireJeff/anjoman-accounting/blob/6a005a29ab910c0599fc061d27ea33fcbf7aa5d7/telegram%20export/photos/photo_42%4027-06-2026_18-36-09.jpg</x:v>
      </x:c>
    </x:row>
    <x:row r="71" ht="24" hidden="0" customHeight="1">
      <x:c r="A71" s="53" t="str">
        <x:v>SRC067</x:v>
      </x:c>
      <x:c r="B71" s="53" t="str">
        <x:v>telegram export/photos/photo_43@27-06-2026_18-36-09.jpg</x:v>
      </x:c>
      <x:c r="C71" s="53" t="str">
        <x:v>jpg</x:v>
      </x:c>
      <x:c r="D71" s="53" t="n">
        <x:v>85618</x:v>
      </x:c>
      <x:c r="E71" s="53" t="str">
        <x:v>35428512edee92243496c3104d792d4fd07c6d43257d697c19937ccfa0a98517</x:v>
      </x:c>
      <x:c r="F71" s="53" t="str">
        <x:v>بررسی‌شده</x:v>
      </x:c>
      <x:c r="G71" s="53" t="str">
        <x:v>TX0054</x:v>
      </x:c>
      <x:c r="H71" s="53" t="str">
        <x:v>message157</x:v>
      </x:c>
      <x:c r="I71" s="53" t="str">
        <x:v>استخراج‌شده</x:v>
      </x:c>
      <x:c r="J71" s="53" t="str"/>
      <x:c r="K71" s="53" t="str">
        <x:v>https://github.com/SireJeff/anjoman-accounting/blob/6a005a29ab910c0599fc061d27ea33fcbf7aa5d7/telegram%20export/photos/photo_43%4027-06-2026_18-36-09.jpg</x:v>
      </x:c>
    </x:row>
    <x:row r="72" ht="24" hidden="0" customHeight="1">
      <x:c r="A72" s="53" t="str">
        <x:v>SRC068</x:v>
      </x:c>
      <x:c r="B72" s="53" t="str">
        <x:v>telegram export/photos/photo_44@27-06-2026_18-36-09.jpg</x:v>
      </x:c>
      <x:c r="C72" s="53" t="str">
        <x:v>jpg</x:v>
      </x:c>
      <x:c r="D72" s="53" t="n">
        <x:v>85772</x:v>
      </x:c>
      <x:c r="E72" s="53" t="str">
        <x:v>552ed592df76565fdf834836abf1da6c4b9784e66039b1efaa36e162e69d855b</x:v>
      </x:c>
      <x:c r="F72" s="53" t="str">
        <x:v>بررسی‌شده</x:v>
      </x:c>
      <x:c r="G72" s="53" t="str">
        <x:v>TX0055</x:v>
      </x:c>
      <x:c r="H72" s="53" t="str">
        <x:v>message158</x:v>
      </x:c>
      <x:c r="I72" s="53" t="str">
        <x:v>استخراج‌شده</x:v>
      </x:c>
      <x:c r="J72" s="53" t="str"/>
      <x:c r="K72" s="53" t="str">
        <x:v>https://github.com/SireJeff/anjoman-accounting/blob/6a005a29ab910c0599fc061d27ea33fcbf7aa5d7/telegram%20export/photos/photo_44%4027-06-2026_18-36-09.jpg</x:v>
      </x:c>
    </x:row>
    <x:row r="73" ht="24" hidden="0" customHeight="1">
      <x:c r="A73" s="53" t="str">
        <x:v>SRC069</x:v>
      </x:c>
      <x:c r="B73" s="53" t="str">
        <x:v>telegram export/photos/photo_45@27-06-2026_18-36-09.jpg</x:v>
      </x:c>
      <x:c r="C73" s="53" t="str">
        <x:v>jpg</x:v>
      </x:c>
      <x:c r="D73" s="53" t="n">
        <x:v>65390</x:v>
      </x:c>
      <x:c r="E73" s="53" t="str">
        <x:v>d3cd5d400ad26b008c54a467ede8e780c9606b0a9a460d51c2e11bf69ede9a39</x:v>
      </x:c>
      <x:c r="F73" s="53" t="str">
        <x:v>بررسی‌شده</x:v>
      </x:c>
      <x:c r="G73" s="53" t="str">
        <x:v>TX0050</x:v>
      </x:c>
      <x:c r="H73" s="53" t="str">
        <x:v>message159</x:v>
      </x:c>
      <x:c r="I73" s="53" t="str">
        <x:v>استخراج‌شده</x:v>
      </x:c>
      <x:c r="J73" s="53" t="str"/>
      <x:c r="K73" s="53" t="str">
        <x:v>https://github.com/SireJeff/anjoman-accounting/blob/6a005a29ab910c0599fc061d27ea33fcbf7aa5d7/telegram%20export/photos/photo_45%4027-06-2026_18-36-09.jpg</x:v>
      </x:c>
    </x:row>
    <x:row r="74" ht="24" hidden="0" customHeight="1">
      <x:c r="A74" s="53" t="str">
        <x:v>SRC070</x:v>
      </x:c>
      <x:c r="B74" s="53" t="str">
        <x:v>telegram export/photos/photo_46@27-06-2026_18-38-52.jpg</x:v>
      </x:c>
      <x:c r="C74" s="53" t="str">
        <x:v>jpg</x:v>
      </x:c>
      <x:c r="D74" s="53" t="n">
        <x:v>145310</x:v>
      </x:c>
      <x:c r="E74" s="53" t="str">
        <x:v>22c0f55d35b72f746c979bd91c0f23f9862ff7f5a4851ab2293686a796fab727</x:v>
      </x:c>
      <x:c r="F74" s="53" t="str">
        <x:v>بررسی‌شده</x:v>
      </x:c>
      <x:c r="G74" s="53" t="str">
        <x:v>TX0056</x:v>
      </x:c>
      <x:c r="H74" s="53" t="str">
        <x:v>message161</x:v>
      </x:c>
      <x:c r="I74" s="53" t="str">
        <x:v>استخراج‌شده</x:v>
      </x:c>
      <x:c r="J74" s="53" t="str"/>
      <x:c r="K74" s="53" t="str">
        <x:v>https://github.com/SireJeff/anjoman-accounting/blob/6a005a29ab910c0599fc061d27ea33fcbf7aa5d7/telegram%20export/photos/photo_46%4027-06-2026_18-38-52.jpg</x:v>
      </x:c>
    </x:row>
    <x:row r="75" ht="24" hidden="0" customHeight="1">
      <x:c r="A75" s="53" t="str">
        <x:v>SRC071</x:v>
      </x:c>
      <x:c r="B75" s="53" t="str">
        <x:v>telegram export/photos/photo_47@27-06-2026_18-43-30.jpg</x:v>
      </x:c>
      <x:c r="C75" s="53" t="str">
        <x:v>jpg</x:v>
      </x:c>
      <x:c r="D75" s="53" t="n">
        <x:v>145095</x:v>
      </x:c>
      <x:c r="E75" s="53" t="str">
        <x:v>65c4560d70bc56c79da398701f9c98c8ae2ffada8d71d2c3e111e2e24ae1cd86</x:v>
      </x:c>
      <x:c r="F75" s="53" t="str">
        <x:v>بررسی‌شده</x:v>
      </x:c>
      <x:c r="G75" s="53" t="str">
        <x:v>TX0057</x:v>
      </x:c>
      <x:c r="H75" s="53" t="str">
        <x:v>message164</x:v>
      </x:c>
      <x:c r="I75" s="53" t="str">
        <x:v>استخراج‌شده</x:v>
      </x:c>
      <x:c r="J75" s="53" t="str">
        <x:v>تصویر تکراری.</x:v>
      </x:c>
      <x:c r="K75" s="53" t="str">
        <x:v>https://github.com/SireJeff/anjoman-accounting/blob/6a005a29ab910c0599fc061d27ea33fcbf7aa5d7/telegram%20export/photos/photo_47%4027-06-2026_18-43-30.jpg</x:v>
      </x:c>
    </x:row>
    <x:row r="76" ht="24" hidden="0" customHeight="1">
      <x:c r="A76" s="53" t="str">
        <x:v>SRC072</x:v>
      </x:c>
      <x:c r="B76" s="53" t="str">
        <x:v>telegram export/photos/photo_48@27-06-2026_18-43-30.jpg</x:v>
      </x:c>
      <x:c r="C76" s="53" t="str">
        <x:v>jpg</x:v>
      </x:c>
      <x:c r="D76" s="53" t="n">
        <x:v>64244</x:v>
      </x:c>
      <x:c r="E76" s="53" t="str">
        <x:v>20df96b527f0c957a11188d14f66f9281587d18e0b3e31457b0db70daf899449</x:v>
      </x:c>
      <x:c r="F76" s="53" t="str">
        <x:v>بررسی‌شده</x:v>
      </x:c>
      <x:c r="G76" s="53" t="str">
        <x:v>TX0051</x:v>
      </x:c>
      <x:c r="H76" s="53" t="str">
        <x:v>message165</x:v>
      </x:c>
      <x:c r="I76" s="53" t="str">
        <x:v>استخراج‌شده</x:v>
      </x:c>
      <x:c r="J76" s="53" t="str">
        <x:v>تصویر تکراری.</x:v>
      </x:c>
      <x:c r="K76" s="53" t="str">
        <x:v>https://github.com/SireJeff/anjoman-accounting/blob/6a005a29ab910c0599fc061d27ea33fcbf7aa5d7/telegram%20export/photos/photo_48%4027-06-2026_18-43-30.jpg</x:v>
      </x:c>
    </x:row>
    <x:row r="77" ht="24" hidden="0" customHeight="1">
      <x:c r="A77" s="53" t="str">
        <x:v>SRC073</x:v>
      </x:c>
      <x:c r="B77" s="53" t="str">
        <x:v>telegram export/photos/photo_4@25-07-2025_04-04-24.jpg</x:v>
      </x:c>
      <x:c r="C77" s="53" t="str">
        <x:v>jpg</x:v>
      </x:c>
      <x:c r="D77" s="53" t="n">
        <x:v>74199</x:v>
      </x:c>
      <x:c r="E77" s="53" t="str">
        <x:v>5034c1ebaa4bd3c07a59eaf0de3840e0ed1486387ba2b1e9c2832c748b3979a7</x:v>
      </x:c>
      <x:c r="F77" s="53" t="str">
        <x:v>بررسی‌شده</x:v>
      </x:c>
      <x:c r="G77" s="53" t="str">
        <x:v>TX0005</x:v>
      </x:c>
      <x:c r="H77" s="53" t="str">
        <x:v>message29</x:v>
      </x:c>
      <x:c r="I77" s="53" t="str">
        <x:v>استخراج‌شده</x:v>
      </x:c>
      <x:c r="J77" s="53" t="str"/>
      <x:c r="K77" s="53" t="str">
        <x:v>https://github.com/SireJeff/anjoman-accounting/blob/6a005a29ab910c0599fc061d27ea33fcbf7aa5d7/telegram%20export/photos/photo_4%4025-07-2025_04-04-24.jpg</x:v>
      </x:c>
    </x:row>
    <x:row r="78" ht="24" hidden="0" customHeight="1">
      <x:c r="A78" s="53" t="str">
        <x:v>SRC074</x:v>
      </x:c>
      <x:c r="B78" s="53" t="str">
        <x:v>telegram export/photos/photo_5@25-07-2025_04-08-41.jpg</x:v>
      </x:c>
      <x:c r="C78" s="53" t="str">
        <x:v>jpg</x:v>
      </x:c>
      <x:c r="D78" s="53" t="n">
        <x:v>74870</x:v>
      </x:c>
      <x:c r="E78" s="53" t="str">
        <x:v>097c6be0efefe88b7e213d3f6aba5f4dc6a9e813bd3aed9162a991d6f68aeb4b</x:v>
      </x:c>
      <x:c r="F78" s="53" t="str">
        <x:v>بررسی‌شده</x:v>
      </x:c>
      <x:c r="G78" s="53" t="str">
        <x:v>TX0006</x:v>
      </x:c>
      <x:c r="H78" s="53" t="str">
        <x:v>message30</x:v>
      </x:c>
      <x:c r="I78" s="53" t="str">
        <x:v>استخراج‌شده</x:v>
      </x:c>
      <x:c r="J78" s="53" t="str"/>
      <x:c r="K78" s="53" t="str">
        <x:v>https://github.com/SireJeff/anjoman-accounting/blob/6a005a29ab910c0599fc061d27ea33fcbf7aa5d7/telegram%20export/photos/photo_5%4025-07-2025_04-08-41.jpg</x:v>
      </x:c>
    </x:row>
    <x:row r="79" ht="24" hidden="0" customHeight="1">
      <x:c r="A79" s="53" t="str">
        <x:v>SRC075</x:v>
      </x:c>
      <x:c r="B79" s="53" t="str">
        <x:v>telegram export/photos/photo_6@25-07-2025_15-53-39.jpg</x:v>
      </x:c>
      <x:c r="C79" s="53" t="str">
        <x:v>jpg</x:v>
      </x:c>
      <x:c r="D79" s="53" t="n">
        <x:v>74748</x:v>
      </x:c>
      <x:c r="E79" s="53" t="str">
        <x:v>26c18dafda65ecb48d670d908ff9a6c650df2905684e12dc23e64ef7a00a2547</x:v>
      </x:c>
      <x:c r="F79" s="53" t="str">
        <x:v>بررسی‌شده</x:v>
      </x:c>
      <x:c r="G79" s="53" t="str">
        <x:v>TX0007, TX0008</x:v>
      </x:c>
      <x:c r="H79" s="53" t="str">
        <x:v>message31</x:v>
      </x:c>
      <x:c r="I79" s="53" t="str">
        <x:v>استخراج‌شده</x:v>
      </x:c>
      <x:c r="J79" s="53" t="str"/>
      <x:c r="K79" s="53" t="str">
        <x:v>https://github.com/SireJeff/anjoman-accounting/blob/6a005a29ab910c0599fc061d27ea33fcbf7aa5d7/telegram%20export/photos/photo_6%4025-07-2025_15-53-39.jpg</x:v>
      </x:c>
    </x:row>
    <x:row r="80" ht="24" hidden="0" customHeight="1">
      <x:c r="A80" s="53" t="str">
        <x:v>SRC076</x:v>
      </x:c>
      <x:c r="B80" s="53" t="str">
        <x:v>telegram export/photos/photo_7@11-08-2025_15-51-55.jpg</x:v>
      </x:c>
      <x:c r="C80" s="53" t="str">
        <x:v>jpg</x:v>
      </x:c>
      <x:c r="D80" s="53" t="n">
        <x:v>71573</x:v>
      </x:c>
      <x:c r="E80" s="53" t="str">
        <x:v>7cea1f63bcc0623f6f084e71e2aeea383f1f5648bfcdf5e8b6785cc5a6ec980d</x:v>
      </x:c>
      <x:c r="F80" s="53" t="str">
        <x:v>بررسی‌شده</x:v>
      </x:c>
      <x:c r="G80" s="53" t="str">
        <x:v>TX0011</x:v>
      </x:c>
      <x:c r="H80" s="53" t="str">
        <x:v>message42</x:v>
      </x:c>
      <x:c r="I80" s="53" t="str">
        <x:v>استخراج‌شده</x:v>
      </x:c>
      <x:c r="J80" s="53" t="str"/>
      <x:c r="K80" s="53" t="str">
        <x:v>https://github.com/SireJeff/anjoman-accounting/blob/6a005a29ab910c0599fc061d27ea33fcbf7aa5d7/telegram%20export/photos/photo_7%4011-08-2025_15-51-55.jpg</x:v>
      </x:c>
    </x:row>
    <x:row r="81" ht="24" hidden="0" customHeight="1">
      <x:c r="A81" s="53" t="str">
        <x:v>SRC077</x:v>
      </x:c>
      <x:c r="B81" s="53" t="str">
        <x:v>telegram export/photos/photo_8@12-08-2025_09-58-34.jpg</x:v>
      </x:c>
      <x:c r="C81" s="53" t="str">
        <x:v>jpg</x:v>
      </x:c>
      <x:c r="D81" s="53" t="n">
        <x:v>74246</x:v>
      </x:c>
      <x:c r="E81" s="53" t="str">
        <x:v>644eada63dc0f6deb5768ffcb5bf455d0cda0ea15dd20247a08aedaf6a6c2863</x:v>
      </x:c>
      <x:c r="F81" s="53" t="str">
        <x:v>بررسی‌شده</x:v>
      </x:c>
      <x:c r="G81" s="53" t="str">
        <x:v>TX0009</x:v>
      </x:c>
      <x:c r="H81" s="53" t="str">
        <x:v>message44</x:v>
      </x:c>
      <x:c r="I81" s="53" t="str">
        <x:v>استخراج‌شده</x:v>
      </x:c>
      <x:c r="J81" s="53" t="str"/>
      <x:c r="K81" s="53" t="str">
        <x:v>https://github.com/SireJeff/anjoman-accounting/blob/6a005a29ab910c0599fc061d27ea33fcbf7aa5d7/telegram%20export/photos/photo_8%4012-08-2025_09-58-34.jpg</x:v>
      </x:c>
    </x:row>
    <x:row r="82" ht="24" hidden="0" customHeight="1">
      <x:c r="A82" s="53" t="str">
        <x:v>SRC078</x:v>
      </x:c>
      <x:c r="B82" s="53" t="str">
        <x:v>telegram export/photos/photo_9@12-08-2025_09-58-34.jpg</x:v>
      </x:c>
      <x:c r="C82" s="53" t="str">
        <x:v>jpg</x:v>
      </x:c>
      <x:c r="D82" s="53" t="n">
        <x:v>254809</x:v>
      </x:c>
      <x:c r="E82" s="53" t="str">
        <x:v>5c47322f7a512fb80b48f0044a38ac5a9222176efd200637dbdac21211145ca5</x:v>
      </x:c>
      <x:c r="F82" s="53" t="str">
        <x:v>بررسی‌شده</x:v>
      </x:c>
      <x:c r="G82" s="53" t="str">
        <x:v>TX0009</x:v>
      </x:c>
      <x:c r="H82" s="53" t="str">
        <x:v>message46</x:v>
      </x:c>
      <x:c r="I82" s="53" t="str">
        <x:v>فقط برای زمینه</x:v>
      </x:c>
      <x:c r="J82" s="53" t="str">
        <x:v>تصویر صفحه تبلیغ؛ بدون تراکنش.</x:v>
      </x:c>
      <x:c r="K82" s="53" t="str">
        <x:v>https://github.com/SireJeff/anjoman-accounting/blob/6a005a29ab910c0599fc061d27ea33fcbf7aa5d7/telegram%20export/photos/photo_9%4012-08-2025_09-58-34.jpg</x:v>
      </x:c>
    </x:row>
  </x:sheetData>
  <x:mergeCells>
    <x:mergeCell ref="A2:F2"/>
  </x:mergeCells>
  <x:pageMargins left="0.7" right="0.7" top="0.75" bottom="0.75" header="0.3" footer="0.3"/>
  <x:tableParts count="1">
    <x:tablePart xmlns:r="http://schemas.openxmlformats.org/officeDocument/2006/relationships" r:id="R3f5d153eadc643ad"/>
  </x:tableParts>
</x:worksheet>
</file>

<file path=xl/worksheets/sheet11.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15" hidden="0" customWidth="1"/>
    <x:col min="2" max="2" width="35" hidden="0" customWidth="1"/>
    <x:col min="3" max="3" width="32" hidden="0" customWidth="1"/>
    <x:col min="4" max="4" width="115" hidden="0" customWidth="1"/>
    <x:col min="5" max="5" width="28" hidden="0" customWidth="1"/>
    <x:col min="6" max="6" width="100" hidden="0" customWidth="1"/>
    <x:col min="7" max="7" width="20" hidden="0" customWidth="1"/>
  </x:cols>
  <x:sheetData>
    <x:row r="1" ht="15" hidden="0" customHeight="1">
      <x:c r="A1" s="51"/>
      <x:c r="B1" s="51"/>
      <x:c r="C1" s="51"/>
      <x:c r="D1" s="51"/>
      <x:c r="E1" s="51"/>
      <x:c r="F1" s="51"/>
      <x:c r="G1" s="51"/>
    </x:row>
    <x:row r="2" ht="16.799999237060547" hidden="0" customHeight="1">
      <x:c r="A2" s="52" t="str">
        <x:v>پیام‌های منبع تلگرام | پاسخ‌ها و پیوست‌ها حفظ شده‌اند</x:v>
      </x:c>
      <x:c r="B2" s="51"/>
      <x:c r="C2" s="51"/>
      <x:c r="D2" s="51"/>
      <x:c r="E2" s="51"/>
      <x:c r="F2" s="51"/>
      <x:c r="G2" s="51"/>
    </x:row>
    <x:row r="3" ht="15" hidden="0" customHeight="1">
      <x:c r="A3" s="51"/>
      <x:c r="B3" s="51"/>
      <x:c r="C3" s="51"/>
      <x:c r="D3" s="51"/>
      <x:c r="E3" s="51"/>
      <x:c r="F3" s="51"/>
      <x:c r="G3" s="51"/>
    </x:row>
    <x:row r="4" ht="15" hidden="0" customHeight="1">
      <x:c r="A4" s="39" t="str">
        <x:v>شناسه پیام</x:v>
      </x:c>
      <x:c r="B4" s="39" t="str">
        <x:v>زمان‌مهر مطابق خروجی</x:v>
      </x:c>
      <x:c r="C4" s="39" t="str">
        <x:v>فرستنده</x:v>
      </x:c>
      <x:c r="D4" s="39" t="str">
        <x:v>متن پیام</x:v>
      </x:c>
      <x:c r="E4" s="39" t="str">
        <x:v>مرجع پاسخ</x:v>
      </x:c>
      <x:c r="F4" s="39" t="str">
        <x:v>پیوست‌ها</x:v>
      </x:c>
      <x:c r="G4" s="39" t="str">
        <x:v>رسانه در دسترس نیست</x:v>
      </x:c>
    </x:row>
    <x:row r="5" ht="15" hidden="0" customHeight="1">
      <x:c r="A5" s="53" t="str">
        <x:v>message-1</x:v>
      </x:c>
      <x:c r="B5" s="53"/>
      <x:c r="C5" s="53" t="str"/>
      <x:c r="D5" s="53" t="str"/>
      <x:c r="E5" s="53" t="str"/>
      <x:c r="F5" s="53" t="str"/>
      <x:c r="G5" s="53" t="str">
        <x:v>خیر</x:v>
      </x:c>
    </x:row>
    <x:row r="6" ht="15" hidden="0" customHeight="1">
      <x:c r="A6" s="53" t="str">
        <x:v>message1</x:v>
      </x:c>
      <x:c r="B6" s="53"/>
      <x:c r="C6" s="53" t="str"/>
      <x:c r="D6" s="53" t="str"/>
      <x:c r="E6" s="53" t="str"/>
      <x:c r="F6" s="53" t="str"/>
      <x:c r="G6" s="53" t="str">
        <x:v>خیر</x:v>
      </x:c>
    </x:row>
    <x:row r="7" ht="15" hidden="0" customHeight="1">
      <x:c r="A7" s="53" t="str">
        <x:v>message5</x:v>
      </x:c>
      <x:c r="B7" s="53" t="str">
        <x:v>24.07.2025 20:46:34 UTC+03:30</x:v>
      </x:c>
      <x:c r="C7" s="53" t="str">
        <x:v>امین عزیزی</x:v>
      </x:c>
      <x:c r="D7" s="53" t="str"/>
      <x:c r="E7" s="53" t="str"/>
      <x:c r="F7" s="53" t="str"/>
      <x:c r="G7" s="53" t="str">
        <x:v>بله</x:v>
      </x:c>
    </x:row>
    <x:row r="8" ht="15" hidden="0" customHeight="1">
      <x:c r="A8" s="53" t="str">
        <x:v>message6</x:v>
      </x:c>
      <x:c r="B8" s="53" t="str">
        <x:v>24.07.2025 20:47:03 UTC+03:30</x:v>
      </x:c>
      <x:c r="C8" s="53" t="str">
        <x:v>Deleted Account</x:v>
      </x:c>
      <x:c r="D8" s="53" t="str"/>
      <x:c r="E8" s="53" t="str"/>
      <x:c r="F8" s="53" t="str">
        <x:v>telegram export/files/report_Python.txt</x:v>
      </x:c>
      <x:c r="G8" s="53" t="str">
        <x:v>خیر</x:v>
      </x:c>
    </x:row>
    <x:row r="9" ht="15" hidden="0" customHeight="1">
      <x:c r="A9" s="53" t="str">
        <x:v>message7</x:v>
      </x:c>
      <x:c r="B9" s="53" t="str">
        <x:v>24.07.2025 20:47:03 UTC+03:30</x:v>
      </x:c>
      <x:c r="C9" s="53" t="str">
        <x:v>Deleted Account</x:v>
      </x:c>
      <x:c r="D9" s="53" t="str"/>
      <x:c r="E9" s="53" t="str"/>
      <x:c r="F9" s="53" t="str">
        <x:v>telegram export/files/report_LaTeX.txt</x:v>
      </x:c>
      <x:c r="G9" s="53" t="str">
        <x:v>خیر</x:v>
      </x:c>
    </x:row>
    <x:row r="10" ht="15" hidden="0" customHeight="1">
      <x:c r="A10" s="53" t="str">
        <x:v>message8</x:v>
      </x:c>
      <x:c r="B10" s="53" t="str">
        <x:v>24.07.2025 20:47:03 UTC+03:30</x:v>
      </x:c>
      <x:c r="C10" s="53" t="str">
        <x:v>Deleted Account</x:v>
      </x:c>
      <x:c r="D10" s="53" t="str"/>
      <x:c r="E10" s="53" t="str"/>
      <x:c r="F10" s="53" t="str">
        <x:v>telegram export/files/report_Mathematica.txt</x:v>
      </x:c>
      <x:c r="G10" s="53" t="str">
        <x:v>خیر</x:v>
      </x:c>
    </x:row>
    <x:row r="11" ht="15" hidden="0" customHeight="1">
      <x:c r="A11" s="53" t="str">
        <x:v>message9</x:v>
      </x:c>
      <x:c r="B11" s="53" t="str">
        <x:v>24.07.2025 20:47:07 UTC+03:30</x:v>
      </x:c>
      <x:c r="C11" s="53" t="str">
        <x:v>Deleted Account</x:v>
      </x:c>
      <x:c r="D11" s="53" t="str">
        <x:v>بنازم روحیه</x:v>
      </x:c>
      <x:c r="E11" s="53" t="str">
        <x:v>#go_to_message5</x:v>
      </x:c>
      <x:c r="F11" s="53" t="str"/>
      <x:c r="G11" s="53" t="str">
        <x:v>خیر</x:v>
      </x:c>
    </x:row>
    <x:row r="12" ht="15" hidden="0" customHeight="1">
      <x:c r="A12" s="53" t="str">
        <x:v>message10</x:v>
      </x:c>
      <x:c r="B12" s="53" t="str">
        <x:v>24.07.2025 20:47:12 UTC+03:30</x:v>
      </x:c>
      <x:c r="C12" s="53" t="str">
        <x:v>Deleted Account</x:v>
      </x:c>
      <x:c r="D12" s="53" t="str">
        <x:v>3480 جو</x:v>
      </x:c>
      <x:c r="E12" s="53" t="str"/>
      <x:c r="F12" s="53" t="str"/>
      <x:c r="G12" s="53" t="str">
        <x:v>خیر</x:v>
      </x:c>
    </x:row>
    <x:row r="13" ht="15" hidden="0" customHeight="1">
      <x:c r="A13" s="53" t="str">
        <x:v>message11</x:v>
      </x:c>
      <x:c r="B13" s="53" t="str">
        <x:v>24.07.2025 20:47:34 UTC+03:30</x:v>
      </x:c>
      <x:c r="C13" s="53" t="str">
        <x:v>امین عزیزی</x:v>
      </x:c>
      <x:c r="D13" s="53" t="str">
        <x:v>به هر مدرس چقدر میدیم؟</x:v>
      </x:c>
      <x:c r="E13" s="53" t="str"/>
      <x:c r="F13" s="53" t="str"/>
      <x:c r="G13" s="53" t="str">
        <x:v>خیر</x:v>
      </x:c>
    </x:row>
    <x:row r="14" ht="15" hidden="0" customHeight="1">
      <x:c r="A14" s="53" t="str">
        <x:v>message12</x:v>
      </x:c>
      <x:c r="B14" s="53" t="str">
        <x:v>24.07.2025 20:47:42 UTC+03:30</x:v>
      </x:c>
      <x:c r="C14" s="53" t="str">
        <x:v>Deleted Account</x:v>
      </x:c>
      <x:c r="D14" s="53" t="str">
        <x:v>2934 سهراب</x:v>
      </x:c>
      <x:c r="E14" s="53" t="str"/>
      <x:c r="F14" s="53" t="str"/>
      <x:c r="G14" s="53" t="str">
        <x:v>خیر</x:v>
      </x:c>
    </x:row>
    <x:row r="15" ht="15" hidden="0" customHeight="1">
      <x:c r="A15" s="53" t="str">
        <x:v>message13</x:v>
      </x:c>
      <x:c r="B15" s="53" t="str">
        <x:v>24.07.2025 20:48:09 UTC+03:30</x:v>
      </x:c>
      <x:c r="C15" s="53" t="str">
        <x:v>Deleted Account</x:v>
      </x:c>
      <x:c r="D15" s="53" t="str">
        <x:v>3678 متین</x:v>
      </x:c>
      <x:c r="E15" s="53" t="str"/>
      <x:c r="F15" s="53" t="str"/>
      <x:c r="G15" s="53" t="str">
        <x:v>خیر</x:v>
      </x:c>
    </x:row>
    <x:row r="16" ht="15" hidden="0" customHeight="1">
      <x:c r="A16" s="53" t="str">
        <x:v>message14</x:v>
      </x:c>
      <x:c r="B16" s="53" t="str">
        <x:v>24.07.2025 20:48:20 UTC+03:30</x:v>
      </x:c>
      <x:c r="C16" s="53" t="str">
        <x:v>Deleted Account</x:v>
      </x:c>
      <x:c r="D16" s="53" t="str">
        <x:v>همرو تا صد تومن گرد میکنیم</x:v>
      </x:c>
      <x:c r="E16" s="53" t="str"/>
      <x:c r="F16" s="53" t="str"/>
      <x:c r="G16" s="53" t="str">
        <x:v>خیر</x:v>
      </x:c>
    </x:row>
    <x:row r="17" ht="15" hidden="0" customHeight="1">
      <x:c r="A17" s="53" t="str">
        <x:v>message15</x:v>
      </x:c>
      <x:c r="B17" s="53" t="str">
        <x:v>24.07.2025 20:48:50 UTC+03:30</x:v>
      </x:c>
      <x:c r="C17" s="53" t="str">
        <x:v>Deleted Account</x:v>
      </x:c>
      <x:c r="D17" s="53" t="str">
        <x:v>از همین الان یه شیت تراز مالی با یه شیت حساب پرداختنی دریافتنی</x:v>
      </x:c>
      <x:c r="E17" s="53" t="str"/>
      <x:c r="F17" s="53" t="str"/>
      <x:c r="G17" s="53" t="str">
        <x:v>خیر</x:v>
      </x:c>
    </x:row>
    <x:row r="18" ht="15" hidden="0" customHeight="1">
      <x:c r="A18" s="53" t="str">
        <x:v>message16</x:v>
      </x:c>
      <x:c r="B18" s="53" t="str">
        <x:v>24.07.2025 20:48:53 UTC+03:30</x:v>
      </x:c>
      <x:c r="C18" s="53" t="str">
        <x:v>Deleted Account</x:v>
      </x:c>
      <x:c r="D18" s="53" t="str">
        <x:v>بزن تو کارش</x:v>
      </x:c>
      <x:c r="E18" s="53" t="str"/>
      <x:c r="F18" s="53" t="str"/>
      <x:c r="G18" s="53" t="str">
        <x:v>خیر</x:v>
      </x:c>
    </x:row>
    <x:row r="19" ht="15" hidden="0" customHeight="1">
      <x:c r="A19" s="53" t="str">
        <x:v>message17</x:v>
      </x:c>
      <x:c r="B19" s="53" t="str">
        <x:v>24.07.2025 20:49:04 UTC+03:30</x:v>
      </x:c>
      <x:c r="C19" s="53" t="str">
        <x:v>Deleted Account</x:v>
      </x:c>
      <x:c r="D19" s="53" t="str">
        <x:v>اینا رو بلدی</x:v>
      </x:c>
      <x:c r="E19" s="53" t="str"/>
      <x:c r="F19" s="53" t="str"/>
      <x:c r="G19" s="53" t="str">
        <x:v>خیر</x:v>
      </x:c>
    </x:row>
    <x:row r="20" ht="15" hidden="0" customHeight="1">
      <x:c r="A20" s="53" t="str">
        <x:v>message18</x:v>
      </x:c>
      <x:c r="B20" s="53" t="str">
        <x:v>24.07.2025 20:49:04 UTC+03:30</x:v>
      </x:c>
      <x:c r="C20" s="53" t="str">
        <x:v>امین عزیزی</x:v>
      </x:c>
      <x:c r="D20" s="53" t="str">
        <x:v>حلهمن برسم تهران که نت خوب داشته باشم(قبلاً اینجایی که هستم نت خوب بود) شیت درست میکنم</x:v>
      </x:c>
      <x:c r="E20" s="53" t="str"/>
      <x:c r="F20" s="53" t="str"/>
      <x:c r="G20" s="53" t="str">
        <x:v>خیر</x:v>
      </x:c>
    </x:row>
    <x:row r="21" ht="15" hidden="0" customHeight="1">
      <x:c r="A21" s="53" t="str">
        <x:v>message19</x:v>
      </x:c>
      <x:c r="B21" s="53" t="str">
        <x:v>24.07.2025 20:49:19 UTC+03:30</x:v>
      </x:c>
      <x:c r="C21" s="53" t="str">
        <x:v>Deleted Account</x:v>
      </x:c>
      <x:c r="D21" s="53" t="str">
        <x:v>اگه هم بلد نیستی باید به عنوان بیزنس من آینده یاد بگیری</x:v>
      </x:c>
      <x:c r="E21" s="53" t="str"/>
      <x:c r="F21" s="53" t="str"/>
      <x:c r="G21" s="53" t="str">
        <x:v>خیر</x:v>
      </x:c>
    </x:row>
    <x:row r="22" ht="15" hidden="0" customHeight="1">
      <x:c r="A22" s="53" t="str">
        <x:v>message20</x:v>
      </x:c>
      <x:c r="B22" s="53" t="str">
        <x:v>24.07.2025 20:49:23 UTC+03:30</x:v>
      </x:c>
      <x:c r="C22" s="53" t="str">
        <x:v>Deleted Account</x:v>
      </x:c>
      <x:c r="D22" s="53" t="str">
        <x:v>بنازم</x:v>
      </x:c>
      <x:c r="E22" s="53" t="str">
        <x:v>#go_to_message18</x:v>
      </x:c>
      <x:c r="F22" s="53" t="str"/>
      <x:c r="G22" s="53" t="str">
        <x:v>خیر</x:v>
      </x:c>
    </x:row>
    <x:row r="23" ht="15" hidden="0" customHeight="1">
      <x:c r="A23" s="53" t="str">
        <x:v>message21</x:v>
      </x:c>
      <x:c r="B23" s="53" t="str">
        <x:v>24.07.2025 20:49:47 UTC+03:30</x:v>
      </x:c>
      <x:c r="C23" s="53" t="str">
        <x:v>امین عزیزی</x:v>
      </x:c>
      <x:c r="D23" s="53" t="str">
        <x:v>یاد گرفتنش کار سی چهل ثانیه‌ست 👌👌</x:v>
      </x:c>
      <x:c r="E23" s="53" t="str">
        <x:v>#go_to_message19</x:v>
      </x:c>
      <x:c r="F23" s="53" t="str"/>
      <x:c r="G23" s="53" t="str">
        <x:v>خیر</x:v>
      </x:c>
    </x:row>
    <x:row r="24" ht="15" hidden="0" customHeight="1">
      <x:c r="A24" s="53" t="str">
        <x:v>message22</x:v>
      </x:c>
      <x:c r="B24" s="53" t="str">
        <x:v>24.07.2025 20:49:56 UTC+03:30</x:v>
      </x:c>
      <x:c r="C24" s="53" t="str">
        <x:v>امین عزیزی</x:v>
      </x:c>
      <x:c r="D24" s="53" t="str">
        <x:v>دوتا دکمه میزنم یاد میگیرم</x:v>
      </x:c>
      <x:c r="E24" s="53" t="str"/>
      <x:c r="F24" s="53" t="str"/>
      <x:c r="G24" s="53" t="str">
        <x:v>خیر</x:v>
      </x:c>
    </x:row>
    <x:row r="25" ht="15" hidden="0" customHeight="1">
      <x:c r="A25" s="53" t="str">
        <x:v>message23</x:v>
      </x:c>
      <x:c r="B25" s="53" t="str">
        <x:v>24.07.2025 20:50:53 UTC+03:30</x:v>
      </x:c>
      <x:c r="C25" s="53" t="str">
        <x:v>Deleted Account</x:v>
      </x:c>
      <x:c r="D25" s="53" t="str">
        <x:v>بنازم</x:v>
      </x:c>
      <x:c r="E25" s="53" t="str"/>
      <x:c r="F25" s="53" t="str"/>
      <x:c r="G25" s="53" t="str">
        <x:v>خیر</x:v>
      </x:c>
    </x:row>
    <x:row r="26" ht="15" hidden="0" customHeight="1">
      <x:c r="A26" s="53" t="str">
        <x:v>message24</x:v>
      </x:c>
      <x:c r="B26" s="53" t="str">
        <x:v>24.07.2025 20:51:00 UTC+03:30</x:v>
      </x:c>
      <x:c r="C26" s="53" t="str">
        <x:v>Deleted Account</x:v>
      </x:c>
      <x:c r="D26" s="53" t="str"/>
      <x:c r="E26" s="53" t="str"/>
      <x:c r="F26" s="53" t="str"/>
      <x:c r="G26" s="53" t="str">
        <x:v>بله</x:v>
      </x:c>
    </x:row>
    <x:row r="27" ht="15" hidden="0" customHeight="1">
      <x:c r="A27" s="53" t="str">
        <x:v>message25</x:v>
      </x:c>
      <x:c r="B27" s="53" t="str">
        <x:v>24.07.2025 21:00:16 UTC+03:30</x:v>
      </x:c>
      <x:c r="C27" s="53" t="str">
        <x:v>Deleted Account</x:v>
      </x:c>
      <x:c r="D27" s="53" t="str">
        <x:v>واریزی کامل حق‌الزحمه مدرس متمتیکا مدرسه تابستانه</x:v>
      </x:c>
      <x:c r="E27" s="53" t="str"/>
      <x:c r="F27" s="53" t="str">
        <x:v>telegram export/photos/photo_1@24-07-2025_21-00-16.jpg</x:v>
      </x:c>
      <x:c r="G27" s="53" t="str">
        <x:v>خیر</x:v>
      </x:c>
    </x:row>
    <x:row r="28" ht="15" hidden="0" customHeight="1">
      <x:c r="A28" s="53" t="str">
        <x:v>message26</x:v>
      </x:c>
      <x:c r="B28" s="53" t="str">
        <x:v>24.07.2025 21:00:17 UTC+03:30</x:v>
      </x:c>
      <x:c r="C28" s="53" t="str">
        <x:v>Deleted Account</x:v>
      </x:c>
      <x:c r="D28" s="53" t="str">
        <x:v>واریزی و تسویه کامل حق‌الزحمه مدرس پایتون مدرسه تابستانه</x:v>
      </x:c>
      <x:c r="E28" s="53" t="str"/>
      <x:c r="F28" s="53" t="str">
        <x:v>telegram export/photos/photo_2@24-07-2025_21-00-17.jpg</x:v>
      </x:c>
      <x:c r="G28" s="53" t="str">
        <x:v>خیر</x:v>
      </x:c>
    </x:row>
    <x:row r="29" ht="15" hidden="0" customHeight="1">
      <x:c r="A29" s="53" t="str">
        <x:v>message27</x:v>
      </x:c>
      <x:c r="B29" s="53" t="str">
        <x:v>24.07.2025 21:02:51 UTC+03:30</x:v>
      </x:c>
      <x:c r="C29" s="53" t="str">
        <x:v>Deleted Account</x:v>
      </x:c>
      <x:c r="D29" s="53" t="str">
        <x:v>واریزی و تسویه کامل حق‌الزحمه مدرس لتک مدرسه تابستانه</x:v>
      </x:c>
      <x:c r="E29" s="53" t="str"/>
      <x:c r="F29" s="53" t="str">
        <x:v>telegram export/photos/photo_3@24-07-2025_21-02-51.jpg</x:v>
      </x:c>
      <x:c r="G29" s="53" t="str">
        <x:v>خیر</x:v>
      </x:c>
    </x:row>
    <x:row r="30" ht="15" hidden="0" customHeight="1">
      <x:c r="A30" s="53" t="str">
        <x:v>message28</x:v>
      </x:c>
      <x:c r="B30" s="53" t="str">
        <x:v>24.07.2025 21:02:54 UTC+03:30</x:v>
      </x:c>
      <x:c r="C30" s="53" t="str">
        <x:v>Deleted Account</x:v>
      </x:c>
      <x:c r="D30" s="53" t="str">
        <x:v>*بانک شهر*سرويس پرداخت لحظه اي (پل)برداشت از:400816808774مبلغ:37,000,000ريالموجودي:230,203,965 ريال1404/05/2 21:01:41</x:v>
      </x:c>
      <x:c r="E30" s="53" t="str"/>
      <x:c r="F30" s="53" t="str"/>
      <x:c r="G30" s="53" t="str">
        <x:v>خیر</x:v>
      </x:c>
    </x:row>
    <x:row r="31" ht="15" hidden="0" customHeight="1">
      <x:c r="A31" s="53" t="str">
        <x:v>message-2</x:v>
      </x:c>
      <x:c r="B31" s="53"/>
      <x:c r="C31" s="53" t="str">
        <x:v>Deleted Account</x:v>
      </x:c>
      <x:c r="D31" s="53" t="str"/>
      <x:c r="E31" s="53" t="str"/>
      <x:c r="F31" s="53" t="str"/>
      <x:c r="G31" s="53" t="str">
        <x:v>خیر</x:v>
      </x:c>
    </x:row>
    <x:row r="32" ht="15" hidden="0" customHeight="1">
      <x:c r="A32" s="53" t="str">
        <x:v>message29</x:v>
      </x:c>
      <x:c r="B32" s="53" t="str">
        <x:v>25.07.2025 04:04:24 UTC+03:30</x:v>
      </x:c>
      <x:c r="C32" s="53" t="str">
        <x:v>Deleted Account</x:v>
      </x:c>
      <x:c r="D32" s="53" t="str">
        <x:v>واریزی حق الزحمه تی‌ای و فرم و شیت ابراهیم خسروانی مدرسه تابستانه</x:v>
      </x:c>
      <x:c r="E32" s="53" t="str"/>
      <x:c r="F32" s="53" t="str">
        <x:v>telegram export/photos/photo_4@25-07-2025_04-04-24.jpg</x:v>
      </x:c>
      <x:c r="G32" s="53" t="str">
        <x:v>خیر</x:v>
      </x:c>
    </x:row>
    <x:row r="33" ht="15" hidden="0" customHeight="1">
      <x:c r="A33" s="53" t="str">
        <x:v>message30</x:v>
      </x:c>
      <x:c r="B33" s="53" t="str">
        <x:v>25.07.2025 04:08:41 UTC+03:30</x:v>
      </x:c>
      <x:c r="C33" s="53" t="str">
        <x:v>Deleted Account</x:v>
      </x:c>
      <x:c r="D33" s="53" t="str">
        <x:v>واریزی حق‌الزحمه ثبت نامی و تی ای پایتون مدرسه تابستانه سپهر طلائی</x:v>
      </x:c>
      <x:c r="E33" s="53" t="str"/>
      <x:c r="F33" s="53" t="str">
        <x:v>telegram export/photos/photo_5@25-07-2025_04-08-41.jpg</x:v>
      </x:c>
      <x:c r="G33" s="53" t="str">
        <x:v>خیر</x:v>
      </x:c>
    </x:row>
    <x:row r="34" ht="15" hidden="0" customHeight="1">
      <x:c r="A34" s="53" t="str">
        <x:v>message31</x:v>
      </x:c>
      <x:c r="B34" s="53" t="str">
        <x:v>25.07.2025 15:53:39 UTC+03:30</x:v>
      </x:c>
      <x:c r="C34" s="53" t="str">
        <x:v>Deleted Account</x:v>
      </x:c>
      <x:c r="D34" s="53" t="str">
        <x:v>واریزی حق‌الزحمه امین عزیزی فرآیند ثبت نامی حسابداری و تی ای پایتون مدرسه تابستانه</x:v>
      </x:c>
      <x:c r="E34" s="53" t="str"/>
      <x:c r="F34" s="53" t="str">
        <x:v>telegram export/photos/photo_6@25-07-2025_15-53-39.jpg</x:v>
      </x:c>
      <x:c r="G34" s="53" t="str">
        <x:v>خیر</x:v>
      </x:c>
    </x:row>
    <x:row r="35" ht="15" hidden="0" customHeight="1">
      <x:c r="A35" s="53" t="str">
        <x:v>message32</x:v>
      </x:c>
      <x:c r="B35" s="53" t="str">
        <x:v>25.07.2025 17:26:11 UTC+03:30</x:v>
      </x:c>
      <x:c r="C35" s="53" t="str">
        <x:v>Deleted Account</x:v>
      </x:c>
      <x:c r="D35" s="53" t="str">
        <x:v>*بانک شهر*انتقال وجه کارتيبرداشت از:400816808774مبلغ:6,009,000ريالموجودي:220,589,565 ريال1404/05/3 15:52:09</x:v>
      </x:c>
      <x:c r="E35" s="53" t="str"/>
      <x:c r="F35" s="53" t="str"/>
      <x:c r="G35" s="53" t="str">
        <x:v>خیر</x:v>
      </x:c>
    </x:row>
    <x:row r="36" ht="15" hidden="0" customHeight="1">
      <x:c r="A36" s="53" t="str">
        <x:v>message33</x:v>
      </x:c>
      <x:c r="B36" s="53" t="str">
        <x:v>25.07.2025 17:26:46 UTC+03:30</x:v>
      </x:c>
      <x:c r="C36" s="53" t="str">
        <x:v>امین عزیزی</x:v>
      </x:c>
      <x:c r="D36" s="53" t="str">
        <x:v>به چه شخصی؟</x:v>
      </x:c>
      <x:c r="E36" s="53" t="str">
        <x:v>#go_to_message32</x:v>
      </x:c>
      <x:c r="F36" s="53" t="str"/>
      <x:c r="G36" s="53" t="str">
        <x:v>خیر</x:v>
      </x:c>
    </x:row>
    <x:row r="37" ht="15" hidden="0" customHeight="1">
      <x:c r="A37" s="53" t="str">
        <x:v>message34</x:v>
      </x:c>
      <x:c r="B37" s="53" t="str">
        <x:v>25.07.2025 17:34:21 UTC+03:30</x:v>
      </x:c>
      <x:c r="C37" s="53" t="str">
        <x:v>Deleted Account</x:v>
      </x:c>
      <x:c r="D37" s="53" t="str">
        <x:v>این همین اخریه</x:v>
      </x:c>
      <x:c r="E37" s="53" t="str">
        <x:v>#go_to_message31</x:v>
      </x:c>
      <x:c r="F37" s="53" t="str"/>
      <x:c r="G37" s="53" t="str">
        <x:v>خیر</x:v>
      </x:c>
    </x:row>
    <x:row r="38" ht="15" hidden="0" customHeight="1">
      <x:c r="A38" s="53" t="str">
        <x:v>message35</x:v>
      </x:c>
      <x:c r="B38" s="53" t="str">
        <x:v>25.07.2025 17:34:31 UTC+03:30</x:v>
      </x:c>
      <x:c r="C38" s="53" t="str">
        <x:v>Deleted Account</x:v>
      </x:c>
      <x:c r="D38" s="53" t="str">
        <x:v>این موجودی نهایی رو فعلا ثبت کن</x:v>
      </x:c>
      <x:c r="E38" s="53" t="str"/>
      <x:c r="F38" s="53" t="str"/>
      <x:c r="G38" s="53" t="str">
        <x:v>خیر</x:v>
      </x:c>
    </x:row>
    <x:row r="39" ht="15" hidden="0" customHeight="1">
      <x:c r="A39" s="53" t="str">
        <x:v>message-3</x:v>
      </x:c>
      <x:c r="B39" s="53"/>
      <x:c r="C39" s="53" t="str">
        <x:v>Deleted Account</x:v>
      </x:c>
      <x:c r="D39" s="53" t="str"/>
      <x:c r="E39" s="53" t="str"/>
      <x:c r="F39" s="53" t="str"/>
      <x:c r="G39" s="53" t="str">
        <x:v>خیر</x:v>
      </x:c>
    </x:row>
    <x:row r="40" ht="15" hidden="0" customHeight="1">
      <x:c r="A40" s="53" t="str">
        <x:v>message36</x:v>
      </x:c>
      <x:c r="B40" s="53" t="str">
        <x:v>26.07.2025 08:05:51 UTC+03:30</x:v>
      </x:c>
      <x:c r="C40" s="53" t="str">
        <x:v>امین عزیزی</x:v>
      </x:c>
      <x:c r="D40" s="53" t="str">
        <x:v>حسن از قبل تو کارتت پول بوده؟</x:v>
      </x:c>
      <x:c r="E40" s="53" t="str"/>
      <x:c r="F40" s="53" t="str"/>
      <x:c r="G40" s="53" t="str">
        <x:v>خیر</x:v>
      </x:c>
    </x:row>
    <x:row r="41" ht="15" hidden="0" customHeight="1">
      <x:c r="A41" s="53" t="str">
        <x:v>message37</x:v>
      </x:c>
      <x:c r="B41" s="53" t="str">
        <x:v>26.07.2025 08:06:15 UTC+03:30</x:v>
      </x:c>
      <x:c r="C41" s="53" t="str">
        <x:v>امین عزیزی</x:v>
      </x:c>
      <x:c r="D41" s="53" t="str">
        <x:v>موجودیش از تراز مالیمون بیشتره😂</x:v>
      </x:c>
      <x:c r="E41" s="53" t="str"/>
      <x:c r="F41" s="53" t="str"/>
      <x:c r="G41" s="53" t="str">
        <x:v>خیر</x:v>
      </x:c>
    </x:row>
    <x:row r="42" ht="15" hidden="0" customHeight="1">
      <x:c r="A42" s="53" t="str">
        <x:v>message38</x:v>
      </x:c>
      <x:c r="B42" s="53" t="str">
        <x:v>26.07.2025 08:07:14 UTC+03:30</x:v>
      </x:c>
      <x:c r="C42" s="53" t="str">
        <x:v>امین عزیزی</x:v>
      </x:c>
      <x:c r="D42" s="53" t="str">
        <x:v>راستی یه ایمیل هم بده بهم که اکسس شیت رو بدم بهش</x:v>
      </x:c>
      <x:c r="E42" s="53" t="str"/>
      <x:c r="F42" s="53" t="str"/>
      <x:c r="G42" s="53" t="str">
        <x:v>خیر</x:v>
      </x:c>
    </x:row>
    <x:row r="43" ht="15" hidden="0" customHeight="1">
      <x:c r="A43" s="53" t="str">
        <x:v>message39</x:v>
      </x:c>
      <x:c r="B43" s="53" t="str">
        <x:v>26.07.2025 09:01:17 UTC+03:30</x:v>
      </x:c>
      <x:c r="C43" s="53" t="str">
        <x:v>Deleted Account</x:v>
      </x:c>
      <x:c r="D43" s="53" t="str">
        <x:v>چهل هزارتومن😂</x:v>
      </x:c>
      <x:c r="E43" s="53" t="str">
        <x:v>#go_to_message37</x:v>
      </x:c>
      <x:c r="F43" s="53" t="str"/>
      <x:c r="G43" s="53" t="str">
        <x:v>خیر</x:v>
      </x:c>
    </x:row>
    <x:row r="44" ht="15" hidden="0" customHeight="1">
      <x:c r="A44" s="53" t="str">
        <x:v>message40</x:v>
      </x:c>
      <x:c r="B44" s="53" t="str">
        <x:v>26.07.2025 09:01:24 UTC+03:30</x:v>
      </x:c>
      <x:c r="C44" s="53" t="str">
        <x:v>Deleted Account</x:v>
      </x:c>
      <x:c r="D44" s="53" t="str">
        <x:v>sandmanshiri@gmail.com</x:v>
      </x:c>
      <x:c r="E44" s="53" t="str">
        <x:v>#go_to_message38</x:v>
      </x:c>
      <x:c r="F44" s="53" t="str"/>
      <x:c r="G44" s="53" t="str">
        <x:v>خیر</x:v>
      </x:c>
    </x:row>
    <x:row r="45" ht="15" hidden="0" customHeight="1">
      <x:c r="A45" s="53" t="str">
        <x:v>message41</x:v>
      </x:c>
      <x:c r="B45" s="53" t="str">
        <x:v>26.07.2025 14:05:44 UTC+03:30</x:v>
      </x:c>
      <x:c r="C45" s="53" t="str">
        <x:v>امین عزیزی</x:v>
      </x:c>
      <x:c r="D45" s="53" t="str">
        <x:v>ایمیل زدم برات</x:v>
      </x:c>
      <x:c r="E45" s="53" t="str"/>
      <x:c r="F45" s="53" t="str"/>
      <x:c r="G45" s="53" t="str">
        <x:v>خیر</x:v>
      </x:c>
    </x:row>
    <x:row r="46" ht="15" hidden="0" customHeight="1">
      <x:c r="A46" s="53" t="str">
        <x:v>message-4</x:v>
      </x:c>
      <x:c r="B46" s="53"/>
      <x:c r="C46" s="53" t="str">
        <x:v>امین عزیزی</x:v>
      </x:c>
      <x:c r="D46" s="53" t="str"/>
      <x:c r="E46" s="53" t="str"/>
      <x:c r="F46" s="53" t="str"/>
      <x:c r="G46" s="53" t="str">
        <x:v>خیر</x:v>
      </x:c>
    </x:row>
    <x:row r="47" ht="15" hidden="0" customHeight="1">
      <x:c r="A47" s="53" t="str">
        <x:v>message42</x:v>
      </x:c>
      <x:c r="B47" s="53" t="str">
        <x:v>11.08.2025 15:51:55 UTC+03:30</x:v>
      </x:c>
      <x:c r="C47" s="53" t="str">
        <x:v>Deleted Account</x:v>
      </x:c>
      <x:c r="D47" s="53" t="str">
        <x:v>بابت ضبط جبرانی جلسه ۳ لتک</x:v>
      </x:c>
      <x:c r="E47" s="53" t="str"/>
      <x:c r="F47" s="53" t="str">
        <x:v>telegram export/photos/photo_7@11-08-2025_15-51-55.jpg</x:v>
      </x:c>
      <x:c r="G47" s="53" t="str">
        <x:v>خیر</x:v>
      </x:c>
    </x:row>
    <x:row r="48" ht="15" hidden="0" customHeight="1">
      <x:c r="A48" s="53" t="str">
        <x:v>message-5</x:v>
      </x:c>
      <x:c r="B48" s="53"/>
      <x:c r="C48" s="53" t="str">
        <x:v>Deleted Account</x:v>
      </x:c>
      <x:c r="D48" s="53" t="str"/>
      <x:c r="E48" s="53" t="str"/>
      <x:c r="F48" s="53" t="str"/>
      <x:c r="G48" s="53" t="str">
        <x:v>خیر</x:v>
      </x:c>
    </x:row>
    <x:row r="49" ht="15" hidden="0" customHeight="1">
      <x:c r="A49" s="53" t="str">
        <x:v>message43</x:v>
      </x:c>
      <x:c r="B49" s="53" t="str">
        <x:v>12.08.2025 09:58:34 UTC+03:30</x:v>
      </x:c>
      <x:c r="C49" s="53" t="str">
        <x:v>Deleted Account</x:v>
      </x:c>
      <x:c r="D49" s="53" t="str">
        <x:v>تبلیغات مدرسه مهمات شریف</x:v>
      </x:c>
      <x:c r="E49" s="53" t="str"/>
      <x:c r="F49" s="53" t="str"/>
      <x:c r="G49" s="53" t="str">
        <x:v>خیر</x:v>
      </x:c>
    </x:row>
    <x:row r="50" ht="24" hidden="0" customHeight="1">
      <x:c r="A50" s="53" t="str">
        <x:v>message44</x:v>
      </x:c>
      <x:c r="B50" s="53" t="str">
        <x:v>12.08.2025 09:58:34 UTC+03:30</x:v>
      </x:c>
      <x:c r="C50" s="53" t="str">
        <x:v>Deleted Account
Deleted Account 19.07.2025 16:42:32</x:v>
      </x:c>
      <x:c r="D50" s="53" t="str"/>
      <x:c r="E50" s="53" t="str"/>
      <x:c r="F50" s="53" t="str">
        <x:v>telegram export/photos/photo_8@12-08-2025_09-58-34.jpg</x:v>
      </x:c>
      <x:c r="G50" s="53" t="str">
        <x:v>خیر</x:v>
      </x:c>
    </x:row>
    <x:row r="51" ht="24" hidden="0" customHeight="1">
      <x:c r="A51" s="53" t="str">
        <x:v>message45</x:v>
      </x:c>
      <x:c r="B51" s="53" t="str">
        <x:v>12.08.2025 09:58:34 UTC+03:30</x:v>
      </x:c>
      <x:c r="C51" s="53" t="str">
        <x:v>Deleted Account
Sharif Admin 22.07.2025 11:03:53</x:v>
      </x:c>
      <x:c r="D51" s="53" t="str">
        <x:v>‌.سلام وقتتون بخیر خدمت شما امیدوارم موثر بوده باشه</x:v>
      </x:c>
      <x:c r="E51" s="53" t="str"/>
      <x:c r="F51" s="53" t="str"/>
      <x:c r="G51" s="53" t="str">
        <x:v>خیر</x:v>
      </x:c>
    </x:row>
    <x:row r="52" ht="24" hidden="0" customHeight="1">
      <x:c r="A52" s="53" t="str">
        <x:v>message46</x:v>
      </x:c>
      <x:c r="B52" s="53" t="str">
        <x:v>12.08.2025 09:58:34 UTC+03:30</x:v>
      </x:c>
      <x:c r="C52" s="53" t="str">
        <x:v>Deleted Account
Sharif Admin 22.07.2025 11:03:53</x:v>
      </x:c>
      <x:c r="D52" s="53" t="str"/>
      <x:c r="E52" s="53" t="str"/>
      <x:c r="F52" s="53" t="str">
        <x:v>telegram export/photos/photo_9@12-08-2025_09-58-34.jpg</x:v>
      </x:c>
      <x:c r="G52" s="53" t="str">
        <x:v>خیر</x:v>
      </x:c>
    </x:row>
    <x:row r="53" ht="24" hidden="0" customHeight="1">
      <x:c r="A53" s="53" t="str">
        <x:v>message-6</x:v>
      </x:c>
      <x:c r="B53" s="53"/>
      <x:c r="C53" s="53" t="str">
        <x:v>Deleted Account
Sharif Admin 22.07.2025 11:03:53</x:v>
      </x:c>
      <x:c r="D53" s="53" t="str"/>
      <x:c r="E53" s="53" t="str"/>
      <x:c r="F53" s="53" t="str"/>
      <x:c r="G53" s="53" t="str">
        <x:v>خیر</x:v>
      </x:c>
    </x:row>
    <x:row r="54" ht="15" hidden="0" customHeight="1">
      <x:c r="A54" s="53" t="str">
        <x:v>message47</x:v>
      </x:c>
      <x:c r="B54" s="53" t="str">
        <x:v>15.08.2025 18:28:22 UTC+03:30</x:v>
      </x:c>
      <x:c r="C54" s="53" t="str">
        <x:v>Deleted Account</x:v>
      </x:c>
      <x:c r="D54" s="53" t="str">
        <x:v>حق الزحمه ضبط جبرانی جلسه 4 پایتون</x:v>
      </x:c>
      <x:c r="E54" s="53" t="str"/>
      <x:c r="F54" s="53" t="str">
        <x:v>telegram export/photos/photo_10@15-08-2025_18-28-22.jpg</x:v>
      </x:c>
      <x:c r="G54" s="53" t="str">
        <x:v>خیر</x:v>
      </x:c>
    </x:row>
    <x:row r="55" ht="15" hidden="0" customHeight="1">
      <x:c r="A55" s="53" t="str">
        <x:v>message-7</x:v>
      </x:c>
      <x:c r="B55" s="53"/>
      <x:c r="C55" s="53" t="str">
        <x:v>Deleted Account</x:v>
      </x:c>
      <x:c r="D55" s="53" t="str"/>
      <x:c r="E55" s="53" t="str"/>
      <x:c r="F55" s="53" t="str"/>
      <x:c r="G55" s="53" t="str">
        <x:v>خیر</x:v>
      </x:c>
    </x:row>
    <x:row r="56" ht="15" hidden="0" customHeight="1">
      <x:c r="A56" s="53" t="str">
        <x:v>message48</x:v>
      </x:c>
      <x:c r="B56" s="53" t="str">
        <x:v>04.09.2025 14:05:56 UTC+03:30</x:v>
      </x:c>
      <x:c r="C56" s="53" t="str">
        <x:v>امین عزیزی</x:v>
      </x:c>
      <x:c r="D56" s="53" t="str">
        <x:v>پرداخت شود به محمدامین عزیزیبابت چاپ پوستر و بارکد برای میز معرفی دانشگاه</x:v>
      </x:c>
      <x:c r="E56" s="53" t="str"/>
      <x:c r="F56" s="53" t="str">
        <x:v>telegram export/photos/photo_11@04-09-2025_14-05-56.jpg</x:v>
      </x:c>
      <x:c r="G56" s="53" t="str">
        <x:v>خیر</x:v>
      </x:c>
    </x:row>
    <x:row r="57" ht="15" hidden="0" customHeight="1">
      <x:c r="A57" s="53" t="str">
        <x:v>message-8</x:v>
      </x:c>
      <x:c r="B57" s="53"/>
      <x:c r="C57" s="53" t="str">
        <x:v>امین عزیزی</x:v>
      </x:c>
      <x:c r="D57" s="53" t="str"/>
      <x:c r="E57" s="53" t="str"/>
      <x:c r="F57" s="53" t="str"/>
      <x:c r="G57" s="53" t="str">
        <x:v>خیر</x:v>
      </x:c>
    </x:row>
    <x:row r="58" ht="15" hidden="0" customHeight="1">
      <x:c r="A58" s="53" t="str">
        <x:v>message49</x:v>
      </x:c>
      <x:c r="B58" s="53" t="str">
        <x:v>27.09.2025 11:43:22 UTC+03:30</x:v>
      </x:c>
      <x:c r="C58" s="53" t="str">
        <x:v>امین عزیزی</x:v>
      </x:c>
      <x:c r="D58" s="53" t="str">
        <x:v>حسنشماره این کارتی که پولهای انجمن توش هست رو بذار اینجا من باقی مونده پول رویداد رو بریزم تو اون</x:v>
      </x:c>
      <x:c r="E58" s="53" t="str"/>
      <x:c r="F58" s="53" t="str"/>
      <x:c r="G58" s="53" t="str">
        <x:v>خیر</x:v>
      </x:c>
    </x:row>
    <x:row r="59" ht="15" hidden="0" customHeight="1">
      <x:c r="A59" s="53" t="str">
        <x:v>message-9</x:v>
      </x:c>
      <x:c r="B59" s="53"/>
      <x:c r="C59" s="53" t="str">
        <x:v>امین عزیزی</x:v>
      </x:c>
      <x:c r="D59" s="53" t="str"/>
      <x:c r="E59" s="53" t="str"/>
      <x:c r="F59" s="53" t="str"/>
      <x:c r="G59" s="53" t="str">
        <x:v>خیر</x:v>
      </x:c>
    </x:row>
    <x:row r="60" ht="15" hidden="0" customHeight="1">
      <x:c r="A60" s="53" t="str">
        <x:v>message50</x:v>
      </x:c>
      <x:c r="B60" s="53" t="str">
        <x:v>01.10.2025 11:51:03 UTC+03:30</x:v>
      </x:c>
      <x:c r="C60" s="53" t="str">
        <x:v>Deleted Account</x:v>
      </x:c>
      <x:c r="D60" s="53" t="str">
        <x:v>5047061055888966</x:v>
      </x:c>
      <x:c r="E60" s="53" t="str">
        <x:v>#go_to_message49</x:v>
      </x:c>
      <x:c r="F60" s="53" t="str"/>
      <x:c r="G60" s="53" t="str">
        <x:v>خیر</x:v>
      </x:c>
    </x:row>
    <x:row r="61" ht="15" hidden="0" customHeight="1">
      <x:c r="A61" s="53" t="str">
        <x:v>message51</x:v>
      </x:c>
      <x:c r="B61" s="53" t="str">
        <x:v>01.10.2025 18:02:44 UTC+03:30</x:v>
      </x:c>
      <x:c r="C61" s="53" t="str">
        <x:v>امین عزیزی</x:v>
      </x:c>
      <x:c r="D61" s="53" t="str">
        <x:v>انتقال درآمد خالص از همایش معرفی رشته به حساب اصلی</x:v>
      </x:c>
      <x:c r="E61" s="53" t="str"/>
      <x:c r="F61" s="53" t="str">
        <x:v>telegram export/photos/photo_12@01-10-2025_18-02-44.jpg</x:v>
      </x:c>
      <x:c r="G61" s="53" t="str">
        <x:v>خیر</x:v>
      </x:c>
    </x:row>
    <x:row r="62" ht="15" hidden="0" customHeight="1">
      <x:c r="A62" s="53" t="str">
        <x:v>message52</x:v>
      </x:c>
      <x:c r="B62" s="53" t="str">
        <x:v>01.10.2025 22:22:43 UTC+03:30</x:v>
      </x:c>
      <x:c r="C62" s="53" t="str">
        <x:v>Deleted Account</x:v>
      </x:c>
      <x:c r="D62" s="53" t="str">
        <x:v>22,765,000موجودی فعلی</x:v>
      </x:c>
      <x:c r="E62" s="53" t="str"/>
      <x:c r="F62" s="53" t="str"/>
      <x:c r="G62" s="53" t="str">
        <x:v>خیر</x:v>
      </x:c>
    </x:row>
    <x:row r="63" ht="15" hidden="0" customHeight="1">
      <x:c r="A63" s="53" t="str">
        <x:v>message53</x:v>
      </x:c>
      <x:c r="B63" s="53" t="str">
        <x:v>01.10.2025 22:22:51 UTC+03:30</x:v>
      </x:c>
      <x:c r="C63" s="53" t="str">
        <x:v>Deleted Account</x:v>
      </x:c>
      <x:c r="D63" s="53" t="str">
        <x:v>این رو کسر کردی امین؟</x:v>
      </x:c>
      <x:c r="E63" s="53" t="str">
        <x:v>#go_to_message48</x:v>
      </x:c>
      <x:c r="F63" s="53" t="str"/>
      <x:c r="G63" s="53" t="str">
        <x:v>خیر</x:v>
      </x:c>
    </x:row>
    <x:row r="64" ht="15" hidden="0" customHeight="1">
      <x:c r="A64" s="53" t="str">
        <x:v>message54</x:v>
      </x:c>
      <x:c r="B64" s="53" t="str">
        <x:v>01.10.2025 23:25:53 UTC+03:30</x:v>
      </x:c>
      <x:c r="C64" s="53" t="str">
        <x:v>امین عزیزی</x:v>
      </x:c>
      <x:c r="D64" s="53" t="str">
        <x:v>آره</x:v>
      </x:c>
      <x:c r="E64" s="53" t="str"/>
      <x:c r="F64" s="53" t="str"/>
      <x:c r="G64" s="53" t="str">
        <x:v>خیر</x:v>
      </x:c>
    </x:row>
    <x:row r="65" ht="15" hidden="0" customHeight="1">
      <x:c r="A65" s="53" t="str">
        <x:v>message-10</x:v>
      </x:c>
      <x:c r="B65" s="53"/>
      <x:c r="C65" s="53" t="str">
        <x:v>امین عزیزی</x:v>
      </x:c>
      <x:c r="D65" s="53" t="str"/>
      <x:c r="E65" s="53" t="str"/>
      <x:c r="F65" s="53" t="str"/>
      <x:c r="G65" s="53" t="str">
        <x:v>خیر</x:v>
      </x:c>
    </x:row>
    <x:row r="66" ht="15" hidden="0" customHeight="1">
      <x:c r="A66" s="53" t="str">
        <x:v>message55</x:v>
      </x:c>
      <x:c r="B66" s="53" t="str">
        <x:v>10.10.2025 04:08:44 UTC+03:30</x:v>
      </x:c>
      <x:c r="C66" s="53" t="str">
        <x:v>Deleted Account</x:v>
      </x:c>
      <x:c r="D66" s="53" t="str">
        <x:v>@FCS_Amzz https://docs.google.com/spreadsheets/d/12dGUWPGR8eJiLOSkOMYbIjftBJd0PxpBjG16vWOxGVo/edit?gid=696169602#gid=696169602</x:v>
      </x:c>
      <x:c r="E66" s="53" t="str"/>
      <x:c r="F66" s="53" t="str"/>
      <x:c r="G66" s="53" t="str">
        <x:v>خیر</x:v>
      </x:c>
    </x:row>
    <x:row r="67" ht="15" hidden="0" customHeight="1">
      <x:c r="A67" s="53" t="str">
        <x:v>message56</x:v>
      </x:c>
      <x:c r="B67" s="53" t="str">
        <x:v>10.10.2025 04:08:50 UTC+03:30</x:v>
      </x:c>
      <x:c r="C67" s="53" t="str">
        <x:v>Deleted Account</x:v>
      </x:c>
      <x:c r="D67" s="53" t="str">
        <x:v>آپدیتش کن نازنین</x:v>
      </x:c>
      <x:c r="E67" s="53" t="str"/>
      <x:c r="F67" s="53" t="str"/>
      <x:c r="G67" s="53" t="str">
        <x:v>خیر</x:v>
      </x:c>
    </x:row>
    <x:row r="68" ht="15" hidden="0" customHeight="1">
      <x:c r="A68" s="53" t="str">
        <x:v>message57</x:v>
      </x:c>
      <x:c r="B68" s="53" t="str">
        <x:v>10.10.2025 04:09:43 UTC+03:30</x:v>
      </x:c>
      <x:c r="C68" s="53" t="str">
        <x:v>Deleted Account</x:v>
      </x:c>
      <x:c r="D68" s="53" t="str">
        <x:v>اون کلید ها که من زدم با تبلیغ مهمات شریف و پوستری که تو چاپ کردی</x:v>
      </x:c>
      <x:c r="E68" s="53" t="str"/>
      <x:c r="F68" s="53" t="str"/>
      <x:c r="G68" s="53" t="str">
        <x:v>خیر</x:v>
      </x:c>
    </x:row>
    <x:row r="69" ht="15" hidden="0" customHeight="1">
      <x:c r="A69" s="53" t="str">
        <x:v>message58</x:v>
      </x:c>
      <x:c r="B69" s="53" t="str">
        <x:v>10.10.2025 11:50:44 UTC+03:30</x:v>
      </x:c>
      <x:c r="C69" s="53" t="str">
        <x:v>امین عزیزی</x:v>
      </x:c>
      <x:c r="D69" s="53" t="str">
        <x:v>کدوم پوستر منظورته؟</x:v>
      </x:c>
      <x:c r="E69" s="53" t="str">
        <x:v>#go_to_message57</x:v>
      </x:c>
      <x:c r="F69" s="53" t="str"/>
      <x:c r="G69" s="53" t="str">
        <x:v>خیر</x:v>
      </x:c>
    </x:row>
    <x:row r="70" ht="15" hidden="0" customHeight="1">
      <x:c r="A70" s="53" t="str">
        <x:v>message59</x:v>
      </x:c>
      <x:c r="B70" s="53" t="str">
        <x:v>10.10.2025 11:55:42 UTC+03:30</x:v>
      </x:c>
      <x:c r="C70" s="53" t="str">
        <x:v>Deleted Account</x:v>
      </x:c>
      <x:c r="D70" s="53" t="str">
        <x:v>این</x:v>
      </x:c>
      <x:c r="E70" s="53" t="str">
        <x:v>#go_to_message48</x:v>
      </x:c>
      <x:c r="F70" s="53" t="str"/>
      <x:c r="G70" s="53" t="str">
        <x:v>خیر</x:v>
      </x:c>
    </x:row>
    <x:row r="71" ht="15" hidden="0" customHeight="1">
      <x:c r="A71" s="53" t="str">
        <x:v>message60</x:v>
      </x:c>
      <x:c r="B71" s="53" t="str">
        <x:v>10.10.2025 11:57:06 UTC+03:30</x:v>
      </x:c>
      <x:c r="C71" s="53" t="str">
        <x:v>امین عزیزی</x:v>
      </x:c>
      <x:c r="D71" s="53" t="str">
        <x:v>اینو زدم</x:v>
      </x:c>
      <x:c r="E71" s="53" t="str">
        <x:v>#go_to_message59</x:v>
      </x:c>
      <x:c r="F71" s="53" t="str"/>
      <x:c r="G71" s="53" t="str">
        <x:v>خیر</x:v>
      </x:c>
    </x:row>
    <x:row r="72" ht="15" hidden="0" customHeight="1">
      <x:c r="A72" s="53" t="str">
        <x:v>message-11</x:v>
      </x:c>
      <x:c r="B72" s="53"/>
      <x:c r="C72" s="53" t="str">
        <x:v>امین عزیزی</x:v>
      </x:c>
      <x:c r="D72" s="53" t="str"/>
      <x:c r="E72" s="53" t="str"/>
      <x:c r="F72" s="53" t="str"/>
      <x:c r="G72" s="53" t="str">
        <x:v>خیر</x:v>
      </x:c>
    </x:row>
    <x:row r="73" ht="15" hidden="0" customHeight="1">
      <x:c r="A73" s="53" t="str">
        <x:v>message61</x:v>
      </x:c>
      <x:c r="B73" s="53" t="str">
        <x:v>12.10.2025 10:24:38 UTC+03:30</x:v>
      </x:c>
      <x:c r="C73" s="53" t="str">
        <x:v>Deleted Account</x:v>
      </x:c>
      <x:c r="D73" s="53" t="str">
        <x:v>پوستر نشست و کوانتا</x:v>
      </x:c>
      <x:c r="E73" s="53" t="str"/>
      <x:c r="F73" s="53" t="str">
        <x:v>telegram export/photos/photo_13@12-10-2025_10-24-38.jpg</x:v>
      </x:c>
      <x:c r="G73" s="53" t="str">
        <x:v>خیر</x:v>
      </x:c>
    </x:row>
    <x:row r="74" ht="15" hidden="0" customHeight="1">
      <x:c r="A74" s="53" t="str">
        <x:v>message-12</x:v>
      </x:c>
      <x:c r="B74" s="53"/>
      <x:c r="C74" s="53" t="str">
        <x:v>Deleted Account</x:v>
      </x:c>
      <x:c r="D74" s="53" t="str"/>
      <x:c r="E74" s="53" t="str"/>
      <x:c r="F74" s="53" t="str"/>
      <x:c r="G74" s="53" t="str">
        <x:v>خیر</x:v>
      </x:c>
    </x:row>
    <x:row r="75" ht="15" hidden="0" customHeight="1">
      <x:c r="A75" s="53" t="str">
        <x:v>message62</x:v>
      </x:c>
      <x:c r="B75" s="53" t="str">
        <x:v>15.10.2025 14:18:25 UTC+03:30</x:v>
      </x:c>
      <x:c r="C75" s="53" t="str">
        <x:v>Deleted Account</x:v>
      </x:c>
      <x:c r="D75" s="53" t="str">
        <x:v>شیرینی نشست عمومی مورخ 22مهرماه 2کیلو شیرینی خشک سویسی1کیلو پای آناناس</x:v>
      </x:c>
      <x:c r="E75" s="53" t="str"/>
      <x:c r="F75" s="53" t="str">
        <x:v>telegram export/photos/photo_14@15-10-2025_14-18-25.jpg</x:v>
      </x:c>
      <x:c r="G75" s="53" t="str">
        <x:v>خیر</x:v>
      </x:c>
    </x:row>
    <x:row r="76" ht="15" hidden="0" customHeight="1">
      <x:c r="A76" s="53" t="str">
        <x:v>message63</x:v>
      </x:c>
      <x:c r="B76" s="53" t="str">
        <x:v>15.10.2025 14:18:25 UTC+03:30</x:v>
      </x:c>
      <x:c r="C76" s="53" t="str">
        <x:v>Deleted Account</x:v>
      </x:c>
      <x:c r="D76" s="53" t="str">
        <x:v>واریزی دکتر مقیمی جهت شیرینی نشست مورخ 22مهرماه</x:v>
      </x:c>
      <x:c r="E76" s="53" t="str"/>
      <x:c r="F76" s="53" t="str">
        <x:v>telegram export/photos/photo_15@15-10-2025_14-18-25.jpg</x:v>
      </x:c>
      <x:c r="G76" s="53" t="str">
        <x:v>خیر</x:v>
      </x:c>
    </x:row>
    <x:row r="77" ht="15" hidden="0" customHeight="1">
      <x:c r="A77" s="53" t="str">
        <x:v>message64</x:v>
      </x:c>
      <x:c r="B77" s="53" t="str">
        <x:v>15.10.2025 14:18:26 UTC+03:30</x:v>
      </x:c>
      <x:c r="C77" s="53" t="str">
        <x:v>Deleted Account</x:v>
      </x:c>
      <x:c r="D77" s="53" t="str">
        <x:v>دو بسته لیوان پنجاه عددی سه بسته بیسکوئیت چهل عددییک بسته چایی 100عددیبرای انجمن چایی</x:v>
      </x:c>
      <x:c r="E77" s="53" t="str"/>
      <x:c r="F77" s="53" t="str">
        <x:v>telegram export/photos/photo_16@15-10-2025_14-18-26.jpg</x:v>
      </x:c>
      <x:c r="G77" s="53" t="str">
        <x:v>خیر</x:v>
      </x:c>
    </x:row>
    <x:row r="78" ht="15" hidden="0" customHeight="1">
      <x:c r="A78" s="53" t="str">
        <x:v>message65</x:v>
      </x:c>
      <x:c r="B78" s="53" t="str">
        <x:v>15.10.2025 14:18:26 UTC+03:30</x:v>
      </x:c>
      <x:c r="C78" s="53" t="str">
        <x:v>Deleted Account</x:v>
      </x:c>
      <x:c r="D78" s="53" t="str">
        <x:v>شیرینی پذیرایی جلسه انجمن چایی مورخ 20مهرماه</x:v>
      </x:c>
      <x:c r="E78" s="53" t="str"/>
      <x:c r="F78" s="53" t="str">
        <x:v>telegram export/photos/photo_17@15-10-2025_14-18-26.jpg</x:v>
      </x:c>
      <x:c r="G78" s="53" t="str">
        <x:v>خیر</x:v>
      </x:c>
    </x:row>
    <x:row r="79" ht="15" hidden="0" customHeight="1">
      <x:c r="A79" s="53" t="str">
        <x:v>message-13</x:v>
      </x:c>
      <x:c r="B79" s="53"/>
      <x:c r="C79" s="53" t="str">
        <x:v>Deleted Account</x:v>
      </x:c>
      <x:c r="D79" s="53" t="str"/>
      <x:c r="E79" s="53" t="str"/>
      <x:c r="F79" s="53" t="str"/>
      <x:c r="G79" s="53" t="str">
        <x:v>خیر</x:v>
      </x:c>
    </x:row>
    <x:row r="80" ht="36" hidden="0" customHeight="1">
      <x:c r="A80" s="53" t="str">
        <x:v>message66</x:v>
      </x:c>
      <x:c r="B80" s="53" t="str">
        <x:v>20.10.2025 13:05:39 UTC+03:30</x:v>
      </x:c>
      <x:c r="C80" s="53" t="str">
        <x:v>Deleted Account
Matin (Korosh) Ghassami 16.10.2025 14:43:56</x:v>
      </x:c>
      <x:c r="D80" s="53" t="str">
        <x:v>dk-file-2025-10-16-14-43-08.pdf</x:v>
      </x:c>
      <x:c r="E80" s="53" t="str"/>
      <x:c r="F80" s="53" t="str">
        <x:v>telegram export/files/dk-file-2025-10-16-14-43-08.pdf</x:v>
      </x:c>
      <x:c r="G80" s="53" t="str">
        <x:v>خیر</x:v>
      </x:c>
    </x:row>
    <x:row r="81" ht="36" hidden="0" customHeight="1">
      <x:c r="A81" s="53" t="str">
        <x:v>message-14</x:v>
      </x:c>
      <x:c r="B81" s="53"/>
      <x:c r="C81" s="53" t="str">
        <x:v>Deleted Account
Matin (Korosh) Ghassami 16.10.2025 14:43:56</x:v>
      </x:c>
      <x:c r="D81" s="53" t="str"/>
      <x:c r="E81" s="53" t="str"/>
      <x:c r="F81" s="53" t="str"/>
      <x:c r="G81" s="53" t="str">
        <x:v>خیر</x:v>
      </x:c>
    </x:row>
    <x:row r="82" ht="24" hidden="0" customHeight="1">
      <x:c r="A82" s="53" t="str">
        <x:v>message67</x:v>
      </x:c>
      <x:c r="B82" s="53" t="str">
        <x:v>28.10.2025 01:53:01 UTC+03:30</x:v>
      </x:c>
      <x:c r="C82" s="53" t="str">
        <x:v>Deleted Account
Mŏ̈bina  28.10.2025 00:13:04</x:v>
      </x:c>
      <x:c r="D82" s="53" t="str"/>
      <x:c r="E82" s="53" t="str"/>
      <x:c r="F82" s="53" t="str">
        <x:v>telegram export/photos/photo_18@28-10-2025_01-53-01.jpg</x:v>
      </x:c>
      <x:c r="G82" s="53" t="str">
        <x:v>خیر</x:v>
      </x:c>
    </x:row>
    <x:row r="83" ht="15" hidden="0" customHeight="1">
      <x:c r="A83" s="53" t="str">
        <x:v>message68</x:v>
      </x:c>
      <x:c r="B83" s="53" t="str">
        <x:v>28.10.2025 01:58:06 UTC+03:30</x:v>
      </x:c>
      <x:c r="C83" s="53" t="str">
        <x:v>Deleted Account</x:v>
      </x:c>
      <x:c r="D83" s="53" t="str">
        <x:v>بابت باتری دوربین فیلم برداری</x:v>
      </x:c>
      <x:c r="E83" s="53" t="str"/>
      <x:c r="F83" s="53" t="str"/>
      <x:c r="G83" s="53" t="str">
        <x:v>خیر</x:v>
      </x:c>
    </x:row>
    <x:row r="84" ht="15" hidden="0" customHeight="1">
      <x:c r="A84" s="53" t="str">
        <x:v>message69</x:v>
      </x:c>
      <x:c r="B84" s="53" t="str">
        <x:v>28.10.2025 01:58:07 UTC+03:30</x:v>
      </x:c>
      <x:c r="C84" s="53" t="str">
        <x:v>Deleted Account</x:v>
      </x:c>
      <x:c r="D84" s="53" t="str">
        <x:v>بابت باتری دوربین فیلم برداری</x:v>
      </x:c>
      <x:c r="E84" s="53" t="str"/>
      <x:c r="F84" s="53" t="str">
        <x:v>telegram export/photos/photo_19@28-10-2025_01-58-07.jpg</x:v>
      </x:c>
      <x:c r="G84" s="53" t="str">
        <x:v>خیر</x:v>
      </x:c>
    </x:row>
    <x:row r="85" ht="24" hidden="0" customHeight="1">
      <x:c r="A85" s="53" t="str">
        <x:v>message71</x:v>
      </x:c>
      <x:c r="B85" s="53" t="str">
        <x:v>28.10.2025 22:07:57 UTC+03:30</x:v>
      </x:c>
      <x:c r="C85" s="53" t="str">
        <x:v>Deleted Account
Mŏ̈bina  28.10.2025 10:19:30</x:v>
      </x:c>
      <x:c r="D85" s="53" t="str"/>
      <x:c r="E85" s="53" t="str"/>
      <x:c r="F85" s="53" t="str">
        <x:v>telegram export/photos/photo_20@28-10-2025_22-07-57.jpg</x:v>
      </x:c>
      <x:c r="G85" s="53" t="str">
        <x:v>خیر</x:v>
      </x:c>
    </x:row>
    <x:row r="86" ht="15" hidden="0" customHeight="1">
      <x:c r="A86" s="53" t="str">
        <x:v>message72</x:v>
      </x:c>
      <x:c r="B86" s="53" t="str">
        <x:v>28.10.2025 22:08:16 UTC+03:30</x:v>
      </x:c>
      <x:c r="C86" s="53" t="str">
        <x:v>Deleted Account</x:v>
      </x:c>
      <x:c r="D86" s="53" t="str">
        <x:v>دریافتی از انجمن پیشین</x:v>
      </x:c>
      <x:c r="E86" s="53" t="str">
        <x:v>#go_to_message71</x:v>
      </x:c>
      <x:c r="F86" s="53" t="str"/>
      <x:c r="G86" s="53" t="str">
        <x:v>خیر</x:v>
      </x:c>
    </x:row>
    <x:row r="87" ht="15" hidden="0" customHeight="1">
      <x:c r="A87" s="53" t="str">
        <x:v>message73</x:v>
      </x:c>
      <x:c r="B87" s="53" t="str">
        <x:v>28.10.2025 22:38:17 UTC+03:30</x:v>
      </x:c>
      <x:c r="C87" s="53" t="str">
        <x:v>امین عزیزی</x:v>
      </x:c>
      <x:c r="D87" s="53" t="str">
        <x:v>اینم دریافتی از انجمن سابقه؟</x:v>
      </x:c>
      <x:c r="E87" s="53" t="str">
        <x:v>#go_to_message67</x:v>
      </x:c>
      <x:c r="F87" s="53" t="str"/>
      <x:c r="G87" s="53" t="str">
        <x:v>خیر</x:v>
      </x:c>
    </x:row>
    <x:row r="88" ht="15" hidden="0" customHeight="1">
      <x:c r="A88" s="53" t="str">
        <x:v>message74</x:v>
      </x:c>
      <x:c r="B88" s="53" t="str">
        <x:v>28.10.2025 22:40:32 UTC+03:30</x:v>
      </x:c>
      <x:c r="C88" s="53" t="str">
        <x:v>Deleted Account</x:v>
      </x:c>
      <x:c r="D88" s="53" t="str">
        <x:v>درسته</x:v>
      </x:c>
      <x:c r="E88" s="53" t="str">
        <x:v>#go_to_message73</x:v>
      </x:c>
      <x:c r="F88" s="53" t="str"/>
      <x:c r="G88" s="53" t="str">
        <x:v>خیر</x:v>
      </x:c>
    </x:row>
    <x:row r="89" ht="15" hidden="0" customHeight="1">
      <x:c r="A89" s="53" t="str">
        <x:v>message75</x:v>
      </x:c>
      <x:c r="B89" s="53" t="str">
        <x:v>28.10.2025 22:40:35 UTC+03:30</x:v>
      </x:c>
      <x:c r="C89" s="53" t="str">
        <x:v>Deleted Account</x:v>
      </x:c>
      <x:c r="D89" s="53" t="str">
        <x:v>جمعا۱۱</x:v>
      </x:c>
      <x:c r="E89" s="53" t="str"/>
      <x:c r="F89" s="53" t="str"/>
      <x:c r="G89" s="53" t="str">
        <x:v>خیر</x:v>
      </x:c>
    </x:row>
    <x:row r="90" ht="15" hidden="0" customHeight="1">
      <x:c r="A90" s="53" t="str">
        <x:v>message76</x:v>
      </x:c>
      <x:c r="B90" s="53" t="str">
        <x:v>28.10.2025 22:47:57 UTC+03:30</x:v>
      </x:c>
      <x:c r="C90" s="53" t="str">
        <x:v>امین عزیزی</x:v>
      </x:c>
      <x:c r="D90" s="53" t="str">
        <x:v>حاجی ورودی پولمون از ۵۰ میلیون گذشت🔥</x:v>
      </x:c>
      <x:c r="E90" s="53" t="str"/>
      <x:c r="F90" s="53" t="str"/>
      <x:c r="G90" s="53" t="str">
        <x:v>خیر</x:v>
      </x:c>
    </x:row>
    <x:row r="91" ht="15" hidden="0" customHeight="1">
      <x:c r="A91" s="53" t="str">
        <x:v>message77</x:v>
      </x:c>
      <x:c r="B91" s="53" t="str">
        <x:v>28.10.2025 22:48:51 UTC+03:30</x:v>
      </x:c>
      <x:c r="C91" s="53" t="str">
        <x:v>Deleted Account</x:v>
      </x:c>
      <x:c r="D91" s="53" t="str">
        <x:v>بنازم</x:v>
      </x:c>
      <x:c r="E91" s="53" t="str"/>
      <x:c r="F91" s="53" t="str"/>
      <x:c r="G91" s="53" t="str">
        <x:v>خیر</x:v>
      </x:c>
    </x:row>
    <x:row r="92" ht="15" hidden="0" customHeight="1">
      <x:c r="A92" s="53" t="str">
        <x:v>message78</x:v>
      </x:c>
      <x:c r="B92" s="53" t="str">
        <x:v>28.10.2025 22:48:56 UTC+03:30</x:v>
      </x:c>
      <x:c r="C92" s="53" t="str">
        <x:v>Deleted Account</x:v>
      </x:c>
      <x:c r="D92" s="53" t="str">
        <x:v>صندوق چقدره</x:v>
      </x:c>
      <x:c r="E92" s="53" t="str"/>
      <x:c r="F92" s="53" t="str"/>
      <x:c r="G92" s="53" t="str">
        <x:v>خیر</x:v>
      </x:c>
    </x:row>
    <x:row r="93" ht="15" hidden="0" customHeight="1">
      <x:c r="A93" s="53" t="str">
        <x:v>message79</x:v>
      </x:c>
      <x:c r="B93" s="53" t="str">
        <x:v>28.10.2025 22:49:25 UTC+03:30</x:v>
      </x:c>
      <x:c r="C93" s="53" t="str">
        <x:v>Deleted Account</x:v>
      </x:c>
      <x:c r="D93" s="53" t="str">
        <x:v>یکلی فیش جدیده باید بشینم بزنم بعد بفرستم برات</x:v>
      </x:c>
      <x:c r="E93" s="53" t="str"/>
      <x:c r="F93" s="53" t="str"/>
      <x:c r="G93" s="53" t="str">
        <x:v>خیر</x:v>
      </x:c>
    </x:row>
    <x:row r="94" ht="15" hidden="0" customHeight="1">
      <x:c r="A94" s="53" t="str">
        <x:v>message80</x:v>
      </x:c>
      <x:c r="B94" s="53" t="str">
        <x:v>28.10.2025 22:49:48 UTC+03:30</x:v>
      </x:c>
      <x:c r="C94" s="53" t="str">
        <x:v>Deleted Account</x:v>
      </x:c>
      <x:c r="D94" s="53" t="str">
        <x:v>با جشن جمع شه و غرفه ببینیم چقدر مونده بزنیم به اساس</x:v>
      </x:c>
      <x:c r="E94" s="53" t="str"/>
      <x:c r="F94" s="53" t="str"/>
      <x:c r="G94" s="53" t="str">
        <x:v>خیر</x:v>
      </x:c>
    </x:row>
    <x:row r="95" ht="15" hidden="0" customHeight="1">
      <x:c r="A95" s="53" t="str">
        <x:v>message81</x:v>
      </x:c>
      <x:c r="B95" s="53" t="str">
        <x:v>28.10.2025 22:49:48 UTC+03:30</x:v>
      </x:c>
      <x:c r="C95" s="53" t="str">
        <x:v>امین عزیزی</x:v>
      </x:c>
      <x:c r="D95" s="53" t="str">
        <x:v>موجودیمون؟</x:v>
      </x:c>
      <x:c r="E95" s="53" t="str">
        <x:v>#go_to_message78</x:v>
      </x:c>
      <x:c r="F95" s="53" t="str"/>
      <x:c r="G95" s="53" t="str">
        <x:v>خیر</x:v>
      </x:c>
    </x:row>
    <x:row r="96" ht="15" hidden="0" customHeight="1">
      <x:c r="A96" s="53" t="str">
        <x:v>message82</x:v>
      </x:c>
      <x:c r="B96" s="53" t="str">
        <x:v>28.10.2025 22:49:57 UTC+03:30</x:v>
      </x:c>
      <x:c r="C96" s="53" t="str">
        <x:v>Deleted Account</x:v>
      </x:c>
      <x:c r="D96" s="53" t="str">
        <x:v>یپ</x:v>
      </x:c>
      <x:c r="E96" s="53" t="str">
        <x:v>#go_to_message81</x:v>
      </x:c>
      <x:c r="F96" s="53" t="str"/>
      <x:c r="G96" s="53" t="str">
        <x:v>خیر</x:v>
      </x:c>
    </x:row>
    <x:row r="97" ht="15" hidden="0" customHeight="1">
      <x:c r="A97" s="53" t="str">
        <x:v>message83</x:v>
      </x:c>
      <x:c r="B97" s="53" t="str">
        <x:v>28.10.2025 22:50:21 UTC+03:30</x:v>
      </x:c>
      <x:c r="C97" s="53" t="str">
        <x:v>امین عزیزی</x:v>
      </x:c>
      <x:c r="D97" s="53" t="str">
        <x:v>راستی ایمیل رو چک کردی؟مقیمی میخواست مطمئن بشه حساب درسته</x:v>
      </x:c>
      <x:c r="E97" s="53" t="str"/>
      <x:c r="F97" s="53" t="str"/>
      <x:c r="G97" s="53" t="str">
        <x:v>خیر</x:v>
      </x:c>
    </x:row>
    <x:row r="98" ht="15" hidden="0" customHeight="1">
      <x:c r="A98" s="53" t="str">
        <x:v>message84</x:v>
      </x:c>
      <x:c r="B98" s="53" t="str">
        <x:v>28.10.2025 22:50:34 UTC+03:30</x:v>
      </x:c>
      <x:c r="C98" s="53" t="str">
        <x:v>Deleted Account</x:v>
      </x:c>
      <x:c r="D98" s="53" t="str">
        <x:v>ایمیلا نمیان برا من</x:v>
      </x:c>
      <x:c r="E98" s="53" t="str">
        <x:v>#go_to_message83</x:v>
      </x:c>
      <x:c r="F98" s="53" t="str"/>
      <x:c r="G98" s="53" t="str">
        <x:v>خیر</x:v>
      </x:c>
    </x:row>
    <x:row r="99" ht="15" hidden="0" customHeight="1">
      <x:c r="A99" s="53" t="str">
        <x:v>message85</x:v>
      </x:c>
      <x:c r="B99" s="53" t="str">
        <x:v>28.10.2025 22:50:52 UTC+03:30</x:v>
      </x:c>
      <x:c r="C99" s="53" t="str">
        <x:v>امین عزیزی</x:v>
      </x:c>
      <x:c r="D99" s="53" t="str">
        <x:v>ایمیل انجمن رو نداری؟</x:v>
      </x:c>
      <x:c r="E99" s="53" t="str">
        <x:v>#go_to_message84</x:v>
      </x:c>
      <x:c r="F99" s="53" t="str"/>
      <x:c r="G99" s="53" t="str">
        <x:v>خیر</x:v>
      </x:c>
    </x:row>
    <x:row r="100" ht="15" hidden="0" customHeight="1">
      <x:c r="A100" s="53" t="str">
        <x:v>message86</x:v>
      </x:c>
      <x:c r="B100" s="53" t="str">
        <x:v>28.10.2025 22:51:00 UTC+03:30</x:v>
      </x:c>
      <x:c r="C100" s="53" t="str">
        <x:v>امین عزیزی</x:v>
      </x:c>
      <x:c r="D100" s="53" t="str">
        <x:v>۲۹۲۰۰</x:v>
      </x:c>
      <x:c r="E100" s="53" t="str">
        <x:v>#go_to_message82</x:v>
      </x:c>
      <x:c r="F100" s="53" t="str"/>
      <x:c r="G100" s="53" t="str">
        <x:v>خیر</x:v>
      </x:c>
    </x:row>
    <x:row r="101" ht="15" hidden="0" customHeight="1">
      <x:c r="A101" s="53" t="str">
        <x:v>message87</x:v>
      </x:c>
      <x:c r="B101" s="53" t="str">
        <x:v>28.10.2025 22:57:09 UTC+03:30</x:v>
      </x:c>
      <x:c r="C101" s="53" t="str">
        <x:v>Deleted Account</x:v>
      </x:c>
      <x:c r="D101" s="53" t="str">
        <x:v>دارم نمیاد ولیبرا ابی می‌ره ولی روی هیچ دیوایسی از من لاگ نمیندازه</x:v>
      </x:c>
      <x:c r="E101" s="53" t="str">
        <x:v>#go_to_message85</x:v>
      </x:c>
      <x:c r="F101" s="53" t="str"/>
      <x:c r="G101" s="53" t="str">
        <x:v>خیر</x:v>
      </x:c>
    </x:row>
    <x:row r="102" ht="15" hidden="0" customHeight="1">
      <x:c r="A102" s="53" t="str">
        <x:v>message-15</x:v>
      </x:c>
      <x:c r="B102" s="53"/>
      <x:c r="C102" s="53" t="str">
        <x:v>Deleted Account</x:v>
      </x:c>
      <x:c r="D102" s="53" t="str"/>
      <x:c r="E102" s="53" t="str"/>
      <x:c r="F102" s="53" t="str"/>
      <x:c r="G102" s="53" t="str">
        <x:v>خیر</x:v>
      </x:c>
    </x:row>
    <x:row r="103" ht="15" hidden="0" customHeight="1">
      <x:c r="A103" s="53" t="str">
        <x:v>message88</x:v>
      </x:c>
      <x:c r="B103" s="53" t="str">
        <x:v>09.11.2025 23:15:44 UTC+03:30</x:v>
      </x:c>
      <x:c r="C103" s="53" t="str">
        <x:v>Deleted Account</x:v>
      </x:c>
      <x:c r="D103" s="53" t="str">
        <x:v>امین سلام خوبیاز اردوان بپرس برای جشنچقدر خرج کرده</x:v>
      </x:c>
      <x:c r="E103" s="53" t="str">
        <x:v>#go_to_message86</x:v>
      </x:c>
      <x:c r="F103" s="53" t="str"/>
      <x:c r="G103" s="53" t="str">
        <x:v>خیر</x:v>
      </x:c>
    </x:row>
    <x:row r="104" ht="15" hidden="0" customHeight="1">
      <x:c r="A104" s="53" t="str">
        <x:v>message89</x:v>
      </x:c>
      <x:c r="B104" s="53" t="str">
        <x:v>09.11.2025 23:15:53 UTC+03:30</x:v>
      </x:c>
      <x:c r="C104" s="53" t="str">
        <x:v>Deleted Account</x:v>
      </x:c>
      <x:c r="D104" s="53" t="str">
        <x:v>دوتا فاکتور هست نمی‌دونم کدوم مال اونه</x:v>
      </x:c>
      <x:c r="E104" s="53" t="str"/>
      <x:c r="F104" s="53" t="str"/>
      <x:c r="G104" s="53" t="str">
        <x:v>خیر</x:v>
      </x:c>
    </x:row>
    <x:row r="105" ht="15" hidden="0" customHeight="1">
      <x:c r="A105" s="53" t="str">
        <x:v>message90</x:v>
      </x:c>
      <x:c r="B105" s="53" t="str">
        <x:v>09.11.2025 23:16:09 UTC+03:30</x:v>
      </x:c>
      <x:c r="C105" s="53" t="str">
        <x:v>Deleted Account</x:v>
      </x:c>
      <x:c r="D105" s="53" t="str"/>
      <x:c r="E105" s="53" t="str"/>
      <x:c r="F105" s="53" t="str">
        <x:v>telegram export/photos/photo_21@09-11-2025_23-16-09.jpg</x:v>
      </x:c>
      <x:c r="G105" s="53" t="str">
        <x:v>خیر</x:v>
      </x:c>
    </x:row>
    <x:row r="106" ht="15" hidden="0" customHeight="1">
      <x:c r="A106" s="53" t="str">
        <x:v>message91</x:v>
      </x:c>
      <x:c r="B106" s="53" t="str">
        <x:v>09.11.2025 23:16:15 UTC+03:30</x:v>
      </x:c>
      <x:c r="C106" s="53" t="str">
        <x:v>Deleted Account</x:v>
      </x:c>
      <x:c r="D106" s="53" t="str"/>
      <x:c r="E106" s="53" t="str"/>
      <x:c r="F106" s="53" t="str">
        <x:v>telegram export/photos/photo_22@09-11-2025_23-16-15.jpg</x:v>
      </x:c>
      <x:c r="G106" s="53" t="str">
        <x:v>خیر</x:v>
      </x:c>
    </x:row>
    <x:row r="107" ht="15" hidden="0" customHeight="1">
      <x:c r="A107" s="53" t="str">
        <x:v>message92</x:v>
      </x:c>
      <x:c r="B107" s="53" t="str">
        <x:v>09.11.2025 23:46:02 UTC+03:30</x:v>
      </x:c>
      <x:c r="C107" s="53" t="str">
        <x:v>امین عزیزی</x:v>
      </x:c>
      <x:c r="D107" s="53" t="str">
        <x:v>سلام قربونتحللله</x:v>
      </x:c>
      <x:c r="E107" s="53" t="str">
        <x:v>#go_to_message88</x:v>
      </x:c>
      <x:c r="F107" s="53" t="str"/>
      <x:c r="G107" s="53" t="str">
        <x:v>خیر</x:v>
      </x:c>
    </x:row>
    <x:row r="108" ht="15" hidden="0" customHeight="1">
      <x:c r="A108" s="53" t="str">
        <x:v>message-16</x:v>
      </x:c>
      <x:c r="B108" s="53"/>
      <x:c r="C108" s="53" t="str">
        <x:v>امین عزیزی</x:v>
      </x:c>
      <x:c r="D108" s="53" t="str"/>
      <x:c r="E108" s="53" t="str"/>
      <x:c r="F108" s="53" t="str"/>
      <x:c r="G108" s="53" t="str">
        <x:v>خیر</x:v>
      </x:c>
    </x:row>
    <x:row r="109" ht="15" hidden="0" customHeight="1">
      <x:c r="A109" s="53" t="str">
        <x:v>message93</x:v>
      </x:c>
      <x:c r="B109" s="53" t="str">
        <x:v>12.11.2025 06:40:12 UTC+03:30</x:v>
      </x:c>
      <x:c r="C109" s="53" t="str">
        <x:v>Deleted Account</x:v>
      </x:c>
      <x:c r="D109" s="53" t="str">
        <x:v>امین نازنین صبحت بخیر</x:v>
      </x:c>
      <x:c r="E109" s="53" t="str">
        <x:v>#go_to_message92</x:v>
      </x:c>
      <x:c r="F109" s="53" t="str"/>
      <x:c r="G109" s="53" t="str">
        <x:v>خیر</x:v>
      </x:c>
    </x:row>
    <x:row r="110" ht="15" hidden="0" customHeight="1">
      <x:c r="A110" s="53" t="str">
        <x:v>message94</x:v>
      </x:c>
      <x:c r="B110" s="53" t="str">
        <x:v>12.11.2025 06:40:16 UTC+03:30</x:v>
      </x:c>
      <x:c r="C110" s="53" t="str">
        <x:v>Deleted Account</x:v>
      </x:c>
      <x:c r="D110" s="53" t="str">
        <x:v>این رو امروز خبر بده</x:v>
      </x:c>
      <x:c r="E110" s="53" t="str"/>
      <x:c r="F110" s="53" t="str"/>
      <x:c r="G110" s="53" t="str">
        <x:v>خیر</x:v>
      </x:c>
    </x:row>
    <x:row r="111" ht="15" hidden="0" customHeight="1">
      <x:c r="A111" s="53" t="str">
        <x:v>message95</x:v>
      </x:c>
      <x:c r="B111" s="53" t="str">
        <x:v>12.11.2025 06:40:22 UTC+03:30</x:v>
      </x:c>
      <x:c r="C111" s="53" t="str">
        <x:v>Deleted Account</x:v>
      </x:c>
      <x:c r="D111" s="53" t="str">
        <x:v>شماره کارت راحله هم بگیر</x:v>
      </x:c>
      <x:c r="E111" s="53" t="str"/>
      <x:c r="F111" s="53" t="str"/>
      <x:c r="G111" s="53" t="str">
        <x:v>خیر</x:v>
      </x:c>
    </x:row>
    <x:row r="112" ht="15" hidden="0" customHeight="1">
      <x:c r="A112" s="53" t="str">
        <x:v>message96</x:v>
      </x:c>
      <x:c r="B112" s="53" t="str">
        <x:v>12.11.2025 21:51:55 UTC+03:30</x:v>
      </x:c>
      <x:c r="C112" s="53" t="str">
        <x:v>امین عزیزی</x:v>
      </x:c>
      <x:c r="D112" s="53" t="str">
        <x:v>۱۲۰ داده اردوان</x:v>
      </x:c>
      <x:c r="E112" s="53" t="str">
        <x:v>#go_to_message94</x:v>
      </x:c>
      <x:c r="F112" s="53" t="str"/>
      <x:c r="G112" s="53" t="str">
        <x:v>خیر</x:v>
      </x:c>
    </x:row>
    <x:row r="113" ht="15" hidden="0" customHeight="1">
      <x:c r="A113" s="53" t="str">
        <x:v>message97</x:v>
      </x:c>
      <x:c r="B113" s="53" t="str">
        <x:v>12.11.2025 22:46:41 UTC+03:30</x:v>
      </x:c>
      <x:c r="C113" s="53" t="str">
        <x:v>امین عزیزی</x:v>
      </x:c>
      <x:c r="D113" s="53" t="str">
        <x:v>5892101714531544</x:v>
      </x:c>
      <x:c r="E113" s="53" t="str">
        <x:v>#go_to_message95</x:v>
      </x:c>
      <x:c r="F113" s="53" t="str"/>
      <x:c r="G113" s="53" t="str">
        <x:v>خیر</x:v>
      </x:c>
    </x:row>
    <x:row r="114" ht="15" hidden="0" customHeight="1">
      <x:c r="A114" s="53" t="str">
        <x:v>message98</x:v>
      </x:c>
      <x:c r="B114" s="53" t="str">
        <x:v>12.11.2025 22:46:51 UTC+03:30</x:v>
      </x:c>
      <x:c r="C114" s="53" t="str">
        <x:v>امین عزیزی</x:v>
      </x:c>
      <x:c r="D114" s="53" t="str">
        <x:v>هروقت زدی لایو فیش بفرست</x:v>
      </x:c>
      <x:c r="E114" s="53" t="str"/>
      <x:c r="F114" s="53" t="str"/>
      <x:c r="G114" s="53" t="str">
        <x:v>خیر</x:v>
      </x:c>
    </x:row>
    <x:row r="115" ht="15" hidden="0" customHeight="1">
      <x:c r="A115" s="53" t="str">
        <x:v>message-17</x:v>
      </x:c>
      <x:c r="B115" s="53"/>
      <x:c r="C115" s="53" t="str">
        <x:v>امین عزیزی</x:v>
      </x:c>
      <x:c r="D115" s="53" t="str"/>
      <x:c r="E115" s="53" t="str"/>
      <x:c r="F115" s="53" t="str"/>
      <x:c r="G115" s="53" t="str">
        <x:v>خیر</x:v>
      </x:c>
    </x:row>
    <x:row r="116" ht="15" hidden="0" customHeight="1">
      <x:c r="A116" s="53" t="str">
        <x:v>message99</x:v>
      </x:c>
      <x:c r="B116" s="53" t="str">
        <x:v>14.11.2025 04:07:19 UTC+03:30</x:v>
      </x:c>
      <x:c r="C116" s="53" t="str">
        <x:v>Deleted Account</x:v>
      </x:c>
      <x:c r="D116" s="53" t="str">
        <x:v>واریزی هزینه چسب بادکنک جشن ورودی</x:v>
      </x:c>
      <x:c r="E116" s="53" t="str"/>
      <x:c r="F116" s="53" t="str">
        <x:v>telegram export/photos/photo_23@14-11-2025_04-07-19.jpg</x:v>
      </x:c>
      <x:c r="G116" s="53" t="str">
        <x:v>خیر</x:v>
      </x:c>
    </x:row>
    <x:row r="117" ht="15" hidden="0" customHeight="1">
      <x:c r="A117" s="53" t="str">
        <x:v>message100</x:v>
      </x:c>
      <x:c r="B117" s="53" t="str">
        <x:v>14.11.2025 04:07:19 UTC+03:30</x:v>
      </x:c>
      <x:c r="C117" s="53" t="str">
        <x:v>Deleted Account</x:v>
      </x:c>
      <x:c r="D117" s="53" t="str">
        <x:v>واریزی جهت خرید لوازم تزئینات جشن ورودی 1404</x:v>
      </x:c>
      <x:c r="E117" s="53" t="str"/>
      <x:c r="F117" s="53" t="str">
        <x:v>telegram export/photos/photo_24@14-11-2025_04-07-19.jpg</x:v>
      </x:c>
      <x:c r="G117" s="53" t="str">
        <x:v>خیر</x:v>
      </x:c>
    </x:row>
    <x:row r="118" ht="15" hidden="0" customHeight="1">
      <x:c r="A118" s="53" t="str">
        <x:v>message-18</x:v>
      </x:c>
      <x:c r="B118" s="53"/>
      <x:c r="C118" s="53" t="str">
        <x:v>Deleted Account</x:v>
      </x:c>
      <x:c r="D118" s="53" t="str"/>
      <x:c r="E118" s="53" t="str"/>
      <x:c r="F118" s="53" t="str"/>
      <x:c r="G118" s="53" t="str">
        <x:v>خیر</x:v>
      </x:c>
    </x:row>
    <x:row r="119" ht="15" hidden="0" customHeight="1">
      <x:c r="A119" s="53" t="str">
        <x:v>message101</x:v>
      </x:c>
      <x:c r="B119" s="53" t="str">
        <x:v>19.11.2025 11:46:31 UTC+03:30</x:v>
      </x:c>
      <x:c r="C119" s="53" t="str">
        <x:v>Deleted Account</x:v>
      </x:c>
      <x:c r="D119" s="53" t="str">
        <x:v>واریزی دکتر مقیمی جهت هزینه های جاری انجمن</x:v>
      </x:c>
      <x:c r="E119" s="53" t="str"/>
      <x:c r="F119" s="53" t="str"/>
      <x:c r="G119" s="53" t="str">
        <x:v>خیر</x:v>
      </x:c>
    </x:row>
    <x:row r="120" ht="24" hidden="0" customHeight="1">
      <x:c r="A120" s="53" t="str">
        <x:v>message102</x:v>
      </x:c>
      <x:c r="B120" s="53" t="str">
        <x:v>19.11.2025 11:46:31 UTC+03:30</x:v>
      </x:c>
      <x:c r="C120" s="53" t="str">
        <x:v>Deleted Account
Saman Moghimi 19.11.2025 11:44:07</x:v>
      </x:c>
      <x:c r="D120" s="53" t="str"/>
      <x:c r="E120" s="53" t="str"/>
      <x:c r="F120" s="53" t="str">
        <x:v>telegram export/photos/photo_25@19-11-2025_11-46-31.jpg</x:v>
      </x:c>
      <x:c r="G120" s="53" t="str">
        <x:v>خیر</x:v>
      </x:c>
    </x:row>
    <x:row r="121" ht="15" hidden="0" customHeight="1">
      <x:c r="A121" s="53" t="str">
        <x:v>message103</x:v>
      </x:c>
      <x:c r="B121" s="53" t="str">
        <x:v>19.11.2025 11:46:31 UTC+03:30</x:v>
      </x:c>
      <x:c r="C121" s="53" t="str">
        <x:v>Saman Moghimi 19.11.2025 11:44:07</x:v>
      </x:c>
      <x:c r="D121" s="53" t="str">
        <x:v>این فعلا ده میلیون.</x:v>
      </x:c>
      <x:c r="E121" s="53" t="str"/>
      <x:c r="F121" s="53" t="str"/>
      <x:c r="G121" s="53" t="str">
        <x:v>خیر</x:v>
      </x:c>
    </x:row>
    <x:row r="122" ht="15" hidden="0" customHeight="1">
      <x:c r="A122" s="53" t="str">
        <x:v>message-19</x:v>
      </x:c>
      <x:c r="B122" s="53"/>
      <x:c r="C122" s="53" t="str">
        <x:v>Saman Moghimi 19.11.2025 11:44:07</x:v>
      </x:c>
      <x:c r="D122" s="53" t="str"/>
      <x:c r="E122" s="53" t="str"/>
      <x:c r="F122" s="53" t="str"/>
      <x:c r="G122" s="53" t="str">
        <x:v>خیر</x:v>
      </x:c>
    </x:row>
    <x:row r="123" ht="15" hidden="0" customHeight="1">
      <x:c r="A123" s="53" t="str">
        <x:v>message105</x:v>
      </x:c>
      <x:c r="B123" s="53" t="str">
        <x:v>21.11.2025 13:25:18 UTC+03:30</x:v>
      </x:c>
      <x:c r="C123" s="53" t="str">
        <x:v>Deleted Account</x:v>
      </x:c>
      <x:c r="D123" s="53" t="str">
        <x:v>1404/07/22  10:40:31  -10,523,750  شیرینی جلسه دیدار با اساتید- انجمن</x:v>
      </x:c>
      <x:c r="E123" s="53" t="str"/>
      <x:c r="F123" s="53" t="str"/>
      <x:c r="G123" s="53" t="str">
        <x:v>خیر</x:v>
      </x:c>
    </x:row>
    <x:row r="124" ht="15" hidden="0" customHeight="1">
      <x:c r="A124" s="53" t="str">
        <x:v>message106</x:v>
      </x:c>
      <x:c r="B124" s="53" t="str">
        <x:v>21.11.2025 13:25:31 UTC+03:30</x:v>
      </x:c>
      <x:c r="C124" s="53" t="str">
        <x:v>Deleted Account</x:v>
      </x:c>
      <x:c r="D124" s="53" t="str">
        <x:v>1404/08/03  16:36:35  -700,000  دستمال - انجمن</x:v>
      </x:c>
      <x:c r="E124" s="53" t="str"/>
      <x:c r="F124" s="53" t="str"/>
      <x:c r="G124" s="53" t="str">
        <x:v>خیر</x:v>
      </x:c>
    </x:row>
    <x:row r="125" ht="24" hidden="0" customHeight="1">
      <x:c r="A125" s="53" t="str">
        <x:v>message107</x:v>
      </x:c>
      <x:c r="B125" s="53" t="str">
        <x:v>21.11.2025 13:25:42 UTC+03:30</x:v>
      </x:c>
      <x:c r="C125" s="53" t="str">
        <x:v>Deleted Account</x:v>
      </x:c>
      <x:c r="D125" s="53" t="str">
        <x:v>1404/08/07  15:18:06  -14,440,000  خرید جایزه جشن -  انجمن -دفترچه خودکار و..1404/08/07  15:23:42  -15,000,000  خرید جایزه جشن -  انجمن -هندزفری و ...1404/08/07  15:32:21  -14,000,000  خرید جایزه جشن -  انجمن - دستبند فرفره و...</x:v>
      </x:c>
      <x:c r="E125" s="53" t="str"/>
      <x:c r="F125" s="53" t="str"/>
      <x:c r="G125" s="53" t="str">
        <x:v>خیر</x:v>
      </x:c>
    </x:row>
    <x:row r="126" ht="24" hidden="0" customHeight="1">
      <x:c r="A126" s="53" t="str">
        <x:v>message108</x:v>
      </x:c>
      <x:c r="B126" s="53" t="str">
        <x:v>21.11.2025 13:25:55 UTC+03:30</x:v>
      </x:c>
      <x:c r="C126" s="53" t="str">
        <x:v>Deleted Account</x:v>
      </x:c>
      <x:c r="D126" s="53" t="str">
        <x:v>1404/08/05  12:16:49  -3,100,000  خرید اتصالات پروژکتور - انجمن 1404/08/05  12:24:15  -17,600,000  خرید حفاظ برق و ابزار جهت اتصال پروژکتور غرفه ها  - انجمن1404/08/05  13:13:11  -2,300,000  پذیرایی غرفه -انجمن</x:v>
      </x:c>
      <x:c r="E126" s="53" t="str"/>
      <x:c r="F126" s="53" t="str"/>
      <x:c r="G126" s="53" t="str">
        <x:v>خیر</x:v>
      </x:c>
    </x:row>
    <x:row r="127" ht="15" hidden="0" customHeight="1">
      <x:c r="A127" s="53" t="str">
        <x:v>message109</x:v>
      </x:c>
      <x:c r="B127" s="53" t="str">
        <x:v>21.11.2025 13:26:09 UTC+03:30</x:v>
      </x:c>
      <x:c r="C127" s="53" t="str">
        <x:v>Deleted Account</x:v>
      </x:c>
      <x:c r="D127" s="53" t="str">
        <x:v>1404/08/28  6:49:28  -12,261,000  دارو برای کمک اولیه - انجمن</x:v>
      </x:c>
      <x:c r="E127" s="53" t="str"/>
      <x:c r="F127" s="53" t="str"/>
      <x:c r="G127" s="53" t="str">
        <x:v>خیر</x:v>
      </x:c>
    </x:row>
    <x:row r="128" ht="15" hidden="0" customHeight="1">
      <x:c r="A128" s="53" t="str">
        <x:v>message110</x:v>
      </x:c>
      <x:c r="B128" s="53" t="str">
        <x:v>21.11.2025 13:26:19 UTC+03:30</x:v>
      </x:c>
      <x:c r="C128" s="53" t="str">
        <x:v>Deleted Account</x:v>
      </x:c>
      <x:c r="D128" s="53" t="str">
        <x:v>1404/08/28  12:55:53  -23,000  چاپ قوانین - انجمن1404/08/28  12:55:53  -13,000  چاپ قوانین - انجمن</x:v>
      </x:c>
      <x:c r="E128" s="53" t="str"/>
      <x:c r="F128" s="53" t="str"/>
      <x:c r="G128" s="53" t="str">
        <x:v>خیر</x:v>
      </x:c>
    </x:row>
    <x:row r="129" ht="15" hidden="0" customHeight="1">
      <x:c r="A129" s="53" t="str">
        <x:v>message111</x:v>
      </x:c>
      <x:c r="B129" s="53" t="str">
        <x:v>21.11.2025 13:33:16 UTC+03:30</x:v>
      </x:c>
      <x:c r="C129" s="53" t="str">
        <x:v>Deleted Account</x:v>
      </x:c>
      <x:c r="D129" s="53" t="str">
        <x:v>300000 تومن هم پول نقد شاباش جشن</x:v>
      </x:c>
      <x:c r="E129" s="53" t="str"/>
      <x:c r="F129" s="53" t="str"/>
      <x:c r="G129" s="53" t="str">
        <x:v>خیر</x:v>
      </x:c>
    </x:row>
    <x:row r="130" ht="15" hidden="0" customHeight="1">
      <x:c r="A130" s="53" t="str">
        <x:v>message-20</x:v>
      </x:c>
      <x:c r="B130" s="53"/>
      <x:c r="C130" s="53" t="str">
        <x:v>Deleted Account</x:v>
      </x:c>
      <x:c r="D130" s="53" t="str"/>
      <x:c r="E130" s="53" t="str"/>
      <x:c r="F130" s="53" t="str"/>
      <x:c r="G130" s="53" t="str">
        <x:v>خیر</x:v>
      </x:c>
    </x:row>
    <x:row r="131" ht="15" hidden="0" customHeight="1">
      <x:c r="A131" s="53" t="str">
        <x:v>message112</x:v>
      </x:c>
      <x:c r="B131" s="53" t="str">
        <x:v>21.12.2025 05:36:21 UTC+03:30</x:v>
      </x:c>
      <x:c r="C131" s="53" t="str">
        <x:v>Deleted Account</x:v>
      </x:c>
      <x:c r="D131" s="53" t="str"/>
      <x:c r="E131" s="53" t="str"/>
      <x:c r="F131" s="53" t="str">
        <x:v>telegram export/photos/photo_26@21-12-2025_05-36-21.jpg</x:v>
      </x:c>
      <x:c r="G131" s="53" t="str">
        <x:v>خیر</x:v>
      </x:c>
    </x:row>
    <x:row r="132" ht="15" hidden="0" customHeight="1">
      <x:c r="A132" s="53" t="str">
        <x:v>message113</x:v>
      </x:c>
      <x:c r="B132" s="53" t="str">
        <x:v>21.12.2025 08:29:22 UTC+03:30</x:v>
      </x:c>
      <x:c r="C132" s="53" t="str">
        <x:v>امین عزیزی</x:v>
      </x:c>
      <x:c r="D132" s="53" t="str">
        <x:v>حاجی چقدر پول داره مقیمی😂</x:v>
      </x:c>
      <x:c r="E132" s="53" t="str"/>
      <x:c r="F132" s="53" t="str"/>
      <x:c r="G132" s="53" t="str">
        <x:v>خیر</x:v>
      </x:c>
    </x:row>
    <x:row r="133" ht="15" hidden="0" customHeight="1">
      <x:c r="A133" s="53" t="str">
        <x:v>message-21</x:v>
      </x:c>
      <x:c r="B133" s="53"/>
      <x:c r="C133" s="53" t="str">
        <x:v>امین عزیزی</x:v>
      </x:c>
      <x:c r="D133" s="53" t="str"/>
      <x:c r="E133" s="53" t="str"/>
      <x:c r="F133" s="53" t="str"/>
      <x:c r="G133" s="53" t="str">
        <x:v>خیر</x:v>
      </x:c>
    </x:row>
    <x:row r="134" ht="15" hidden="0" customHeight="1">
      <x:c r="A134" s="53" t="str">
        <x:v>message114</x:v>
      </x:c>
      <x:c r="B134" s="53" t="str">
        <x:v>16.02.2026 15:48:21 UTC+03:30</x:v>
      </x:c>
      <x:c r="C134" s="53" t="str">
        <x:v>Deleted Account</x:v>
      </x:c>
      <x:c r="D134" s="53" t="str">
        <x:v>امین برای یلدا اینا رو جزو ورودی ها بزن</x:v>
      </x:c>
      <x:c r="E134" s="53" t="str"/>
      <x:c r="F134" s="53" t="str"/>
      <x:c r="G134" s="53" t="str">
        <x:v>خیر</x:v>
      </x:c>
    </x:row>
    <x:row r="135" ht="36" hidden="0" customHeight="1">
      <x:c r="A135" s="53" t="str">
        <x:v>message115</x:v>
      </x:c>
      <x:c r="B135" s="53" t="str">
        <x:v>16.02.2026 15:49:32 UTC+03:30</x:v>
      </x:c>
      <x:c r="C135" s="53" t="str">
        <x:v>Deleted Account</x:v>
      </x:c>
      <x:c r="D135" s="53" t="str">
        <x:v>بانک سپهواريز:1,500,000ريالحساب:3001254062925مانده:130,982,85110/1-10:11بانک سپهبرداشت:100,037,800حساب : 3001254062925 مانده:30,945,05110/1-10:29بانک سپهواريز:5,000,000ريالحساب:3001254062925مانده:47,945,05110/1-14:29بانک سپهواريز:10,000,000ريالحساب:3001254062925مانده:33,652,25210/2-7:40</x:v>
      </x:c>
      <x:c r="E135" s="53" t="str"/>
      <x:c r="F135" s="53" t="str"/>
      <x:c r="G135" s="53" t="str">
        <x:v>خیر</x:v>
      </x:c>
    </x:row>
    <x:row r="136" ht="15" hidden="0" customHeight="1">
      <x:c r="A136" s="53" t="str">
        <x:v>message116</x:v>
      </x:c>
      <x:c r="B136" s="53" t="str">
        <x:v>16.02.2026 15:50:28 UTC+03:30</x:v>
      </x:c>
      <x:c r="C136" s="53" t="str">
        <x:v>Deleted Account</x:v>
      </x:c>
      <x:c r="D136" s="53" t="str">
        <x:v>یکم گیج کننده شدولی جمعا 15,790,000 واریزی نقدی بودهو 700,000 وجه نقد</x:v>
      </x:c>
      <x:c r="E136" s="53" t="str"/>
      <x:c r="F136" s="53" t="str"/>
      <x:c r="G136" s="53" t="str">
        <x:v>خیر</x:v>
      </x:c>
    </x:row>
    <x:row r="137" ht="15" hidden="0" customHeight="1">
      <x:c r="A137" s="53" t="str">
        <x:v>message117</x:v>
      </x:c>
      <x:c r="B137" s="53" t="str">
        <x:v>16.02.2026 15:50:53 UTC+03:30</x:v>
      </x:c>
      <x:c r="C137" s="53" t="str">
        <x:v>Deleted Account</x:v>
      </x:c>
      <x:c r="D137" s="53" t="str">
        <x:v>تا بعد رسیدم تهران فاکتور هارو مرتب کنم بدم بهت</x:v>
      </x:c>
      <x:c r="E137" s="53" t="str"/>
      <x:c r="F137" s="53" t="str"/>
      <x:c r="G137" s="53" t="str">
        <x:v>خیر</x:v>
      </x:c>
    </x:row>
    <x:row r="138" ht="15" hidden="0" customHeight="1">
      <x:c r="A138" s="53" t="str">
        <x:v>message-22</x:v>
      </x:c>
      <x:c r="B138" s="53"/>
      <x:c r="C138" s="53" t="str">
        <x:v>Deleted Account</x:v>
      </x:c>
      <x:c r="D138" s="53" t="str"/>
      <x:c r="E138" s="53" t="str"/>
      <x:c r="F138" s="53" t="str"/>
      <x:c r="G138" s="53" t="str">
        <x:v>خیر</x:v>
      </x:c>
    </x:row>
    <x:row r="139" ht="15" hidden="0" customHeight="1">
      <x:c r="A139" s="53" t="str">
        <x:v>message118</x:v>
      </x:c>
      <x:c r="B139" s="53" t="str">
        <x:v>19.02.2026 10:32:24 UTC+03:30</x:v>
      </x:c>
      <x:c r="C139" s="53" t="str">
        <x:v>امین عزیزی</x:v>
      </x:c>
      <x:c r="D139" s="53" t="str">
        <x:v>حسن اینو رو ورودی بزنم؟زده برداشتاین اصلا هست جزوشون یا نه؟</x:v>
      </x:c>
      <x:c r="E139" s="53" t="str">
        <x:v>#go_to_message115</x:v>
      </x:c>
      <x:c r="F139" s="53" t="str"/>
      <x:c r="G139" s="53" t="str">
        <x:v>خیر</x:v>
      </x:c>
    </x:row>
    <x:row r="140" ht="15" hidden="0" customHeight="1">
      <x:c r="A140" s="53" t="str">
        <x:v>message119</x:v>
      </x:c>
      <x:c r="B140" s="53" t="str">
        <x:v>19.02.2026 10:35:49 UTC+03:30</x:v>
      </x:c>
      <x:c r="C140" s="53" t="str">
        <x:v>امین عزیزی</x:v>
      </x:c>
      <x:c r="D140" s="53" t="str">
        <x:v>خرج جشن رو هم بگو لطفا</x:v>
      </x:c>
      <x:c r="E140" s="53" t="str"/>
      <x:c r="F140" s="53" t="str"/>
      <x:c r="G140" s="53" t="str">
        <x:v>خیر</x:v>
      </x:c>
    </x:row>
    <x:row r="141" ht="15" hidden="0" customHeight="1">
      <x:c r="A141" s="53" t="str">
        <x:v>message-23</x:v>
      </x:c>
      <x:c r="B141" s="53"/>
      <x:c r="C141" s="53" t="str">
        <x:v>امین عزیزی</x:v>
      </x:c>
      <x:c r="D141" s="53" t="str"/>
      <x:c r="E141" s="53" t="str"/>
      <x:c r="F141" s="53" t="str"/>
      <x:c r="G141" s="53" t="str">
        <x:v>خیر</x:v>
      </x:c>
    </x:row>
    <x:row r="142" ht="15" hidden="0" customHeight="1">
      <x:c r="A142" s="53" t="str">
        <x:v>message120</x:v>
      </x:c>
      <x:c r="B142" s="53" t="str">
        <x:v>21.02.2026 02:53:32 UTC+03:30</x:v>
      </x:c>
      <x:c r="C142" s="53" t="str">
        <x:v>Deleted Account</x:v>
      </x:c>
      <x:c r="D142" s="53" t="str">
        <x:v>این برداشت برای کارت به کارت هزینه‌ها بودهصرفا گذاشتم که با بقیه واریزی ها جمع بزنی</x:v>
      </x:c>
      <x:c r="E142" s="53" t="str">
        <x:v>#go_to_message118</x:v>
      </x:c>
      <x:c r="F142" s="53" t="str"/>
      <x:c r="G142" s="53" t="str">
        <x:v>خیر</x:v>
      </x:c>
    </x:row>
    <x:row r="143" ht="15" hidden="0" customHeight="1">
      <x:c r="A143" s="53" t="str">
        <x:v>message121</x:v>
      </x:c>
      <x:c r="B143" s="53" t="str">
        <x:v>21.02.2026 02:54:33 UTC+03:30</x:v>
      </x:c>
      <x:c r="C143" s="53" t="str">
        <x:v>Deleted Account</x:v>
      </x:c>
      <x:c r="D143" s="53" t="str">
        <x:v>ولی عدد ورودی کل از منبع کمک مالی جمعی ،برابر جمع این دوتا میشه</x:v>
      </x:c>
      <x:c r="E143" s="53" t="str">
        <x:v>#go_to_message116</x:v>
      </x:c>
      <x:c r="F143" s="53" t="str"/>
      <x:c r="G143" s="53" t="str">
        <x:v>خیر</x:v>
      </x:c>
    </x:row>
    <x:row r="144" ht="15" hidden="0" customHeight="1">
      <x:c r="A144" s="53" t="str">
        <x:v>message122</x:v>
      </x:c>
      <x:c r="B144" s="53" t="str">
        <x:v>21.02.2026 02:54:39 UTC+03:30</x:v>
      </x:c>
      <x:c r="C144" s="53" t="str">
        <x:v>Deleted Account</x:v>
      </x:c>
      <x:c r="D144" s="53" t="str">
        <x:v>حله</x:v>
      </x:c>
      <x:c r="E144" s="53" t="str">
        <x:v>#go_to_message119</x:v>
      </x:c>
      <x:c r="F144" s="53" t="str"/>
      <x:c r="G144" s="53" t="str">
        <x:v>خیر</x:v>
      </x:c>
    </x:row>
    <x:row r="145" ht="15" hidden="0" customHeight="1">
      <x:c r="A145" s="53" t="str">
        <x:v>message123</x:v>
      </x:c>
      <x:c r="B145" s="53" t="str">
        <x:v>21.02.2026 02:54:41 UTC+03:30</x:v>
      </x:c>
      <x:c r="C145" s="53" t="str">
        <x:v>Deleted Account</x:v>
      </x:c>
      <x:c r="D145" s="53" t="str">
        <x:v>.</x:v>
      </x:c>
      <x:c r="E145" s="53" t="str">
        <x:v>#go_to_message117</x:v>
      </x:c>
      <x:c r="F145" s="53" t="str"/>
      <x:c r="G145" s="53" t="str">
        <x:v>خیر</x:v>
      </x:c>
    </x:row>
    <x:row r="146" ht="15" hidden="0" customHeight="1">
      <x:c r="A146" s="53" t="str">
        <x:v>message-24</x:v>
      </x:c>
      <x:c r="B146" s="53"/>
      <x:c r="C146" s="53" t="str">
        <x:v>Deleted Account</x:v>
      </x:c>
      <x:c r="D146" s="53" t="str"/>
      <x:c r="E146" s="53" t="str"/>
      <x:c r="F146" s="53" t="str"/>
      <x:c r="G146" s="53" t="str">
        <x:v>خیر</x:v>
      </x:c>
    </x:row>
    <x:row r="147" ht="24" hidden="0" customHeight="1">
      <x:c r="A147" s="53" t="str">
        <x:v>message124</x:v>
      </x:c>
      <x:c r="B147" s="53" t="str">
        <x:v>17.05.2026 19:45:07 UTC+03:30</x:v>
      </x:c>
      <x:c r="C147" s="53" t="str">
        <x:v>Deleted Account
Parnian  13.05.2026 13:19:49</x:v>
      </x:c>
      <x:c r="D147" s="53" t="str"/>
      <x:c r="E147" s="53" t="str"/>
      <x:c r="F147" s="53" t="str">
        <x:v>telegram export/files/CamScanner 13-05-2026 12.43 (1).pdf</x:v>
      </x:c>
      <x:c r="G147" s="53" t="str">
        <x:v>خیر</x:v>
      </x:c>
    </x:row>
    <x:row r="148" ht="24" hidden="0" customHeight="1">
      <x:c r="A148" s="53" t="str">
        <x:v>message125</x:v>
      </x:c>
      <x:c r="B148" s="53" t="str">
        <x:v>17.05.2026 19:45:07 UTC+03:30</x:v>
      </x:c>
      <x:c r="C148" s="53" t="str">
        <x:v>Deleted Account
Deleted Account 17.05.2026 18:38:53</x:v>
      </x:c>
      <x:c r="D148" s="53" t="str"/>
      <x:c r="E148" s="53" t="str"/>
      <x:c r="F148" s="53" t="str">
        <x:v>telegram export/photos/photo_27@17-05-2026_19-45-07.jpg</x:v>
      </x:c>
      <x:c r="G148" s="53" t="str">
        <x:v>خیر</x:v>
      </x:c>
    </x:row>
    <x:row r="149" ht="24" hidden="0" customHeight="1">
      <x:c r="A149" s="53" t="str">
        <x:v>message126</x:v>
      </x:c>
      <x:c r="B149" s="53" t="str">
        <x:v>17.05.2026 19:45:07 UTC+03:30</x:v>
      </x:c>
      <x:c r="C149" s="53" t="str">
        <x:v>Deleted Account
Deleted Account 17.05.2026 18:38:53</x:v>
      </x:c>
      <x:c r="D149" s="53" t="str"/>
      <x:c r="E149" s="53" t="str"/>
      <x:c r="F149" s="53" t="str">
        <x:v>telegram export/photos/photo_28@17-05-2026_19-45-07.jpg</x:v>
      </x:c>
      <x:c r="G149" s="53" t="str">
        <x:v>خیر</x:v>
      </x:c>
    </x:row>
    <x:row r="150" ht="15" hidden="0" customHeight="1">
      <x:c r="A150" s="53" t="str">
        <x:v>message127</x:v>
      </x:c>
      <x:c r="B150" s="53" t="str">
        <x:v>17.05.2026 20:15:05 UTC+03:30</x:v>
      </x:c>
      <x:c r="C150" s="53" t="str">
        <x:v>امین عزیزی</x:v>
      </x:c>
      <x:c r="D150" s="53" t="str">
        <x:v>این چیه؟</x:v>
      </x:c>
      <x:c r="E150" s="53" t="str"/>
      <x:c r="F150" s="53" t="str"/>
      <x:c r="G150" s="53" t="str">
        <x:v>خیر</x:v>
      </x:c>
    </x:row>
    <x:row r="151" ht="15" hidden="0" customHeight="1">
      <x:c r="A151" s="53" t="str">
        <x:v>message128</x:v>
      </x:c>
      <x:c r="B151" s="53" t="str">
        <x:v>17.05.2026 20:16:06 UTC+03:30</x:v>
      </x:c>
      <x:c r="C151" s="53" t="str">
        <x:v>Deleted Account</x:v>
      </x:c>
      <x:c r="D151" s="53" t="str">
        <x:v>این از جشن یلدا کوکی و یسری چیزه پرنیان دیر فرستاده بود</x:v>
      </x:c>
      <x:c r="E151" s="53" t="str"/>
      <x:c r="F151" s="53" t="str"/>
      <x:c r="G151" s="53" t="str">
        <x:v>خیر</x:v>
      </x:c>
    </x:row>
    <x:row r="152" ht="15" hidden="0" customHeight="1">
      <x:c r="A152" s="53" t="str">
        <x:v>message129</x:v>
      </x:c>
      <x:c r="B152" s="53" t="str">
        <x:v>17.05.2026 20:16:15 UTC+03:30</x:v>
      </x:c>
      <x:c r="C152" s="53" t="str">
        <x:v>Deleted Account</x:v>
      </x:c>
      <x:c r="D152" s="53" t="str">
        <x:v>واردشون کناین رسیداشه</x:v>
      </x:c>
      <x:c r="E152" s="53" t="str">
        <x:v>#go_to_message124</x:v>
      </x:c>
      <x:c r="F152" s="53" t="str"/>
      <x:c r="G152" s="53" t="str">
        <x:v>خیر</x:v>
      </x:c>
    </x:row>
    <x:row r="153" ht="15" hidden="0" customHeight="1">
      <x:c r="A153" s="53" t="str">
        <x:v>message130</x:v>
      </x:c>
      <x:c r="B153" s="53" t="str">
        <x:v>17.05.2026 20:16:18 UTC+03:30</x:v>
      </x:c>
      <x:c r="C153" s="53" t="str">
        <x:v>Deleted Account</x:v>
      </x:c>
      <x:c r="D153" s="53" t="str">
        <x:v>یه چک بکن</x:v>
      </x:c>
      <x:c r="E153" s="53" t="str"/>
      <x:c r="F153" s="53" t="str"/>
      <x:c r="G153" s="53" t="str">
        <x:v>خیر</x:v>
      </x:c>
    </x:row>
    <x:row r="154" ht="15" hidden="0" customHeight="1">
      <x:c r="A154" s="53" t="str">
        <x:v>message131</x:v>
      </x:c>
      <x:c r="B154" s="53" t="str">
        <x:v>17.05.2026 20:17:06 UTC+03:30</x:v>
      </x:c>
      <x:c r="C154" s="53" t="str">
        <x:v>امین عزیزی</x:v>
      </x:c>
      <x:c r="D154" s="53" t="str">
        <x:v>حله حله</x:v>
      </x:c>
      <x:c r="E154" s="53" t="str"/>
      <x:c r="F154" s="53" t="str"/>
      <x:c r="G154" s="53" t="str">
        <x:v>خیر</x:v>
      </x:c>
    </x:row>
    <x:row r="155" ht="15" hidden="0" customHeight="1">
      <x:c r="A155" s="53" t="str">
        <x:v>message-25</x:v>
      </x:c>
      <x:c r="B155" s="53"/>
      <x:c r="C155" s="53" t="str">
        <x:v>امین عزیزی</x:v>
      </x:c>
      <x:c r="D155" s="53" t="str"/>
      <x:c r="E155" s="53" t="str"/>
      <x:c r="F155" s="53" t="str"/>
      <x:c r="G155" s="53" t="str">
        <x:v>خیر</x:v>
      </x:c>
    </x:row>
    <x:row r="156" ht="15" hidden="0" customHeight="1">
      <x:c r="A156" s="53" t="str">
        <x:v>message132</x:v>
      </x:c>
      <x:c r="B156" s="53" t="str">
        <x:v>18.05.2026 01:14:16 UTC+03:30</x:v>
      </x:c>
      <x:c r="C156" s="53" t="str">
        <x:v>Deleted Account</x:v>
      </x:c>
      <x:c r="D156" s="53" t="str"/>
      <x:c r="E156" s="53" t="str">
        <x:v>#go_to_message131</x:v>
      </x:c>
      <x:c r="F156" s="53" t="str"/>
      <x:c r="G156" s="53" t="str">
        <x:v>بله</x:v>
      </x:c>
    </x:row>
    <x:row r="157" ht="15" hidden="0" customHeight="1">
      <x:c r="A157" s="53" t="str">
        <x:v>message-26</x:v>
      </x:c>
      <x:c r="B157" s="53"/>
      <x:c r="C157" s="53" t="str">
        <x:v>Deleted Account</x:v>
      </x:c>
      <x:c r="D157" s="53" t="str"/>
      <x:c r="E157" s="53" t="str"/>
      <x:c r="F157" s="53" t="str"/>
      <x:c r="G157" s="53" t="str">
        <x:v>خیر</x:v>
      </x:c>
    </x:row>
    <x:row r="158" ht="15" hidden="0" customHeight="1">
      <x:c r="A158" s="53" t="str">
        <x:v>message133</x:v>
      </x:c>
      <x:c r="B158" s="53" t="str">
        <x:v>21.06.2026 12:47:37 UTC+03:30</x:v>
      </x:c>
      <x:c r="C158" s="53" t="str">
        <x:v>Deleted Account</x:v>
      </x:c>
      <x:c r="D158" s="53" t="str"/>
      <x:c r="E158" s="53" t="str"/>
      <x:c r="F158" s="53" t="str"/>
      <x:c r="G158" s="53" t="str">
        <x:v>بله</x:v>
      </x:c>
    </x:row>
    <x:row r="159" ht="15" hidden="0" customHeight="1">
      <x:c r="A159" s="53" t="str">
        <x:v>message134</x:v>
      </x:c>
      <x:c r="B159" s="53" t="str">
        <x:v>21.06.2026 12:50:19 UTC+03:30</x:v>
      </x:c>
      <x:c r="C159" s="53" t="str">
        <x:v>امین عزیزی</x:v>
      </x:c>
      <x:c r="D159" s="53" t="str"/>
      <x:c r="E159" s="53" t="str"/>
      <x:c r="F159" s="53" t="str"/>
      <x:c r="G159" s="53" t="str">
        <x:v>بله</x:v>
      </x:c>
    </x:row>
    <x:row r="160" ht="15" hidden="0" customHeight="1">
      <x:c r="A160" s="53" t="str">
        <x:v>message-27</x:v>
      </x:c>
      <x:c r="B160" s="53"/>
      <x:c r="C160" s="53" t="str">
        <x:v>امین عزیزی</x:v>
      </x:c>
      <x:c r="D160" s="53" t="str"/>
      <x:c r="E160" s="53" t="str"/>
      <x:c r="F160" s="53" t="str"/>
      <x:c r="G160" s="53" t="str">
        <x:v>خیر</x:v>
      </x:c>
    </x:row>
    <x:row r="161" ht="15" hidden="0" customHeight="1">
      <x:c r="A161" s="53" t="str">
        <x:v>message135</x:v>
      </x:c>
      <x:c r="B161" s="53" t="str">
        <x:v>27.06.2026 15:35:40 UTC+03:30</x:v>
      </x:c>
      <x:c r="C161" s="53" t="str">
        <x:v>Deleted Account</x:v>
      </x:c>
      <x:c r="D161" s="53" t="str">
        <x:v>امین</x:v>
      </x:c>
      <x:c r="E161" s="53" t="str"/>
      <x:c r="F161" s="53" t="str"/>
      <x:c r="G161" s="53" t="str">
        <x:v>خیر</x:v>
      </x:c>
    </x:row>
    <x:row r="162" ht="15" hidden="0" customHeight="1">
      <x:c r="A162" s="53" t="str">
        <x:v>message136</x:v>
      </x:c>
      <x:c r="B162" s="53" t="str">
        <x:v>27.06.2026 15:36:03 UTC+03:30</x:v>
      </x:c>
      <x:c r="C162" s="53" t="str">
        <x:v>Deleted Account</x:v>
      </x:c>
      <x:c r="D162" s="53" t="str">
        <x:v>میگم هرچی عکس داری از فاکتور ها تا اخر امروز بفرست اینجا</x:v>
      </x:c>
      <x:c r="E162" s="53" t="str"/>
      <x:c r="F162" s="53" t="str"/>
      <x:c r="G162" s="53" t="str">
        <x:v>خیر</x:v>
      </x:c>
    </x:row>
    <x:row r="163" ht="15" hidden="0" customHeight="1">
      <x:c r="A163" s="53" t="str">
        <x:v>message137</x:v>
      </x:c>
      <x:c r="B163" s="53" t="str">
        <x:v>27.06.2026 15:36:34 UTC+03:30</x:v>
      </x:c>
      <x:c r="C163" s="53" t="str">
        <x:v>Deleted Account</x:v>
      </x:c>
      <x:c r="D163" s="53" t="str">
        <x:v>و اینکه برای فردا عصر و پسفردا عصر یا حتی 3شنبه عصر تایم های خالیت رو بگو یه نیمساعت بریم میت</x:v>
      </x:c>
      <x:c r="E163" s="53" t="str"/>
      <x:c r="F163" s="53" t="str"/>
      <x:c r="G163" s="53" t="str">
        <x:v>خیر</x:v>
      </x:c>
    </x:row>
    <x:row r="164" ht="15" hidden="0" customHeight="1">
      <x:c r="A164" s="53" t="str">
        <x:v>message138</x:v>
      </x:c>
      <x:c r="B164" s="53" t="str">
        <x:v>27.06.2026 16:50:34 UTC+03:30</x:v>
      </x:c>
      <x:c r="C164" s="53" t="str">
        <x:v>امین عزیزی</x:v>
      </x:c>
      <x:c r="D164" s="53" t="str">
        <x:v>فاکتورها دست خودتهعکسی به من ندادی خودشونم ندادی💀😂</x:v>
      </x:c>
      <x:c r="E164" s="53" t="str">
        <x:v>#go_to_message136</x:v>
      </x:c>
      <x:c r="F164" s="53" t="str"/>
      <x:c r="G164" s="53" t="str">
        <x:v>خیر</x:v>
      </x:c>
    </x:row>
    <x:row r="165" ht="15" hidden="0" customHeight="1">
      <x:c r="A165" s="53" t="str">
        <x:v>message139</x:v>
      </x:c>
      <x:c r="B165" s="53" t="str">
        <x:v>27.06.2026 16:50:56 UTC+03:30</x:v>
      </x:c>
      <x:c r="C165" s="53" t="str">
        <x:v>امین عزیزی</x:v>
      </x:c>
      <x:c r="D165" s="53" t="str">
        <x:v>فردا عصر بهترین زمانههروقت بگی اوکیم</x:v>
      </x:c>
      <x:c r="E165" s="53" t="str">
        <x:v>#go_to_message137</x:v>
      </x:c>
      <x:c r="F165" s="53" t="str"/>
      <x:c r="G165" s="53" t="str">
        <x:v>خیر</x:v>
      </x:c>
    </x:row>
    <x:row r="166" ht="15" hidden="0" customHeight="1">
      <x:c r="A166" s="53" t="str">
        <x:v>message140</x:v>
      </x:c>
      <x:c r="B166" s="53" t="str">
        <x:v>27.06.2026 17:09:39 UTC+03:30</x:v>
      </x:c>
      <x:c r="C166" s="53" t="str">
        <x:v>Deleted Account</x:v>
      </x:c>
      <x:c r="D166" s="53" t="str">
        <x:v>نه اون قبلی ها</x:v>
      </x:c>
      <x:c r="E166" s="53" t="str">
        <x:v>#go_to_message138</x:v>
      </x:c>
      <x:c r="F166" s="53" t="str"/>
      <x:c r="G166" s="53" t="str">
        <x:v>خیر</x:v>
      </x:c>
    </x:row>
    <x:row r="167" ht="15" hidden="0" customHeight="1">
      <x:c r="A167" s="53" t="str">
        <x:v>message141</x:v>
      </x:c>
      <x:c r="B167" s="53" t="str">
        <x:v>27.06.2026 17:10:03 UTC+03:30</x:v>
      </x:c>
      <x:c r="C167" s="53" t="str">
        <x:v>Deleted Account</x:v>
      </x:c>
      <x:c r="D167" s="53" t="str">
        <x:v>حله عالی</x:v>
      </x:c>
      <x:c r="E167" s="53" t="str">
        <x:v>#go_to_message139</x:v>
      </x:c>
      <x:c r="F167" s="53" t="str"/>
      <x:c r="G167" s="53" t="str">
        <x:v>خیر</x:v>
      </x:c>
    </x:row>
    <x:row r="168" ht="15" hidden="0" customHeight="1">
      <x:c r="A168" s="53" t="str">
        <x:v>message142</x:v>
      </x:c>
      <x:c r="B168" s="53" t="str">
        <x:v>27.06.2026 18:24:14 UTC+03:30</x:v>
      </x:c>
      <x:c r="C168" s="53" t="str">
        <x:v>Deleted Account</x:v>
      </x:c>
      <x:c r="D168" s="53" t="str">
        <x:v>جشن یلدا</x:v>
      </x:c>
      <x:c r="E168" s="53" t="str"/>
      <x:c r="F168" s="53" t="str">
        <x:v>telegram export/photos/photo_29@27-06-2026_18-24-14.jpg</x:v>
      </x:c>
      <x:c r="G168" s="53" t="str">
        <x:v>خیر</x:v>
      </x:c>
    </x:row>
    <x:row r="169" ht="15" hidden="0" customHeight="1">
      <x:c r="A169" s="53" t="str">
        <x:v>message143</x:v>
      </x:c>
      <x:c r="B169" s="53" t="str">
        <x:v>27.06.2026 18:24:31 UTC+03:30</x:v>
      </x:c>
      <x:c r="C169" s="53" t="str">
        <x:v>Deleted Account</x:v>
      </x:c>
      <x:c r="D169" s="53" t="str">
        <x:v>جشن یلدا</x:v>
      </x:c>
      <x:c r="E169" s="53" t="str"/>
      <x:c r="F169" s="53" t="str">
        <x:v>telegram export/photos/photo_30@27-06-2026_18-24-31.jpg</x:v>
      </x:c>
      <x:c r="G169" s="53" t="str">
        <x:v>خیر</x:v>
      </x:c>
    </x:row>
    <x:row r="170" ht="15" hidden="0" customHeight="1">
      <x:c r="A170" s="53" t="str">
        <x:v>message144</x:v>
      </x:c>
      <x:c r="B170" s="53" t="str">
        <x:v>27.06.2026 18:24:39 UTC+03:30</x:v>
      </x:c>
      <x:c r="C170" s="53" t="str">
        <x:v>Deleted Account</x:v>
      </x:c>
      <x:c r="D170" s="53" t="str"/>
      <x:c r="E170" s="53" t="str"/>
      <x:c r="F170" s="53" t="str">
        <x:v>telegram export/photos/photo_31@27-06-2026_18-24-39.jpg</x:v>
      </x:c>
      <x:c r="G170" s="53" t="str">
        <x:v>خیر</x:v>
      </x:c>
    </x:row>
    <x:row r="171" ht="15" hidden="0" customHeight="1">
      <x:c r="A171" s="53" t="str">
        <x:v>message145</x:v>
      </x:c>
      <x:c r="B171" s="53" t="str">
        <x:v>27.06.2026 18:24:52 UTC+03:30</x:v>
      </x:c>
      <x:c r="C171" s="53" t="str">
        <x:v>Deleted Account</x:v>
      </x:c>
      <x:c r="D171" s="53" t="str">
        <x:v>چاپ پوستر انجمن</x:v>
      </x:c>
      <x:c r="E171" s="53" t="str"/>
      <x:c r="F171" s="53" t="str">
        <x:v>telegram export/photos/photo_32@27-06-2026_18-24-52.jpg</x:v>
      </x:c>
      <x:c r="G171" s="53" t="str">
        <x:v>خیر</x:v>
      </x:c>
    </x:row>
    <x:row r="172" ht="15" hidden="0" customHeight="1">
      <x:c r="A172" s="53" t="str">
        <x:v>message146</x:v>
      </x:c>
      <x:c r="B172" s="53" t="str">
        <x:v>27.06.2026 18:25:49 UTC+03:30</x:v>
      </x:c>
      <x:c r="C172" s="53" t="str">
        <x:v>Deleted Account</x:v>
      </x:c>
      <x:c r="D172" s="53" t="str">
        <x:v>خودکار و روان‌نویس و دفترچه جشن ورودی</x:v>
      </x:c>
      <x:c r="E172" s="53" t="str"/>
      <x:c r="F172" s="53" t="str">
        <x:v>telegram export/photos/photo_33@27-06-2026_18-25-49.jpg</x:v>
      </x:c>
      <x:c r="G172" s="53" t="str">
        <x:v>خیر</x:v>
      </x:c>
    </x:row>
    <x:row r="173" ht="15" hidden="0" customHeight="1">
      <x:c r="A173" s="53" t="str">
        <x:v>message147</x:v>
      </x:c>
      <x:c r="B173" s="53" t="str">
        <x:v>27.06.2026 18:26:03 UTC+03:30</x:v>
      </x:c>
      <x:c r="C173" s="53" t="str">
        <x:v>Deleted Account</x:v>
      </x:c>
      <x:c r="D173" s="53" t="str">
        <x:v>جوایز جشن ورودی</x:v>
      </x:c>
      <x:c r="E173" s="53" t="str"/>
      <x:c r="F173" s="53" t="str">
        <x:v>telegram export/photos/photo_34@27-06-2026_18-26-03.jpg</x:v>
      </x:c>
      <x:c r="G173" s="53" t="str">
        <x:v>خیر</x:v>
      </x:c>
    </x:row>
    <x:row r="174" ht="15" hidden="0" customHeight="1">
      <x:c r="A174" s="53" t="str">
        <x:v>message148</x:v>
      </x:c>
      <x:c r="B174" s="53" t="str">
        <x:v>27.06.2026 18:26:22 UTC+03:30</x:v>
      </x:c>
      <x:c r="C174" s="53" t="str">
        <x:v>Deleted Account</x:v>
      </x:c>
      <x:c r="D174" s="53" t="str">
        <x:v>جوایز جشن ورودی و فلش انجمن</x:v>
      </x:c>
      <x:c r="E174" s="53" t="str"/>
      <x:c r="F174" s="53" t="str">
        <x:v>telegram export/photos/photo_35@27-06-2026_18-26-22.jpg</x:v>
      </x:c>
      <x:c r="G174" s="53" t="str">
        <x:v>خیر</x:v>
      </x:c>
    </x:row>
    <x:row r="175" ht="15" hidden="0" customHeight="1">
      <x:c r="A175" s="53" t="str">
        <x:v>message149</x:v>
      </x:c>
      <x:c r="B175" s="53" t="str">
        <x:v>27.06.2026 18:26:45 UTC+03:30</x:v>
      </x:c>
      <x:c r="C175" s="53" t="str">
        <x:v>Deleted Account</x:v>
      </x:c>
      <x:c r="D175" s="53" t="str">
        <x:v>پذیرایی نشست اساتید مهرماه</x:v>
      </x:c>
      <x:c r="E175" s="53" t="str"/>
      <x:c r="F175" s="53" t="str">
        <x:v>telegram export/photos/photo_36@27-06-2026_18-26-45.jpg</x:v>
      </x:c>
      <x:c r="G175" s="53" t="str">
        <x:v>خیر</x:v>
      </x:c>
    </x:row>
    <x:row r="176" ht="15" hidden="0" customHeight="1">
      <x:c r="A176" s="53" t="str">
        <x:v>message150</x:v>
      </x:c>
      <x:c r="B176" s="53" t="str">
        <x:v>27.06.2026 18:27:12 UTC+03:30</x:v>
      </x:c>
      <x:c r="C176" s="53" t="str">
        <x:v>Deleted Account</x:v>
      </x:c>
      <x:c r="D176" s="53" t="str">
        <x:v>پذیرایی چای و فیزیک مهرماه</x:v>
      </x:c>
      <x:c r="E176" s="53" t="str"/>
      <x:c r="F176" s="53" t="str">
        <x:v>telegram export/photos/photo_37@27-06-2026_18-27-12.jpg</x:v>
      </x:c>
      <x:c r="G176" s="53" t="str">
        <x:v>خیر</x:v>
      </x:c>
    </x:row>
    <x:row r="177" ht="15" hidden="0" customHeight="1">
      <x:c r="A177" s="53" t="str">
        <x:v>message151</x:v>
      </x:c>
      <x:c r="B177" s="53" t="str">
        <x:v>27.06.2026 18:27:25 UTC+03:30</x:v>
      </x:c>
      <x:c r="C177" s="53" t="str">
        <x:v>Deleted Account</x:v>
      </x:c>
      <x:c r="D177" s="53" t="str">
        <x:v>پذیرایی یلدا</x:v>
      </x:c>
      <x:c r="E177" s="53" t="str"/>
      <x:c r="F177" s="53" t="str">
        <x:v>telegram export/photos/photo_38@27-06-2026_18-27-25.jpg</x:v>
      </x:c>
      <x:c r="G177" s="53" t="str">
        <x:v>خیر</x:v>
      </x:c>
    </x:row>
    <x:row r="178" ht="15" hidden="0" customHeight="1">
      <x:c r="A178" s="53" t="str">
        <x:v>message152</x:v>
      </x:c>
      <x:c r="B178" s="53" t="str">
        <x:v>27.06.2026 18:29:10 UTC+03:30</x:v>
      </x:c>
      <x:c r="C178" s="53" t="str">
        <x:v>Deleted Account</x:v>
      </x:c>
      <x:c r="D178" s="53" t="str">
        <x:v>نخ بسته‌بندی فال یلدا</x:v>
      </x:c>
      <x:c r="E178" s="53" t="str"/>
      <x:c r="F178" s="53" t="str">
        <x:v>telegram export/photos/photo_39@27-06-2026_18-29-10.jpg</x:v>
      </x:c>
      <x:c r="G178" s="53" t="str">
        <x:v>خیر</x:v>
      </x:c>
    </x:row>
    <x:row r="179" ht="15" hidden="0" customHeight="1">
      <x:c r="A179" s="53" t="str">
        <x:v>message153</x:v>
      </x:c>
      <x:c r="B179" s="53" t="str">
        <x:v>27.06.2026 18:31:08 UTC+03:30</x:v>
      </x:c>
      <x:c r="C179" s="53" t="str">
        <x:v>Deleted Account</x:v>
      </x:c>
      <x:c r="D179" s="53" t="str">
        <x:v>پذیرایی غرفه انجمنشریف سلامدو عدد دلستربیسکوئیت و چیپس و پفک</x:v>
      </x:c>
      <x:c r="E179" s="53" t="str"/>
      <x:c r="F179" s="53" t="str">
        <x:v>telegram export/photos/photo_40@27-06-2026_18-31-08.jpg</x:v>
      </x:c>
      <x:c r="G179" s="53" t="str">
        <x:v>خیر</x:v>
      </x:c>
    </x:row>
    <x:row r="180" ht="36" hidden="0" customHeight="1">
      <x:c r="A180" s="53" t="str">
        <x:v>message154</x:v>
      </x:c>
      <x:c r="B180" s="53" t="str">
        <x:v>27.06.2026 18:36:09 UTC+03:30</x:v>
      </x:c>
      <x:c r="C180" s="53" t="str">
        <x:v>Deleted Account
Bardia  25.12.2025 19:23:28</x:v>
      </x:c>
      <x:c r="D180" s="53"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180" s="53" t="str"/>
      <x:c r="F180" s="53" t="str"/>
      <x:c r="G180" s="53" t="str">
        <x:v>خیر</x:v>
      </x:c>
    </x:row>
    <x:row r="181" ht="15" hidden="0" customHeight="1">
      <x:c r="A181" s="53" t="str">
        <x:v>message155</x:v>
      </x:c>
      <x:c r="B181" s="53" t="str">
        <x:v>27.06.2026 18:36:09 UTC+03:30</x:v>
      </x:c>
      <x:c r="C181" s="53" t="str">
        <x:v>Bardia  25.12.2025 19:23:48</x:v>
      </x:c>
      <x:c r="D181" s="53" t="str"/>
      <x:c r="E181" s="53" t="str"/>
      <x:c r="F181" s="53" t="str">
        <x:v>telegram export/photos/photo_41@27-06-2026_18-36-09.jpg</x:v>
      </x:c>
      <x:c r="G181" s="53" t="str">
        <x:v>خیر</x:v>
      </x:c>
    </x:row>
    <x:row r="182" ht="15" hidden="0" customHeight="1">
      <x:c r="A182" s="53" t="str">
        <x:v>message156</x:v>
      </x:c>
      <x:c r="B182" s="53" t="str">
        <x:v>27.06.2026 18:36:09 UTC+03:30</x:v>
      </x:c>
      <x:c r="C182" s="53" t="str">
        <x:v>Bardia  25.12.2025 19:23:48</x:v>
      </x:c>
      <x:c r="D182" s="53" t="str"/>
      <x:c r="E182" s="53" t="str"/>
      <x:c r="F182" s="53" t="str">
        <x:v>telegram export/photos/photo_42@27-06-2026_18-36-09.jpg</x:v>
      </x:c>
      <x:c r="G182" s="53" t="str">
        <x:v>خیر</x:v>
      </x:c>
    </x:row>
    <x:row r="183" ht="15" hidden="0" customHeight="1">
      <x:c r="A183" s="53" t="str">
        <x:v>message157</x:v>
      </x:c>
      <x:c r="B183" s="53" t="str">
        <x:v>27.06.2026 18:36:09 UTC+03:30</x:v>
      </x:c>
      <x:c r="C183" s="53" t="str">
        <x:v>Bardia  25.12.2025 19:32:19</x:v>
      </x:c>
      <x:c r="D183" s="53" t="str">
        <x:v>این رسید اون دوتای دیگس ولی فاکتور ۱۱۶۲ رو ندارم دیگه بیشتر نتونستم پیدا کنم 😂</x:v>
      </x:c>
      <x:c r="E183" s="53" t="str"/>
      <x:c r="F183" s="53" t="str">
        <x:v>telegram export/photos/photo_43@27-06-2026_18-36-09.jpg</x:v>
      </x:c>
      <x:c r="G183" s="53" t="str">
        <x:v>خیر</x:v>
      </x:c>
    </x:row>
    <x:row r="184" ht="15" hidden="0" customHeight="1">
      <x:c r="A184" s="53" t="str">
        <x:v>message158</x:v>
      </x:c>
      <x:c r="B184" s="53" t="str">
        <x:v>27.06.2026 18:36:09 UTC+03:30</x:v>
      </x:c>
      <x:c r="C184" s="53" t="str">
        <x:v>Bardia  25.12.2025 19:32:19</x:v>
      </x:c>
      <x:c r="D184" s="53" t="str"/>
      <x:c r="E184" s="53" t="str"/>
      <x:c r="F184" s="53" t="str">
        <x:v>telegram export/photos/photo_44@27-06-2026_18-36-09.jpg</x:v>
      </x:c>
      <x:c r="G184" s="53" t="str">
        <x:v>خیر</x:v>
      </x:c>
    </x:row>
    <x:row r="185" ht="24" hidden="0" customHeight="1">
      <x:c r="A185" s="53" t="str">
        <x:v>message159</x:v>
      </x:c>
      <x:c r="B185" s="53" t="str">
        <x:v>27.06.2026 18:36:09 UTC+03:30</x:v>
      </x:c>
      <x:c r="C185" s="53" t="str">
        <x:v>Deleted Account
Deleted Account 29.12.2025 00:50:11</x:v>
      </x:c>
      <x:c r="D185" s="53" t="str">
        <x:v>خدمتت نازنین، ممنون از انرژی که گذاشتی</x:v>
      </x:c>
      <x:c r="E185" s="53" t="str"/>
      <x:c r="F185" s="53" t="str">
        <x:v>telegram export/photos/photo_45@27-06-2026_18-36-09.jpg</x:v>
      </x:c>
      <x:c r="G185" s="53" t="str">
        <x:v>خیر</x:v>
      </x:c>
    </x:row>
    <x:row r="186" ht="24" hidden="0" customHeight="1">
      <x:c r="A186" s="53" t="str">
        <x:v>message161</x:v>
      </x:c>
      <x:c r="B186" s="53" t="str">
        <x:v>27.06.2026 18:38:52 UTC+03:30</x:v>
      </x:c>
      <x:c r="C186" s="53" t="str">
        <x:v>Deleted Account
hossein  26.12.2025 21:51:06</x:v>
      </x:c>
      <x:c r="D186" s="53" t="str">
        <x:v>این برای یکیشون که ژله و شربت آلبالو</x:v>
      </x:c>
      <x:c r="E186" s="53" t="str"/>
      <x:c r="F186" s="53" t="str">
        <x:v>telegram export/photos/photo_46@27-06-2026_18-38-52.jpg</x:v>
      </x:c>
      <x:c r="G186" s="53" t="str">
        <x:v>خیر</x:v>
      </x:c>
    </x:row>
    <x:row r="187" ht="15" hidden="0" customHeight="1">
      <x:c r="A187" s="53" t="str">
        <x:v>message162</x:v>
      </x:c>
      <x:c r="B187" s="53" t="str">
        <x:v>27.06.2026 18:38:52 UTC+03:30</x:v>
      </x:c>
      <x:c r="C187" s="53" t="str">
        <x:v>hossein  26.12.2025 21:52:41</x:v>
      </x:c>
      <x:c r="D187" s="53" t="str">
        <x:v>اون 165 برای خرید کاغذ و ماژیک</x:v>
      </x:c>
      <x:c r="E187" s="53" t="str"/>
      <x:c r="F187" s="53" t="str"/>
      <x:c r="G187" s="53" t="str">
        <x:v>خیر</x:v>
      </x:c>
    </x:row>
    <x:row r="188" ht="15" hidden="0" customHeight="1">
      <x:c r="A188" s="53" t="str">
        <x:v>message163</x:v>
      </x:c>
      <x:c r="B188" s="53" t="str">
        <x:v>27.06.2026 18:38:52 UTC+03:30</x:v>
      </x:c>
      <x:c r="C188" s="53" t="str">
        <x:v>hossein  26.12.2025 21:53:41</x:v>
      </x:c>
      <x:c r="D188" s="53" t="str">
        <x:v>اون شصت تومن  و پنجاه تومن شیرینی تو راه گرفتیم😊😊</x:v>
      </x:c>
      <x:c r="E188" s="53" t="str"/>
      <x:c r="F188" s="53" t="str"/>
      <x:c r="G188" s="53" t="str">
        <x:v>خیر</x:v>
      </x:c>
    </x:row>
    <x:row r="189" ht="24" hidden="0" customHeight="1">
      <x:c r="A189" s="53" t="str">
        <x:v>message164</x:v>
      </x:c>
      <x:c r="B189" s="53" t="str">
        <x:v>27.06.2026 18:43:30 UTC+03:30</x:v>
      </x:c>
      <x:c r="C189" s="53" t="str">
        <x:v>Deleted Account</x:v>
      </x:c>
      <x:c r="D189" s="53"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189" s="53" t="str"/>
      <x:c r="F189" s="53" t="str">
        <x:v>telegram export/photos/photo_47@27-06-2026_18-43-30.jpg</x:v>
      </x:c>
      <x:c r="G189" s="53" t="str">
        <x:v>خیر</x:v>
      </x:c>
    </x:row>
    <x:row r="190" ht="15" hidden="0" customHeight="1">
      <x:c r="A190" s="53" t="str">
        <x:v>message165</x:v>
      </x:c>
      <x:c r="B190" s="53" t="str">
        <x:v>27.06.2026 18:43:30 UTC+03:30</x:v>
      </x:c>
      <x:c r="C190" s="53" t="str">
        <x:v>Deleted Account</x:v>
      </x:c>
      <x:c r="D190" s="53" t="str"/>
      <x:c r="E190" s="53" t="str"/>
      <x:c r="F190" s="53" t="str">
        <x:v>telegram export/photos/photo_48@27-06-2026_18-43-30.jpg</x:v>
      </x:c>
      <x:c r="G190" s="53" t="str">
        <x:v>خیر</x:v>
      </x:c>
    </x:row>
    <x:row r="191" ht="15" hidden="0" customHeight="1">
      <x:c r="A191" s="53" t="str">
        <x:v>message-28</x:v>
      </x:c>
      <x:c r="B191" s="53"/>
      <x:c r="C191" s="53" t="str">
        <x:v>Deleted Account</x:v>
      </x:c>
      <x:c r="D191" s="53" t="str"/>
      <x:c r="E191" s="53" t="str"/>
      <x:c r="F191" s="53" t="str"/>
      <x:c r="G191" s="53" t="str">
        <x:v>خیر</x:v>
      </x:c>
    </x:row>
    <x:row r="192" ht="15" hidden="0" customHeight="1">
      <x:c r="A192" s="53" t="str">
        <x:v>message166</x:v>
      </x:c>
      <x:c r="B192" s="53"/>
      <x:c r="C192" s="53" t="str">
        <x:v>Deleted Account</x:v>
      </x:c>
      <x:c r="D192" s="53" t="str"/>
      <x:c r="E192" s="53" t="str"/>
      <x:c r="F192" s="53" t="str"/>
      <x:c r="G192" s="53" t="str">
        <x:v>خیر</x:v>
      </x:c>
    </x:row>
  </x:sheetData>
  <x:mergeCells>
    <x:mergeCell ref="A2:F2"/>
  </x:mergeCells>
  <x:pageMargins left="0.7" right="0.7" top="0.75" bottom="0.75" header="0.3" footer="0.3"/>
  <x:tableParts count="1">
    <x:tablePart xmlns:r="http://schemas.openxmlformats.org/officeDocument/2006/relationships" r:id="R165481f059a648ac"/>
  </x:tableParts>
</x:worksheet>
</file>

<file path=xl/worksheets/sheet12.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44" hidden="0" customWidth="1"/>
    <x:col min="2" max="2" width="30" hidden="0" customWidth="1"/>
    <x:col min="3" max="3" width="15" hidden="0" customWidth="1"/>
    <x:col min="4" max="4" width="125" hidden="0" customWidth="1"/>
    <x:col min="5" max="5" width="115" hidden="0" customWidth="1"/>
  </x:cols>
  <x:sheetData>
    <x:row r="1" ht="15" hidden="0" customHeight="1">
      <x:c r="A1" s="51"/>
      <x:c r="B1" s="51"/>
      <x:c r="C1" s="51"/>
      <x:c r="D1" s="51"/>
      <x:c r="E1" s="51"/>
    </x:row>
    <x:row r="2" ht="16.799999237060547" hidden="0" customHeight="1">
      <x:c r="A2" s="52" t="str">
        <x:v>سلول‌های اصلی کارپوشه | تصاویر بدون تغییر منبع</x:v>
      </x:c>
      <x:c r="B2" s="51"/>
      <x:c r="C2" s="51"/>
      <x:c r="D2" s="51"/>
      <x:c r="E2" s="51"/>
    </x:row>
    <x:row r="3" ht="15" hidden="0" customHeight="1">
      <x:c r="A3" s="51"/>
      <x:c r="B3" s="51"/>
      <x:c r="C3" s="51"/>
      <x:c r="D3" s="51"/>
      <x:c r="E3" s="51"/>
    </x:row>
    <x:row r="4" ht="15" hidden="0" customHeight="1">
      <x:c r="A4" s="39" t="str">
        <x:v>کارپوشه</x:v>
      </x:c>
      <x:c r="B4" s="39" t="str">
        <x:v>برگه</x:v>
      </x:c>
      <x:c r="C4" s="39" t="str">
        <x:v>سلول</x:v>
      </x:c>
      <x:c r="D4" s="39" t="str">
        <x:v>مقدار اصلی</x:v>
      </x:c>
      <x:c r="E4" s="39" t="str">
        <x:v>فرمول اصلی به‌صورت متن</x:v>
      </x:c>
    </x:row>
    <x:row r="5" ht="15" hidden="0" customHeight="1">
      <x:c r="A5" s="53" t="str">
        <x:v>Anjoman accounting.xlsx</x:v>
      </x:c>
      <x:c r="B5" s="53" t="str">
        <x:v>مرداد</x:v>
      </x:c>
      <x:c r="C5" s="53" t="str">
        <x:v>A1</x:v>
      </x:c>
      <x:c r="D5" s="53" t="str">
        <x:v>بابت</x:v>
      </x:c>
      <x:c r="E5" s="53"/>
    </x:row>
    <x:row r="6" ht="15" hidden="0" customHeight="1">
      <x:c r="A6" s="53" t="str">
        <x:v>Anjoman accounting.xlsx</x:v>
      </x:c>
      <x:c r="B6" s="53" t="str">
        <x:v>مرداد</x:v>
      </x:c>
      <x:c r="C6" s="53" t="str">
        <x:v>B1</x:v>
      </x:c>
      <x:c r="D6" s="53" t="str">
        <x:v>ورودی</x:v>
      </x:c>
      <x:c r="E6" s="53"/>
    </x:row>
    <x:row r="7" ht="15" hidden="0" customHeight="1">
      <x:c r="A7" s="53" t="str">
        <x:v>Anjoman accounting.xlsx</x:v>
      </x:c>
      <x:c r="B7" s="53" t="str">
        <x:v>مرداد</x:v>
      </x:c>
      <x:c r="C7" s="53" t="str">
        <x:v>C1</x:v>
      </x:c>
      <x:c r="D7" s="53" t="str">
        <x:v>ماه</x:v>
      </x:c>
      <x:c r="E7" s="53"/>
    </x:row>
    <x:row r="8" ht="15" hidden="0" customHeight="1">
      <x:c r="A8" s="53" t="str">
        <x:v>Anjoman accounting.xlsx</x:v>
      </x:c>
      <x:c r="B8" s="53" t="str">
        <x:v>مرداد</x:v>
      </x:c>
      <x:c r="C8" s="53" t="str">
        <x:v>D1</x:v>
      </x:c>
      <x:c r="D8" s="53" t="str">
        <x:v>هزینه</x:v>
      </x:c>
      <x:c r="E8" s="53"/>
    </x:row>
    <x:row r="9" ht="15" hidden="0" customHeight="1">
      <x:c r="A9" s="53" t="str">
        <x:v>Anjoman accounting.xlsx</x:v>
      </x:c>
      <x:c r="B9" s="53" t="str">
        <x:v>مرداد</x:v>
      </x:c>
      <x:c r="C9" s="53" t="str">
        <x:v>E1</x:v>
      </x:c>
      <x:c r="D9" s="53" t="str">
        <x:v>به ...</x:v>
      </x:c>
      <x:c r="E9" s="53"/>
    </x:row>
    <x:row r="10" ht="15" hidden="0" customHeight="1">
      <x:c r="A10" s="53" t="str">
        <x:v>Anjoman accounting.xlsx</x:v>
      </x:c>
      <x:c r="B10" s="53" t="str">
        <x:v>مرداد</x:v>
      </x:c>
      <x:c r="C10" s="53" t="str">
        <x:v>F1</x:v>
      </x:c>
      <x:c r="D10" s="53" t="str">
        <x:v>بابت</x:v>
      </x:c>
      <x:c r="E10" s="53"/>
    </x:row>
    <x:row r="11" ht="15" hidden="0" customHeight="1">
      <x:c r="A11" s="53" t="str">
        <x:v>Anjoman accounting.xlsx</x:v>
      </x:c>
      <x:c r="B11" s="53" t="str">
        <x:v>مرداد</x:v>
      </x:c>
      <x:c r="C11" s="53" t="str">
        <x:v>H1</x:v>
      </x:c>
      <x:c r="D11" s="53" t="str">
        <x:v>هزینه</x:v>
      </x:c>
      <x:c r="E11" s="53"/>
    </x:row>
    <x:row r="12" ht="15" hidden="0" customHeight="1">
      <x:c r="A12" s="53" t="str">
        <x:v>Anjoman accounting.xlsx</x:v>
      </x:c>
      <x:c r="B12" s="53" t="str">
        <x:v>مرداد</x:v>
      </x:c>
      <x:c r="C12" s="53" t="str">
        <x:v>I1</x:v>
      </x:c>
      <x:c r="D12" s="53" t="str">
        <x:v>درآمد</x:v>
      </x:c>
      <x:c r="E12" s="53"/>
    </x:row>
    <x:row r="13" ht="15" hidden="0" customHeight="1">
      <x:c r="A13" s="53" t="str">
        <x:v>Anjoman accounting.xlsx</x:v>
      </x:c>
      <x:c r="B13" s="53" t="str">
        <x:v>مرداد</x:v>
      </x:c>
      <x:c r="C13" s="53" t="str">
        <x:v>J1</x:v>
      </x:c>
      <x:c r="D13" s="53" t="str">
        <x:v>تراز</x:v>
      </x:c>
      <x:c r="E13" s="53"/>
    </x:row>
    <x:row r="14" ht="15" hidden="0" customHeight="1">
      <x:c r="A14" s="53" t="str">
        <x:v>Anjoman accounting.xlsx</x:v>
      </x:c>
      <x:c r="B14" s="53" t="str">
        <x:v>مرداد</x:v>
      </x:c>
      <x:c r="C14" s="53" t="str">
        <x:v>A2</x:v>
      </x:c>
      <x:c r="D14" s="53" t="str">
        <x:v>مدرسه تابستانه</x:v>
      </x:c>
      <x:c r="E14" s="53"/>
    </x:row>
    <x:row r="15" ht="15" hidden="0" customHeight="1">
      <x:c r="A15" s="53" t="str">
        <x:v>Anjoman accounting.xlsx</x:v>
      </x:c>
      <x:c r="B15" s="53" t="str">
        <x:v>مرداد</x:v>
      </x:c>
      <x:c r="C15" s="53" t="str">
        <x:v>B2</x:v>
      </x:c>
      <x:c r="D15" s="53" t="str">
        <x:v>3.3642E7</x:v>
      </x:c>
      <x:c r="E15" s="53"/>
    </x:row>
    <x:row r="16" ht="15" hidden="0" customHeight="1">
      <x:c r="A16" s="53" t="str">
        <x:v>Anjoman accounting.xlsx</x:v>
      </x:c>
      <x:c r="B16" s="53" t="str">
        <x:v>مرداد</x:v>
      </x:c>
      <x:c r="C16" s="53" t="str">
        <x:v>C2</x:v>
      </x:c>
      <x:c r="D16" s="53" t="str">
        <x:v>مرداد</x:v>
      </x:c>
      <x:c r="E16" s="53"/>
    </x:row>
    <x:row r="17" ht="15" hidden="0" customHeight="1">
      <x:c r="A17" s="53" t="str">
        <x:v>Anjoman accounting.xlsx</x:v>
      </x:c>
      <x:c r="B17" s="53" t="str">
        <x:v>مرداد</x:v>
      </x:c>
      <x:c r="C17" s="53" t="str">
        <x:v>D2</x:v>
      </x:c>
      <x:c r="D17" s="53" t="str">
        <x:v>3500000.0</x:v>
      </x:c>
      <x:c r="E17" s="53"/>
    </x:row>
    <x:row r="18" ht="15" hidden="0" customHeight="1">
      <x:c r="A18" s="53" t="str">
        <x:v>Anjoman accounting.xlsx</x:v>
      </x:c>
      <x:c r="B18" s="53" t="str">
        <x:v>مرداد</x:v>
      </x:c>
      <x:c r="C18" s="53" t="str">
        <x:v>E2</x:v>
      </x:c>
      <x:c r="D18" s="53" t="str">
        <x:v>امیرمحمد جوشقانی</x:v>
      </x:c>
      <x:c r="E18" s="53"/>
    </x:row>
    <x:row r="19" ht="15" hidden="0" customHeight="1">
      <x:c r="A19" s="53" t="str">
        <x:v>Anjoman accounting.xlsx</x:v>
      </x:c>
      <x:c r="B19" s="53" t="str">
        <x:v>مرداد</x:v>
      </x:c>
      <x:c r="C19" s="53" t="str">
        <x:v>F2</x:v>
      </x:c>
      <x:c r="D19" s="53" t="str">
        <x:v>حق التدریس دوره پایتون</x:v>
      </x:c>
      <x:c r="E19" s="53"/>
    </x:row>
    <x:row r="20" ht="15" hidden="0" customHeight="1">
      <x:c r="A20" s="53" t="str">
        <x:v>Anjoman accounting.xlsx</x:v>
      </x:c>
      <x:c r="B20" s="53" t="str">
        <x:v>مرداد</x:v>
      </x:c>
      <x:c r="C20" s="53" t="str">
        <x:v>H2</x:v>
      </x:c>
      <x:c r="D20" s="53" t="str">
        <x:v>12600000</x:v>
      </x:c>
      <x:c r="E20" s="53" t="str">
        <x:v>=sum(D:D)</x:v>
      </x:c>
    </x:row>
    <x:row r="21" ht="15" hidden="0" customHeight="1">
      <x:c r="A21" s="53" t="str">
        <x:v>Anjoman accounting.xlsx</x:v>
      </x:c>
      <x:c r="B21" s="53" t="str">
        <x:v>مرداد</x:v>
      </x:c>
      <x:c r="C21" s="53" t="str">
        <x:v>I2</x:v>
      </x:c>
      <x:c r="D21" s="53" t="str">
        <x:v>33642000</x:v>
      </x:c>
      <x:c r="E21" s="53" t="str">
        <x:v>=sum(B:B)</x:v>
      </x:c>
    </x:row>
    <x:row r="22" ht="15" hidden="0" customHeight="1">
      <x:c r="A22" s="53" t="str">
        <x:v>Anjoman accounting.xlsx</x:v>
      </x:c>
      <x:c r="B22" s="53" t="str">
        <x:v>مرداد</x:v>
      </x:c>
      <x:c r="C22" s="53" t="str">
        <x:v>J2</x:v>
      </x:c>
      <x:c r="D22" s="53" t="str">
        <x:v>21042000</x:v>
      </x:c>
      <x:c r="E22" s="53" t="str">
        <x:v>=I2-H2</x:v>
      </x:c>
    </x:row>
    <x:row r="23" ht="15" hidden="0" customHeight="1">
      <x:c r="A23" s="53" t="str">
        <x:v>Anjoman accounting.xlsx</x:v>
      </x:c>
      <x:c r="B23" s="53" t="str">
        <x:v>مرداد</x:v>
      </x:c>
      <x:c r="C23" s="53" t="str">
        <x:v>K2</x:v>
      </x:c>
      <x:c r="D23" s="53" t="str">
        <x:v>سووووود</x:v>
      </x:c>
      <x:c r="E23" s="53" t="str">
        <x:v>=IF(J2&gt;0, "سووووود", "ضررررر")</x:v>
      </x:c>
    </x:row>
    <x:row r="24" ht="15" hidden="0" customHeight="1">
      <x:c r="A24" s="53" t="str">
        <x:v>Anjoman accounting.xlsx</x:v>
      </x:c>
      <x:c r="B24" s="53" t="str">
        <x:v>مرداد</x:v>
      </x:c>
      <x:c r="C24" s="53" t="str">
        <x:v>D3</x:v>
      </x:c>
      <x:c r="D24" s="53" t="str">
        <x:v>3000000.0</x:v>
      </x:c>
      <x:c r="E24" s="53"/>
    </x:row>
    <x:row r="25" ht="15" hidden="0" customHeight="1">
      <x:c r="A25" s="53" t="str">
        <x:v>Anjoman accounting.xlsx</x:v>
      </x:c>
      <x:c r="B25" s="53" t="str">
        <x:v>مرداد</x:v>
      </x:c>
      <x:c r="C25" s="53" t="str">
        <x:v>E3</x:v>
      </x:c>
      <x:c r="D25" s="53" t="str">
        <x:v>سهراب ملکی</x:v>
      </x:c>
      <x:c r="E25" s="53"/>
    </x:row>
    <x:row r="26" ht="15" hidden="0" customHeight="1">
      <x:c r="A26" s="53" t="str">
        <x:v>Anjoman accounting.xlsx</x:v>
      </x:c>
      <x:c r="B26" s="53" t="str">
        <x:v>مرداد</x:v>
      </x:c>
      <x:c r="C26" s="53" t="str">
        <x:v>F3</x:v>
      </x:c>
      <x:c r="D26" s="53" t="str">
        <x:v>حق التدریس دوره Mathemathica</x:v>
      </x:c>
      <x:c r="E26" s="53"/>
    </x:row>
    <x:row r="27" ht="15" hidden="0" customHeight="1">
      <x:c r="A27" s="53" t="str">
        <x:v>Anjoman accounting.xlsx</x:v>
      </x:c>
      <x:c r="B27" s="53" t="str">
        <x:v>مرداد</x:v>
      </x:c>
      <x:c r="C27" s="53" t="str">
        <x:v>D4</x:v>
      </x:c>
      <x:c r="D27" s="53" t="str">
        <x:v>3700000.0</x:v>
      </x:c>
      <x:c r="E27" s="53"/>
    </x:row>
    <x:row r="28" ht="15" hidden="0" customHeight="1">
      <x:c r="A28" s="53" t="str">
        <x:v>Anjoman accounting.xlsx</x:v>
      </x:c>
      <x:c r="B28" s="53" t="str">
        <x:v>مرداد</x:v>
      </x:c>
      <x:c r="C28" s="53" t="str">
        <x:v>E4</x:v>
      </x:c>
      <x:c r="D28" s="53" t="str">
        <x:v>متین جوکار</x:v>
      </x:c>
      <x:c r="E28" s="53"/>
    </x:row>
    <x:row r="29" ht="15" hidden="0" customHeight="1">
      <x:c r="A29" s="53" t="str">
        <x:v>Anjoman accounting.xlsx</x:v>
      </x:c>
      <x:c r="B29" s="53" t="str">
        <x:v>مرداد</x:v>
      </x:c>
      <x:c r="C29" s="53" t="str">
        <x:v>F4</x:v>
      </x:c>
      <x:c r="D29" s="53" t="str">
        <x:v>حق التدریس دوره Latex</x:v>
      </x:c>
      <x:c r="E29" s="53"/>
    </x:row>
    <x:row r="30" ht="15" hidden="0" customHeight="1">
      <x:c r="A30" s="53" t="str">
        <x:v>Anjoman accounting.xlsx</x:v>
      </x:c>
      <x:c r="B30" s="53" t="str">
        <x:v>مرداد</x:v>
      </x:c>
      <x:c r="C30" s="53" t="str">
        <x:v>D5</x:v>
      </x:c>
      <x:c r="D30" s="53" t="str">
        <x:v>500000.0</x:v>
      </x:c>
      <x:c r="E30" s="53"/>
    </x:row>
    <x:row r="31" ht="15" hidden="0" customHeight="1">
      <x:c r="A31" s="53" t="str">
        <x:v>Anjoman accounting.xlsx</x:v>
      </x:c>
      <x:c r="B31" s="53" t="str">
        <x:v>مرداد</x:v>
      </x:c>
      <x:c r="C31" s="53" t="str">
        <x:v>E5</x:v>
      </x:c>
      <x:c r="D31" s="53" t="str">
        <x:v>ابراهیم خسروانی</x:v>
      </x:c>
      <x:c r="E31" s="53"/>
    </x:row>
    <x:row r="32" ht="15" hidden="0" customHeight="1">
      <x:c r="A32" s="53" t="str">
        <x:v>Anjoman accounting.xlsx</x:v>
      </x:c>
      <x:c r="B32" s="53" t="str">
        <x:v>مرداد</x:v>
      </x:c>
      <x:c r="C32" s="53" t="str">
        <x:v>F5</x:v>
      </x:c>
      <x:c r="D32" s="53" t="str">
        <x:v>TA، فرم و شیت مدرسه تابستانه</x:v>
      </x:c>
      <x:c r="E32" s="53"/>
    </x:row>
    <x:row r="33" ht="15" hidden="0" customHeight="1">
      <x:c r="A33" s="53" t="str">
        <x:v>Anjoman accounting.xlsx</x:v>
      </x:c>
      <x:c r="B33" s="53" t="str">
        <x:v>مرداد</x:v>
      </x:c>
      <x:c r="C33" s="53" t="str">
        <x:v>D6</x:v>
      </x:c>
      <x:c r="D33" s="53" t="str">
        <x:v>600000.0</x:v>
      </x:c>
      <x:c r="E33" s="53"/>
    </x:row>
    <x:row r="34" ht="15" hidden="0" customHeight="1">
      <x:c r="A34" s="53" t="str">
        <x:v>Anjoman accounting.xlsx</x:v>
      </x:c>
      <x:c r="B34" s="53" t="str">
        <x:v>مرداد</x:v>
      </x:c>
      <x:c r="C34" s="53" t="str">
        <x:v>E6</x:v>
      </x:c>
      <x:c r="D34" s="53" t="str">
        <x:v>سپهر طلایی</x:v>
      </x:c>
      <x:c r="E34" s="53"/>
    </x:row>
    <x:row r="35" ht="15" hidden="0" customHeight="1">
      <x:c r="A35" s="53" t="str">
        <x:v>Anjoman accounting.xlsx</x:v>
      </x:c>
      <x:c r="B35" s="53" t="str">
        <x:v>مرداد</x:v>
      </x:c>
      <x:c r="C35" s="53" t="str">
        <x:v>F6</x:v>
      </x:c>
      <x:c r="D35" s="53" t="str">
        <x:v>TA پایتون، پشتیبانی ثبت نام</x:v>
      </x:c>
      <x:c r="E35" s="53"/>
    </x:row>
    <x:row r="36" ht="15" hidden="0" customHeight="1">
      <x:c r="A36" s="53" t="str">
        <x:v>Anjoman accounting.xlsx</x:v>
      </x:c>
      <x:c r="B36" s="53" t="str">
        <x:v>مرداد</x:v>
      </x:c>
      <x:c r="C36" s="53" t="str">
        <x:v>D7</x:v>
      </x:c>
      <x:c r="D36" s="53" t="str">
        <x:v>600000.0</x:v>
      </x:c>
      <x:c r="E36" s="53"/>
    </x:row>
    <x:row r="37" ht="15" hidden="0" customHeight="1">
      <x:c r="A37" s="53" t="str">
        <x:v>Anjoman accounting.xlsx</x:v>
      </x:c>
      <x:c r="B37" s="53" t="str">
        <x:v>مرداد</x:v>
      </x:c>
      <x:c r="C37" s="53" t="str">
        <x:v>E7</x:v>
      </x:c>
      <x:c r="D37" s="53" t="str">
        <x:v>محمدامین عزیزی</x:v>
      </x:c>
      <x:c r="E37" s="53"/>
    </x:row>
    <x:row r="38" ht="15" hidden="0" customHeight="1">
      <x:c r="A38" s="53" t="str">
        <x:v>Anjoman accounting.xlsx</x:v>
      </x:c>
      <x:c r="B38" s="53" t="str">
        <x:v>مرداد</x:v>
      </x:c>
      <x:c r="C38" s="53" t="str">
        <x:v>F7</x:v>
      </x:c>
      <x:c r="D38" s="53" t="str">
        <x:v>TA پایتون، پشتیبانی ثبت نام، حسابداری مدرسه</x:v>
      </x:c>
      <x:c r="E38" s="53"/>
    </x:row>
    <x:row r="39" ht="15" hidden="0" customHeight="1">
      <x:c r="A39" s="53" t="str">
        <x:v>Anjoman accounting.xlsx</x:v>
      </x:c>
      <x:c r="B39" s="53" t="str">
        <x:v>مرداد</x:v>
      </x:c>
      <x:c r="C39" s="53" t="str">
        <x:v>D8</x:v>
      </x:c>
      <x:c r="D39" s="53" t="str">
        <x:v>300000.0</x:v>
      </x:c>
      <x:c r="E39" s="53"/>
    </x:row>
    <x:row r="40" ht="15" hidden="0" customHeight="1">
      <x:c r="A40" s="53" t="str">
        <x:v>Anjoman accounting.xlsx</x:v>
      </x:c>
      <x:c r="B40" s="53" t="str">
        <x:v>مرداد</x:v>
      </x:c>
      <x:c r="C40" s="53" t="str">
        <x:v>E8</x:v>
      </x:c>
      <x:c r="D40" s="53" t="str">
        <x:v>متین جوکار</x:v>
      </x:c>
      <x:c r="E40" s="53"/>
    </x:row>
    <x:row r="41" ht="15" hidden="0" customHeight="1">
      <x:c r="A41" s="53" t="str">
        <x:v>Anjoman accounting.xlsx</x:v>
      </x:c>
      <x:c r="B41" s="53" t="str">
        <x:v>مرداد</x:v>
      </x:c>
      <x:c r="C41" s="53" t="str">
        <x:v>F8</x:v>
      </x:c>
      <x:c r="D41" s="53" t="str">
        <x:v>ضبط جبرانی جلسه3 لتک</x:v>
      </x:c>
      <x:c r="E41" s="53"/>
    </x:row>
    <x:row r="42" ht="15" hidden="0" customHeight="1">
      <x:c r="A42" s="53" t="str">
        <x:v>Anjoman accounting.xlsx</x:v>
      </x:c>
      <x:c r="B42" s="53" t="str">
        <x:v>مرداد</x:v>
      </x:c>
      <x:c r="C42" s="53" t="str">
        <x:v>D9</x:v>
      </x:c>
      <x:c r="D42" s="53" t="str">
        <x:v>400000.0</x:v>
      </x:c>
      <x:c r="E42" s="53"/>
    </x:row>
    <x:row r="43" ht="15" hidden="0" customHeight="1">
      <x:c r="A43" s="53" t="str">
        <x:v>Anjoman accounting.xlsx</x:v>
      </x:c>
      <x:c r="B43" s="53" t="str">
        <x:v>مرداد</x:v>
      </x:c>
      <x:c r="C43" s="53" t="str">
        <x:v>E9</x:v>
      </x:c>
      <x:c r="D43" s="53" t="str">
        <x:v>محمدحسین مشک افشان</x:v>
      </x:c>
      <x:c r="E43" s="53"/>
    </x:row>
    <x:row r="44" ht="15" hidden="0" customHeight="1">
      <x:c r="A44" s="53" t="str">
        <x:v>Anjoman accounting.xlsx</x:v>
      </x:c>
      <x:c r="B44" s="53" t="str">
        <x:v>مرداد</x:v>
      </x:c>
      <x:c r="C44" s="53" t="str">
        <x:v>F9</x:v>
      </x:c>
      <x:c r="D44" s="53" t="str">
        <x:v>تبلیغ مدرسه تابستانه در مهمات شریف</x:v>
      </x:c>
      <x:c r="E44" s="53"/>
    </x:row>
    <x:row r="45" ht="15" hidden="0" customHeight="1">
      <x:c r="A45" s="53" t="str">
        <x:v>Anjoman accounting.xlsx</x:v>
      </x:c>
      <x:c r="B45" s="53" t="str">
        <x:v>شهریور</x:v>
      </x:c>
      <x:c r="C45" s="53" t="str">
        <x:v>C1</x:v>
      </x:c>
      <x:c r="D45" s="53" t="str">
        <x:v>شهریور</x:v>
      </x:c>
      <x:c r="E45" s="53"/>
    </x:row>
    <x:row r="46" ht="15" hidden="0" customHeight="1">
      <x:c r="A46" s="53" t="str">
        <x:v>Anjoman accounting.xlsx</x:v>
      </x:c>
      <x:c r="B46" s="53" t="str">
        <x:v>شهریور</x:v>
      </x:c>
      <x:c r="C46" s="53" t="str">
        <x:v>A2</x:v>
      </x:c>
      <x:c r="D46" s="53" t="str">
        <x:v>ورودی معرفی رشته</x:v>
      </x:c>
      <x:c r="E46" s="53"/>
    </x:row>
    <x:row r="47" ht="15" hidden="0" customHeight="1">
      <x:c r="A47" s="53" t="str">
        <x:v>Anjoman accounting.xlsx</x:v>
      </x:c>
      <x:c r="B47" s="53" t="str">
        <x:v>شهریور</x:v>
      </x:c>
      <x:c r="C47" s="53" t="str">
        <x:v>B2</x:v>
      </x:c>
      <x:c r="D47" s="53" t="str">
        <x:v>4920000.0</x:v>
      </x:c>
      <x:c r="E47" s="53"/>
    </x:row>
    <x:row r="48" ht="15" hidden="0" customHeight="1">
      <x:c r="A48" s="53" t="str">
        <x:v>Anjoman accounting.xlsx</x:v>
      </x:c>
      <x:c r="B48" s="53" t="str">
        <x:v>شهریور</x:v>
      </x:c>
      <x:c r="C48" s="53" t="str">
        <x:v>C2</x:v>
      </x:c>
      <x:c r="D48" s="53" t="str">
        <x:v>محمدامین عزیزی</x:v>
      </x:c>
      <x:c r="E48" s="53"/>
    </x:row>
    <x:row r="49" ht="15" hidden="0" customHeight="1">
      <x:c r="A49" s="53" t="str">
        <x:v>Anjoman accounting.xlsx</x:v>
      </x:c>
      <x:c r="B49" s="53" t="str">
        <x:v>شهریور</x:v>
      </x:c>
      <x:c r="C49" s="53" t="str">
        <x:v>D2</x:v>
      </x:c>
      <x:c r="D49" s="53" t="str">
        <x:v>100000.0</x:v>
      </x:c>
      <x:c r="E49" s="53"/>
    </x:row>
    <x:row r="50" ht="15" hidden="0" customHeight="1">
      <x:c r="A50" s="53" t="str">
        <x:v>Anjoman accounting.xlsx</x:v>
      </x:c>
      <x:c r="B50" s="53" t="str">
        <x:v>شهریور</x:v>
      </x:c>
      <x:c r="C50" s="53" t="str">
        <x:v>E2</x:v>
      </x:c>
      <x:c r="D50" s="53" t="str">
        <x:v>محمدامین عزیزی</x:v>
      </x:c>
      <x:c r="E50" s="53"/>
    </x:row>
    <x:row r="51" ht="15" hidden="0" customHeight="1">
      <x:c r="A51" s="53" t="str">
        <x:v>Anjoman accounting.xlsx</x:v>
      </x:c>
      <x:c r="B51" s="53" t="str">
        <x:v>شهریور</x:v>
      </x:c>
      <x:c r="C51" s="53" t="str">
        <x:v>F2</x:v>
      </x:c>
      <x:c r="D51" s="53" t="str">
        <x:v>چاپ پوستر و بارکد برای رویداد معرفی رشته</x:v>
      </x:c>
      <x:c r="E51" s="53"/>
    </x:row>
    <x:row r="52" ht="15" hidden="0" customHeight="1">
      <x:c r="A52" s="53" t="str">
        <x:v>Anjoman accounting.xlsx</x:v>
      </x:c>
      <x:c r="B52" s="53" t="str">
        <x:v>شهریور</x:v>
      </x:c>
      <x:c r="C52" s="53" t="str">
        <x:v>D3</x:v>
      </x:c>
      <x:c r="D52" s="53" t="str">
        <x:v>2866000.0</x:v>
      </x:c>
      <x:c r="E52" s="53"/>
    </x:row>
    <x:row r="53" ht="15" hidden="0" customHeight="1">
      <x:c r="A53" s="53" t="str">
        <x:v>Anjoman accounting.xlsx</x:v>
      </x:c>
      <x:c r="B53" s="53" t="str">
        <x:v>شهریور</x:v>
      </x:c>
      <x:c r="C53" s="53" t="str">
        <x:v>E3</x:v>
      </x:c>
      <x:c r="D53" s="53" t="str">
        <x:v>محمدامین عزیزی</x:v>
      </x:c>
      <x:c r="E53" s="53"/>
    </x:row>
    <x:row r="54" ht="15" hidden="0" customHeight="1">
      <x:c r="A54" s="53" t="str">
        <x:v>Anjoman accounting.xlsx</x:v>
      </x:c>
      <x:c r="B54" s="53" t="str">
        <x:v>شهریور</x:v>
      </x:c>
      <x:c r="C54" s="53" t="str">
        <x:v>F3</x:v>
      </x:c>
      <x:c r="D54" s="53" t="str">
        <x:v>تدارکات رویداد معرفی رشته</x:v>
      </x:c>
      <x:c r="E54" s="53"/>
    </x:row>
    <x:row r="55" ht="15" hidden="0" customHeight="1">
      <x:c r="A55" s="53" t="str">
        <x:v>Anjoman accounting.xlsx</x:v>
      </x:c>
      <x:c r="B55" s="53" t="str">
        <x:v>شهریور</x:v>
      </x:c>
      <x:c r="C55" s="53" t="str">
        <x:v>D4</x:v>
      </x:c>
      <x:c r="D55" s="53" t="str">
        <x:v>189000</x:v>
      </x:c>
      <x:c r="E55" s="53" t="str">
        <x:v>=3055000-D3</x:v>
      </x:c>
    </x:row>
    <x:row r="56" ht="15" hidden="0" customHeight="1">
      <x:c r="A56" s="53" t="str">
        <x:v>Anjoman accounting.xlsx</x:v>
      </x:c>
      <x:c r="B56" s="53" t="str">
        <x:v>شهریور</x:v>
      </x:c>
      <x:c r="C56" s="53" t="str">
        <x:v>E4</x:v>
      </x:c>
      <x:c r="D56" s="53" t="str">
        <x:v>ابراهیم خسروانی</x:v>
      </x:c>
      <x:c r="E56" s="53"/>
    </x:row>
    <x:row r="57" ht="15" hidden="0" customHeight="1">
      <x:c r="A57" s="53" t="str">
        <x:v>Anjoman accounting.xlsx</x:v>
      </x:c>
      <x:c r="B57" s="53" t="str">
        <x:v>شهریور</x:v>
      </x:c>
      <x:c r="C57" s="53" t="str">
        <x:v>F4</x:v>
      </x:c>
      <x:c r="D57" s="53" t="str">
        <x:v>حق الزحمه خرید تدارکات رویداد معرفی رشته</x:v>
      </x:c>
      <x:c r="E57" s="53"/>
    </x:row>
    <x:row r="58" ht="15" hidden="0" customHeight="1">
      <x:c r="A58" s="53" t="str">
        <x:v>Anjoman accounting.xlsx</x:v>
      </x:c>
      <x:c r="B58" s="53" t="str">
        <x:v>مجموع</x:v>
      </x:c>
      <x:c r="C58" s="53" t="str">
        <x:v>A1</x:v>
      </x:c>
      <x:c r="D58" s="53" t="str">
        <x:v>بابت</x:v>
      </x:c>
      <x:c r="E58" s="53"/>
    </x:row>
    <x:row r="59" ht="15" hidden="0" customHeight="1">
      <x:c r="A59" s="53" t="str">
        <x:v>Anjoman accounting.xlsx</x:v>
      </x:c>
      <x:c r="B59" s="53" t="str">
        <x:v>مجموع</x:v>
      </x:c>
      <x:c r="C59" s="53" t="str">
        <x:v>B1</x:v>
      </x:c>
      <x:c r="D59" s="53" t="str">
        <x:v>ورودی</x:v>
      </x:c>
      <x:c r="E59" s="53"/>
    </x:row>
    <x:row r="60" ht="15" hidden="0" customHeight="1">
      <x:c r="A60" s="53" t="str">
        <x:v>Anjoman accounting.xlsx</x:v>
      </x:c>
      <x:c r="B60" s="53" t="str">
        <x:v>مجموع</x:v>
      </x:c>
      <x:c r="C60" s="53" t="str">
        <x:v>C1</x:v>
      </x:c>
      <x:c r="D60" s="53" t="str">
        <x:v>ماه</x:v>
      </x:c>
      <x:c r="E60" s="53"/>
    </x:row>
    <x:row r="61" ht="15" hidden="0" customHeight="1">
      <x:c r="A61" s="53" t="str">
        <x:v>Anjoman accounting.xlsx</x:v>
      </x:c>
      <x:c r="B61" s="53" t="str">
        <x:v>مجموع</x:v>
      </x:c>
      <x:c r="C61" s="53" t="str">
        <x:v>D1</x:v>
      </x:c>
      <x:c r="D61" s="53" t="str">
        <x:v>هزینه</x:v>
      </x:c>
      <x:c r="E61" s="53"/>
    </x:row>
    <x:row r="62" ht="15" hidden="0" customHeight="1">
      <x:c r="A62" s="53" t="str">
        <x:v>Anjoman accounting.xlsx</x:v>
      </x:c>
      <x:c r="B62" s="53" t="str">
        <x:v>مجموع</x:v>
      </x:c>
      <x:c r="C62" s="53" t="str">
        <x:v>E1</x:v>
      </x:c>
      <x:c r="D62" s="53" t="str">
        <x:v>به ...</x:v>
      </x:c>
      <x:c r="E62" s="53"/>
    </x:row>
    <x:row r="63" ht="15" hidden="0" customHeight="1">
      <x:c r="A63" s="53" t="str">
        <x:v>Anjoman accounting.xlsx</x:v>
      </x:c>
      <x:c r="B63" s="53" t="str">
        <x:v>مجموع</x:v>
      </x:c>
      <x:c r="C63" s="53" t="str">
        <x:v>F1</x:v>
      </x:c>
      <x:c r="D63" s="53" t="str">
        <x:v>بابت</x:v>
      </x:c>
      <x:c r="E63" s="53"/>
    </x:row>
    <x:row r="64" ht="15" hidden="0" customHeight="1">
      <x:c r="A64" s="53" t="str">
        <x:v>Anjoman accounting.xlsx</x:v>
      </x:c>
      <x:c r="B64" s="53" t="str">
        <x:v>مجموع</x:v>
      </x:c>
      <x:c r="C64" s="53" t="str">
        <x:v>I1</x:v>
      </x:c>
      <x:c r="D64" s="53" t="str">
        <x:v>مجموع هزینه</x:v>
      </x:c>
      <x:c r="E64" s="53"/>
    </x:row>
    <x:row r="65" ht="15" hidden="0" customHeight="1">
      <x:c r="A65" s="53" t="str">
        <x:v>Anjoman accounting.xlsx</x:v>
      </x:c>
      <x:c r="B65" s="53" t="str">
        <x:v>مجموع</x:v>
      </x:c>
      <x:c r="C65" s="53" t="str">
        <x:v>J1</x:v>
      </x:c>
      <x:c r="D65" s="53" t="str">
        <x:v>مجموع درآمد</x:v>
      </x:c>
      <x:c r="E65" s="53"/>
    </x:row>
    <x:row r="66" ht="15" hidden="0" customHeight="1">
      <x:c r="A66" s="53" t="str">
        <x:v>Anjoman accounting.xlsx</x:v>
      </x:c>
      <x:c r="B66" s="53" t="str">
        <x:v>مجموع</x:v>
      </x:c>
      <x:c r="C66" s="53" t="str">
        <x:v>L1</x:v>
      </x:c>
      <x:c r="D66" s="53" t="str">
        <x:v>ماه</x:v>
      </x:c>
      <x:c r="E66" s="53"/>
    </x:row>
    <x:row r="67" ht="15" hidden="0" customHeight="1">
      <x:c r="A67" s="53" t="str">
        <x:v>Anjoman accounting.xlsx</x:v>
      </x:c>
      <x:c r="B67" s="53" t="str">
        <x:v>مجموع</x:v>
      </x:c>
      <x:c r="C67" s="53" t="str">
        <x:v>M1</x:v>
      </x:c>
      <x:c r="D67" s="53" t="str">
        <x:v>تراز ماهانه</x:v>
      </x:c>
      <x:c r="E67" s="53"/>
    </x:row>
    <x:row r="68" ht="15" hidden="0" customHeight="1">
      <x:c r="A68" s="53" t="str">
        <x:v>Anjoman accounting.xlsx</x:v>
      </x:c>
      <x:c r="B68" s="53" t="str">
        <x:v>مجموع</x:v>
      </x:c>
      <x:c r="C68" s="53" t="str">
        <x:v>O1</x:v>
      </x:c>
      <x:c r="D68" s="53" t="str">
        <x:v>تراز کل</x:v>
      </x:c>
      <x:c r="E68" s="53"/>
    </x:row>
    <x:row r="69" ht="15" hidden="0" customHeight="1">
      <x:c r="A69" s="53" t="str">
        <x:v>Anjoman accounting.xlsx</x:v>
      </x:c>
      <x:c r="B69" s="53" t="str">
        <x:v>مجموع</x:v>
      </x:c>
      <x:c r="C69" s="53" t="str">
        <x:v>C2</x:v>
      </x:c>
      <x:c r="D69" s="53" t="str">
        <x:v>مرداد</x:v>
      </x:c>
      <x:c r="E69" s="53"/>
    </x:row>
    <x:row r="70" ht="15" hidden="0" customHeight="1">
      <x:c r="A70" s="53" t="str">
        <x:v>Anjoman accounting.xlsx</x:v>
      </x:c>
      <x:c r="B70" s="53" t="str">
        <x:v>مجموع</x:v>
      </x:c>
      <x:c r="C70" s="53" t="str">
        <x:v>D2</x:v>
      </x:c>
      <x:c r="D70" s="53" t="str">
        <x:v>3500000.0</x:v>
      </x:c>
      <x:c r="E70" s="53"/>
    </x:row>
    <x:row r="71" ht="15" hidden="0" customHeight="1">
      <x:c r="A71" s="53" t="str">
        <x:v>Anjoman accounting.xlsx</x:v>
      </x:c>
      <x:c r="B71" s="53" t="str">
        <x:v>مجموع</x:v>
      </x:c>
      <x:c r="C71" s="53" t="str">
        <x:v>E2</x:v>
      </x:c>
      <x:c r="D71" s="53" t="str">
        <x:v>امیرمحمد جوشقانی</x:v>
      </x:c>
      <x:c r="E71" s="53"/>
    </x:row>
    <x:row r="72" ht="15" hidden="0" customHeight="1">
      <x:c r="A72" s="53" t="str">
        <x:v>Anjoman accounting.xlsx</x:v>
      </x:c>
      <x:c r="B72" s="53" t="str">
        <x:v>مجموع</x:v>
      </x:c>
      <x:c r="C72" s="53" t="str">
        <x:v>F2</x:v>
      </x:c>
      <x:c r="D72" s="53" t="str">
        <x:v>حق التدریس دوره پایتون</x:v>
      </x:c>
      <x:c r="E72" s="53"/>
    </x:row>
    <x:row r="73" ht="15" hidden="0" customHeight="1">
      <x:c r="A73" s="53" t="str">
        <x:v>Anjoman accounting.xlsx</x:v>
      </x:c>
      <x:c r="B73" s="53" t="str">
        <x:v>مجموع</x:v>
      </x:c>
      <x:c r="C73" s="53" t="str">
        <x:v>I2</x:v>
      </x:c>
      <x:c r="D73" s="53" t="str">
        <x:v>38638300</x:v>
      </x:c>
      <x:c r="E73" s="53" t="str">
        <x:v>=sum(D:D)</x:v>
      </x:c>
    </x:row>
    <x:row r="74" ht="15" hidden="0" customHeight="1">
      <x:c r="A74" s="53" t="str">
        <x:v>Anjoman accounting.xlsx</x:v>
      </x:c>
      <x:c r="B74" s="53" t="str">
        <x:v>مجموع</x:v>
      </x:c>
      <x:c r="C74" s="53" t="str">
        <x:v>J2</x:v>
      </x:c>
      <x:c r="D74" s="53" t="str">
        <x:v>112552000</x:v>
      </x:c>
      <x:c r="E74" s="53" t="str">
        <x:v>=sum(B:B)</x:v>
      </x:c>
    </x:row>
    <x:row r="75" ht="15" hidden="0" customHeight="1">
      <x:c r="A75" s="53" t="str">
        <x:v>Anjoman accounting.xlsx</x:v>
      </x:c>
      <x:c r="B75" s="53" t="str">
        <x:v>مجموع</x:v>
      </x:c>
      <x:c r="C75" s="53" t="str">
        <x:v>L2</x:v>
      </x:c>
      <x:c r="D75" s="53" t="str">
        <x:v>مرداد</x:v>
      </x:c>
      <x:c r="E75" s="53"/>
    </x:row>
    <x:row r="76" ht="15" hidden="0" customHeight="1">
      <x:c r="A76" s="53" t="str">
        <x:v>Anjoman accounting.xlsx</x:v>
      </x:c>
      <x:c r="B76" s="53" t="str">
        <x:v>مجموع</x:v>
      </x:c>
      <x:c r="C76" s="53" t="str">
        <x:v>M2</x:v>
      </x:c>
      <x:c r="D76" s="53" t="str">
        <x:v>20742000</x:v>
      </x:c>
      <x:c r="E76" s="53" t="str">
        <x:v>=B3-sum(D2:D10)</x:v>
      </x:c>
    </x:row>
    <x:row r="77" ht="15" hidden="0" customHeight="1">
      <x:c r="A77" s="53" t="str">
        <x:v>Anjoman accounting.xlsx</x:v>
      </x:c>
      <x:c r="B77" s="53" t="str">
        <x:v>مجموع</x:v>
      </x:c>
      <x:c r="C77" s="53" t="str">
        <x:v>O2</x:v>
      </x:c>
      <x:c r="D77" s="53" t="str">
        <x:v>73913700</x:v>
      </x:c>
      <x:c r="E77" s="53" t="str">
        <x:v>=J2-I2</x:v>
      </x:c>
    </x:row>
    <x:row r="78" ht="15" hidden="0" customHeight="1">
      <x:c r="A78" s="53" t="str">
        <x:v>Anjoman accounting.xlsx</x:v>
      </x:c>
      <x:c r="B78" s="53" t="str">
        <x:v>مجموع</x:v>
      </x:c>
      <x:c r="C78" s="53" t="str">
        <x:v>A3</x:v>
      </x:c>
      <x:c r="D78" s="53" t="str">
        <x:v>مدرسه تابستانه</x:v>
      </x:c>
      <x:c r="E78" s="53"/>
    </x:row>
    <x:row r="79" ht="15" hidden="0" customHeight="1">
      <x:c r="A79" s="53" t="str">
        <x:v>Anjoman accounting.xlsx</x:v>
      </x:c>
      <x:c r="B79" s="53" t="str">
        <x:v>مجموع</x:v>
      </x:c>
      <x:c r="C79" s="53" t="str">
        <x:v>B3</x:v>
      </x:c>
      <x:c r="D79" s="53" t="str">
        <x:v>3.3642E7</x:v>
      </x:c>
      <x:c r="E79" s="53"/>
    </x:row>
    <x:row r="80" ht="15" hidden="0" customHeight="1">
      <x:c r="A80" s="53" t="str">
        <x:v>Anjoman accounting.xlsx</x:v>
      </x:c>
      <x:c r="B80" s="53" t="str">
        <x:v>مجموع</x:v>
      </x:c>
      <x:c r="C80" s="53" t="str">
        <x:v>D3</x:v>
      </x:c>
      <x:c r="D80" s="53" t="str">
        <x:v>3000000.0</x:v>
      </x:c>
      <x:c r="E80" s="53"/>
    </x:row>
    <x:row r="81" ht="15" hidden="0" customHeight="1">
      <x:c r="A81" s="53" t="str">
        <x:v>Anjoman accounting.xlsx</x:v>
      </x:c>
      <x:c r="B81" s="53" t="str">
        <x:v>مجموع</x:v>
      </x:c>
      <x:c r="C81" s="53" t="str">
        <x:v>E3</x:v>
      </x:c>
      <x:c r="D81" s="53" t="str">
        <x:v>سهراب ملکی</x:v>
      </x:c>
      <x:c r="E81" s="53"/>
    </x:row>
    <x:row r="82" ht="15" hidden="0" customHeight="1">
      <x:c r="A82" s="53" t="str">
        <x:v>Anjoman accounting.xlsx</x:v>
      </x:c>
      <x:c r="B82" s="53" t="str">
        <x:v>مجموع</x:v>
      </x:c>
      <x:c r="C82" s="53" t="str">
        <x:v>F3</x:v>
      </x:c>
      <x:c r="D82" s="53" t="str">
        <x:v>حق التدریس دوره Mathemathica</x:v>
      </x:c>
      <x:c r="E82" s="53"/>
    </x:row>
    <x:row r="83" ht="15" hidden="0" customHeight="1">
      <x:c r="A83" s="53" t="str">
        <x:v>Anjoman accounting.xlsx</x:v>
      </x:c>
      <x:c r="B83" s="53" t="str">
        <x:v>مجموع</x:v>
      </x:c>
      <x:c r="C83" s="53" t="str">
        <x:v>L3</x:v>
      </x:c>
      <x:c r="D83" s="53" t="str">
        <x:v>شهریور</x:v>
      </x:c>
      <x:c r="E83" s="53"/>
    </x:row>
    <x:row r="84" ht="15" hidden="0" customHeight="1">
      <x:c r="A84" s="53" t="str">
        <x:v>Anjoman accounting.xlsx</x:v>
      </x:c>
      <x:c r="B84" s="53" t="str">
        <x:v>مجموع</x:v>
      </x:c>
      <x:c r="C84" s="53" t="str">
        <x:v>M3</x:v>
      </x:c>
      <x:c r="D84" s="53" t="str">
        <x:v>1765000</x:v>
      </x:c>
      <x:c r="E84" s="53" t="str">
        <x:v>=B15-SUM(D15:D17)</x:v>
      </x:c>
    </x:row>
    <x:row r="85" ht="15" hidden="0" customHeight="1">
      <x:c r="A85" s="53" t="str">
        <x:v>Anjoman accounting.xlsx</x:v>
      </x:c>
      <x:c r="B85" s="53" t="str">
        <x:v>مجموع</x:v>
      </x:c>
      <x:c r="C85" s="53" t="str">
        <x:v>D4</x:v>
      </x:c>
      <x:c r="D85" s="53" t="str">
        <x:v>3700000.0</x:v>
      </x:c>
      <x:c r="E85" s="53"/>
    </x:row>
    <x:row r="86" ht="15" hidden="0" customHeight="1">
      <x:c r="A86" s="53" t="str">
        <x:v>Anjoman accounting.xlsx</x:v>
      </x:c>
      <x:c r="B86" s="53" t="str">
        <x:v>مجموع</x:v>
      </x:c>
      <x:c r="C86" s="53" t="str">
        <x:v>E4</x:v>
      </x:c>
      <x:c r="D86" s="53" t="str">
        <x:v>متین جوکار</x:v>
      </x:c>
      <x:c r="E86" s="53"/>
    </x:row>
    <x:row r="87" ht="15" hidden="0" customHeight="1">
      <x:c r="A87" s="53" t="str">
        <x:v>Anjoman accounting.xlsx</x:v>
      </x:c>
      <x:c r="B87" s="53" t="str">
        <x:v>مجموع</x:v>
      </x:c>
      <x:c r="C87" s="53" t="str">
        <x:v>F4</x:v>
      </x:c>
      <x:c r="D87" s="53" t="str">
        <x:v>حق التدریس دوره Latex</x:v>
      </x:c>
      <x:c r="E87" s="53"/>
    </x:row>
    <x:row r="88" ht="15" hidden="0" customHeight="1">
      <x:c r="A88" s="53" t="str">
        <x:v>Anjoman accounting.xlsx</x:v>
      </x:c>
      <x:c r="B88" s="53" t="str">
        <x:v>مجموع</x:v>
      </x:c>
      <x:c r="C88" s="53" t="str">
        <x:v>L4</x:v>
      </x:c>
      <x:c r="D88" s="53" t="str">
        <x:v>مهر</x:v>
      </x:c>
      <x:c r="E88" s="53"/>
    </x:row>
    <x:row r="89" ht="15" hidden="0" customHeight="1">
      <x:c r="A89" s="53" t="str">
        <x:v>Anjoman accounting.xlsx</x:v>
      </x:c>
      <x:c r="B89" s="53" t="str">
        <x:v>مجموع</x:v>
      </x:c>
      <x:c r="C89" s="53" t="str">
        <x:v>M4</x:v>
      </x:c>
      <x:c r="D89" s="53" t="str">
        <x:v>-2345225</x:v>
      </x:c>
      <x:c r="E89" s="53" t="str">
        <x:v>=B19-SUM(D19:D22)</x:v>
      </x:c>
    </x:row>
    <x:row r="90" ht="15" hidden="0" customHeight="1">
      <x:c r="A90" s="53" t="str">
        <x:v>Anjoman accounting.xlsx</x:v>
      </x:c>
      <x:c r="B90" s="53" t="str">
        <x:v>مجموع</x:v>
      </x:c>
      <x:c r="C90" s="53" t="str">
        <x:v>D5</x:v>
      </x:c>
      <x:c r="D90" s="53" t="str">
        <x:v>500000.0</x:v>
      </x:c>
      <x:c r="E90" s="53"/>
    </x:row>
    <x:row r="91" ht="15" hidden="0" customHeight="1">
      <x:c r="A91" s="53" t="str">
        <x:v>Anjoman accounting.xlsx</x:v>
      </x:c>
      <x:c r="B91" s="53" t="str">
        <x:v>مجموع</x:v>
      </x:c>
      <x:c r="C91" s="53" t="str">
        <x:v>E5</x:v>
      </x:c>
      <x:c r="D91" s="53" t="str">
        <x:v>ابراهیم خسروانی</x:v>
      </x:c>
      <x:c r="E91" s="53"/>
    </x:row>
    <x:row r="92" ht="15" hidden="0" customHeight="1">
      <x:c r="A92" s="53" t="str">
        <x:v>Anjoman accounting.xlsx</x:v>
      </x:c>
      <x:c r="B92" s="53" t="str">
        <x:v>مجموع</x:v>
      </x:c>
      <x:c r="C92" s="53" t="str">
        <x:v>F5</x:v>
      </x:c>
      <x:c r="D92" s="53" t="str">
        <x:v>TA، فرم و شیت مدرسه تابستانه</x:v>
      </x:c>
      <x:c r="E92" s="53"/>
    </x:row>
    <x:row r="93" ht="15" hidden="0" customHeight="1">
      <x:c r="A93" s="53" t="str">
        <x:v>Anjoman accounting.xlsx</x:v>
      </x:c>
      <x:c r="B93" s="53" t="str">
        <x:v>مجموع</x:v>
      </x:c>
      <x:c r="C93" s="53" t="str">
        <x:v>L5</x:v>
      </x:c>
      <x:c r="D93" s="53" t="str">
        <x:v>آبان</x:v>
      </x:c>
      <x:c r="E93" s="53"/>
    </x:row>
    <x:row r="94" ht="15" hidden="0" customHeight="1">
      <x:c r="A94" s="53" t="str">
        <x:v>Anjoman accounting.xlsx</x:v>
      </x:c>
      <x:c r="B94" s="53" t="str">
        <x:v>مجموع</x:v>
      </x:c>
      <x:c r="C94" s="53" t="str">
        <x:v>M5</x:v>
      </x:c>
      <x:c r="D94" s="53" t="str">
        <x:v>601300</x:v>
      </x:c>
      <x:c r="E94" s="53" t="str">
        <x:v>=sum(B25:B30)-sum(D25:D36)</x:v>
      </x:c>
    </x:row>
    <x:row r="95" ht="15" hidden="0" customHeight="1">
      <x:c r="A95" s="53" t="str">
        <x:v>Anjoman accounting.xlsx</x:v>
      </x:c>
      <x:c r="B95" s="53" t="str">
        <x:v>مجموع</x:v>
      </x:c>
      <x:c r="C95" s="53" t="str">
        <x:v>D6</x:v>
      </x:c>
      <x:c r="D95" s="53" t="str">
        <x:v>600000.0</x:v>
      </x:c>
      <x:c r="E95" s="53"/>
    </x:row>
    <x:row r="96" ht="15" hidden="0" customHeight="1">
      <x:c r="A96" s="53" t="str">
        <x:v>Anjoman accounting.xlsx</x:v>
      </x:c>
      <x:c r="B96" s="53" t="str">
        <x:v>مجموع</x:v>
      </x:c>
      <x:c r="C96" s="53" t="str">
        <x:v>E6</x:v>
      </x:c>
      <x:c r="D96" s="53" t="str">
        <x:v>سپهر طلایی</x:v>
      </x:c>
      <x:c r="E96" s="53"/>
    </x:row>
    <x:row r="97" ht="15" hidden="0" customHeight="1">
      <x:c r="A97" s="53" t="str">
        <x:v>Anjoman accounting.xlsx</x:v>
      </x:c>
      <x:c r="B97" s="53" t="str">
        <x:v>مجموع</x:v>
      </x:c>
      <x:c r="C97" s="53" t="str">
        <x:v>F6</x:v>
      </x:c>
      <x:c r="D97" s="53" t="str">
        <x:v>TA پایتون، پشتیبانی ثبت نام</x:v>
      </x:c>
      <x:c r="E97" s="53"/>
    </x:row>
    <x:row r="98" ht="15" hidden="0" customHeight="1">
      <x:c r="A98" s="53" t="str">
        <x:v>Anjoman accounting.xlsx</x:v>
      </x:c>
      <x:c r="B98" s="53" t="str">
        <x:v>مجموع</x:v>
      </x:c>
      <x:c r="C98" s="53" t="str">
        <x:v>L6</x:v>
      </x:c>
      <x:c r="D98" s="53" t="str">
        <x:v>آذر</x:v>
      </x:c>
      <x:c r="E98" s="53"/>
    </x:row>
    <x:row r="99" ht="15" hidden="0" customHeight="1">
      <x:c r="A99" s="53" t="str">
        <x:v>Anjoman accounting.xlsx</x:v>
      </x:c>
      <x:c r="B99" s="53" t="str">
        <x:v>مجموع</x:v>
      </x:c>
      <x:c r="C99" s="53" t="str">
        <x:v>M6</x:v>
      </x:c>
      <x:c r="D99" s="53" t="str">
        <x:v>23000000</x:v>
      </x:c>
      <x:c r="E99" s="53" t="str">
        <x:v>=sum(B38:B40)-sum(D39:D40)</x:v>
      </x:c>
    </x:row>
    <x:row r="100" ht="15" hidden="0" customHeight="1">
      <x:c r="A100" s="53" t="str">
        <x:v>Anjoman accounting.xlsx</x:v>
      </x:c>
      <x:c r="B100" s="53" t="str">
        <x:v>مجموع</x:v>
      </x:c>
      <x:c r="C100" s="53" t="str">
        <x:v>D7</x:v>
      </x:c>
      <x:c r="D100" s="53" t="str">
        <x:v>600000.0</x:v>
      </x:c>
      <x:c r="E100" s="53"/>
    </x:row>
    <x:row r="101" ht="15" hidden="0" customHeight="1">
      <x:c r="A101" s="53" t="str">
        <x:v>Anjoman accounting.xlsx</x:v>
      </x:c>
      <x:c r="B101" s="53" t="str">
        <x:v>مجموع</x:v>
      </x:c>
      <x:c r="C101" s="53" t="str">
        <x:v>E7</x:v>
      </x:c>
      <x:c r="D101" s="53" t="str">
        <x:v>محمدامین عزیزی</x:v>
      </x:c>
      <x:c r="E101" s="53"/>
    </x:row>
    <x:row r="102" ht="15" hidden="0" customHeight="1">
      <x:c r="A102" s="53" t="str">
        <x:v>Anjoman accounting.xlsx</x:v>
      </x:c>
      <x:c r="B102" s="53" t="str">
        <x:v>مجموع</x:v>
      </x:c>
      <x:c r="C102" s="53" t="str">
        <x:v>F7</x:v>
      </x:c>
      <x:c r="D102" s="53" t="str">
        <x:v>TA پایتون، پشتیبانی ثبت نام، حسابداری مدرسه</x:v>
      </x:c>
      <x:c r="E102" s="53"/>
    </x:row>
    <x:row r="103" ht="15" hidden="0" customHeight="1">
      <x:c r="A103" s="53" t="str">
        <x:v>Anjoman accounting.xlsx</x:v>
      </x:c>
      <x:c r="B103" s="53" t="str">
        <x:v>مجموع</x:v>
      </x:c>
      <x:c r="C103" s="53" t="str">
        <x:v>L7</x:v>
      </x:c>
      <x:c r="D103" s="53" t="str">
        <x:v>دی</x:v>
      </x:c>
      <x:c r="E103" s="53"/>
    </x:row>
    <x:row r="104" ht="15" hidden="0" customHeight="1">
      <x:c r="A104" s="53" t="str">
        <x:v>Anjoman accounting.xlsx</x:v>
      </x:c>
      <x:c r="B104" s="53" t="str">
        <x:v>مجموع</x:v>
      </x:c>
      <x:c r="C104" s="53" t="str">
        <x:v>M7</x:v>
      </x:c>
      <x:c r="D104" s="53" t="str">
        <x:v>16490000</x:v>
      </x:c>
      <x:c r="E104" s="53" t="str">
        <x:v>=B42+B43</x:v>
      </x:c>
    </x:row>
    <x:row r="105" ht="15" hidden="0" customHeight="1">
      <x:c r="A105" s="53" t="str">
        <x:v>Anjoman accounting.xlsx</x:v>
      </x:c>
      <x:c r="B105" s="53" t="str">
        <x:v>مجموع</x:v>
      </x:c>
      <x:c r="C105" s="53" t="str">
        <x:v>D8</x:v>
      </x:c>
      <x:c r="D105" s="53" t="str">
        <x:v>300000.0</x:v>
      </x:c>
      <x:c r="E105" s="53"/>
    </x:row>
    <x:row r="106" ht="15" hidden="0" customHeight="1">
      <x:c r="A106" s="53" t="str">
        <x:v>Anjoman accounting.xlsx</x:v>
      </x:c>
      <x:c r="B106" s="53" t="str">
        <x:v>مجموع</x:v>
      </x:c>
      <x:c r="C106" s="53" t="str">
        <x:v>E8</x:v>
      </x:c>
      <x:c r="D106" s="53" t="str">
        <x:v>متین جوکار</x:v>
      </x:c>
      <x:c r="E106" s="53"/>
    </x:row>
    <x:row r="107" ht="15" hidden="0" customHeight="1">
      <x:c r="A107" s="53" t="str">
        <x:v>Anjoman accounting.xlsx</x:v>
      </x:c>
      <x:c r="B107" s="53" t="str">
        <x:v>مجموع</x:v>
      </x:c>
      <x:c r="C107" s="53" t="str">
        <x:v>F8</x:v>
      </x:c>
      <x:c r="D107" s="53" t="str">
        <x:v>ضبط جبرانی جلسه3 لتک</x:v>
      </x:c>
      <x:c r="E107" s="53"/>
    </x:row>
    <x:row r="108" ht="15" hidden="0" customHeight="1">
      <x:c r="A108" s="53" t="str">
        <x:v>Anjoman accounting.xlsx</x:v>
      </x:c>
      <x:c r="B108" s="53" t="str">
        <x:v>مجموع</x:v>
      </x:c>
      <x:c r="C108" s="53" t="str">
        <x:v>D9</x:v>
      </x:c>
      <x:c r="D108" s="53" t="str">
        <x:v>400000.0</x:v>
      </x:c>
      <x:c r="E108" s="53"/>
    </x:row>
    <x:row r="109" ht="15" hidden="0" customHeight="1">
      <x:c r="A109" s="53" t="str">
        <x:v>Anjoman accounting.xlsx</x:v>
      </x:c>
      <x:c r="B109" s="53" t="str">
        <x:v>مجموع</x:v>
      </x:c>
      <x:c r="C109" s="53" t="str">
        <x:v>E9</x:v>
      </x:c>
      <x:c r="D109" s="53" t="str">
        <x:v>محمدحسین مشک افشان</x:v>
      </x:c>
      <x:c r="E109" s="53"/>
    </x:row>
    <x:row r="110" ht="15" hidden="0" customHeight="1">
      <x:c r="A110" s="53" t="str">
        <x:v>Anjoman accounting.xlsx</x:v>
      </x:c>
      <x:c r="B110" s="53" t="str">
        <x:v>مجموع</x:v>
      </x:c>
      <x:c r="C110" s="53" t="str">
        <x:v>F9</x:v>
      </x:c>
      <x:c r="D110" s="53" t="str">
        <x:v>تبلیغ مدرسه تابستانه در مهمات شریف</x:v>
      </x:c>
      <x:c r="E110" s="53"/>
    </x:row>
    <x:row r="111" ht="15" hidden="0" customHeight="1">
      <x:c r="A111" s="53" t="str">
        <x:v>Anjoman accounting.xlsx</x:v>
      </x:c>
      <x:c r="B111" s="53" t="str">
        <x:v>مجموع</x:v>
      </x:c>
      <x:c r="C111" s="53" t="str">
        <x:v>D10</x:v>
      </x:c>
      <x:c r="D111" s="53" t="str">
        <x:v>300000.0</x:v>
      </x:c>
      <x:c r="E111" s="53"/>
    </x:row>
    <x:row r="112" ht="15" hidden="0" customHeight="1">
      <x:c r="A112" s="53" t="str">
        <x:v>Anjoman accounting.xlsx</x:v>
      </x:c>
      <x:c r="B112" s="53" t="str">
        <x:v>مجموع</x:v>
      </x:c>
      <x:c r="C112" s="53" t="str">
        <x:v>E10</x:v>
      </x:c>
      <x:c r="D112" s="53" t="str">
        <x:v>امیرمحمد جوشقانی</x:v>
      </x:c>
      <x:c r="E112" s="53"/>
    </x:row>
    <x:row r="113" ht="15" hidden="0" customHeight="1">
      <x:c r="A113" s="53" t="str">
        <x:v>Anjoman accounting.xlsx</x:v>
      </x:c>
      <x:c r="B113" s="53" t="str">
        <x:v>مجموع</x:v>
      </x:c>
      <x:c r="C113" s="53" t="str">
        <x:v>F10</x:v>
      </x:c>
      <x:c r="D113" s="53" t="str">
        <x:v>ضبط جبرانی جلسه4 پایتون</x:v>
      </x:c>
      <x:c r="E113" s="53"/>
    </x:row>
    <x:row r="114" ht="15" hidden="0" customHeight="1">
      <x:c r="A114" s="53" t="str">
        <x:v>Anjoman accounting.xlsx</x:v>
      </x:c>
      <x:c r="B114" s="53" t="str">
        <x:v>مجموع</x:v>
      </x:c>
      <x:c r="C114" s="53" t="str">
        <x:v>D11</x:v>
      </x:c>
      <x:c r="D114" s="53" t="str">
        <x:v>750000.0</x:v>
      </x:c>
      <x:c r="E114" s="53"/>
    </x:row>
    <x:row r="115" ht="15" hidden="0" customHeight="1">
      <x:c r="A115" s="53" t="str">
        <x:v>Anjoman accounting.xlsx</x:v>
      </x:c>
      <x:c r="B115" s="53" t="str">
        <x:v>مجموع</x:v>
      </x:c>
      <x:c r="C115" s="53" t="str">
        <x:v>E11</x:v>
      </x:c>
      <x:c r="D115" s="53" t="str">
        <x:v>حسن شیری</x:v>
      </x:c>
      <x:c r="E115" s="53"/>
    </x:row>
    <x:row r="116" ht="15" hidden="0" customHeight="1">
      <x:c r="A116" s="53" t="str">
        <x:v>Anjoman accounting.xlsx</x:v>
      </x:c>
      <x:c r="B116" s="53" t="str">
        <x:v>مجموع</x:v>
      </x:c>
      <x:c r="C116" s="53" t="str">
        <x:v>F11</x:v>
      </x:c>
      <x:c r="D116" s="53" t="str">
        <x:v>گرفتن کلید انجمن برای اعضا</x:v>
      </x:c>
      <x:c r="E116" s="53"/>
    </x:row>
    <x:row r="117" ht="15" hidden="0" customHeight="1">
      <x:c r="A117" s="53" t="str">
        <x:v>Anjoman accounting.xlsx</x:v>
      </x:c>
      <x:c r="B117" s="53" t="str">
        <x:v>مجموع</x:v>
      </x:c>
      <x:c r="C117" s="53" t="str">
        <x:v>D12</x:v>
      </x:c>
      <x:c r="D117" s="53" t="str">
        <x:v>400000.0</x:v>
      </x:c>
      <x:c r="E117" s="53"/>
    </x:row>
    <x:row r="118" ht="15" hidden="0" customHeight="1">
      <x:c r="A118" s="53" t="str">
        <x:v>Anjoman accounting.xlsx</x:v>
      </x:c>
      <x:c r="B118" s="53" t="str">
        <x:v>مجموع</x:v>
      </x:c>
      <x:c r="C118" s="53" t="str">
        <x:v>E12</x:v>
      </x:c>
      <x:c r="D118" s="53" t="str">
        <x:v>حسن شیری</x:v>
      </x:c>
      <x:c r="E118" s="53"/>
    </x:row>
    <x:row r="119" ht="15" hidden="0" customHeight="1">
      <x:c r="A119" s="53" t="str">
        <x:v>Anjoman accounting.xlsx</x:v>
      </x:c>
      <x:c r="B119" s="53" t="str">
        <x:v>مجموع</x:v>
      </x:c>
      <x:c r="C119" s="53" t="str">
        <x:v>F12</x:v>
      </x:c>
      <x:c r="D119" s="53" t="str">
        <x:v>نبلیغات مدرسه تابستانه در مهمات شریف</x:v>
      </x:c>
      <x:c r="E119" s="53"/>
    </x:row>
    <x:row r="120" ht="15" hidden="0" customHeight="1">
      <x:c r="A120" s="53" t="str">
        <x:v>Anjoman accounting.xlsx</x:v>
      </x:c>
      <x:c r="B120" s="53" t="str">
        <x:v>مجموع</x:v>
      </x:c>
      <x:c r="C120" s="53" t="str">
        <x:v>C14</x:v>
      </x:c>
      <x:c r="D120" s="53" t="str">
        <x:v>شهریور</x:v>
      </x:c>
      <x:c r="E120" s="53"/>
    </x:row>
    <x:row r="121" ht="15" hidden="0" customHeight="1">
      <x:c r="A121" s="53" t="str">
        <x:v>Anjoman accounting.xlsx</x:v>
      </x:c>
      <x:c r="B121" s="53" t="str">
        <x:v>مجموع</x:v>
      </x:c>
      <x:c r="C121" s="53" t="str">
        <x:v>A15</x:v>
      </x:c>
      <x:c r="D121" s="53" t="str">
        <x:v>ورودی معرفی رشته</x:v>
      </x:c>
      <x:c r="E121" s="53"/>
    </x:row>
    <x:row r="122" ht="15" hidden="0" customHeight="1">
      <x:c r="A122" s="53" t="str">
        <x:v>Anjoman accounting.xlsx</x:v>
      </x:c>
      <x:c r="B122" s="53" t="str">
        <x:v>مجموع</x:v>
      </x:c>
      <x:c r="C122" s="53" t="str">
        <x:v>B15</x:v>
      </x:c>
      <x:c r="D122" s="53" t="str">
        <x:v>4920000.0</x:v>
      </x:c>
      <x:c r="E122" s="53"/>
    </x:row>
    <x:row r="123" ht="15" hidden="0" customHeight="1">
      <x:c r="A123" s="53" t="str">
        <x:v>Anjoman accounting.xlsx</x:v>
      </x:c>
      <x:c r="B123" s="53" t="str">
        <x:v>مجموع</x:v>
      </x:c>
      <x:c r="C123" s="53" t="str">
        <x:v>D15</x:v>
      </x:c>
      <x:c r="D123" s="53" t="str">
        <x:v>100000.0</x:v>
      </x:c>
      <x:c r="E123" s="53"/>
    </x:row>
    <x:row r="124" ht="15" hidden="0" customHeight="1">
      <x:c r="A124" s="53" t="str">
        <x:v>Anjoman accounting.xlsx</x:v>
      </x:c>
      <x:c r="B124" s="53" t="str">
        <x:v>مجموع</x:v>
      </x:c>
      <x:c r="C124" s="53" t="str">
        <x:v>E15</x:v>
      </x:c>
      <x:c r="D124" s="53" t="str">
        <x:v>محمدامین عزیزی</x:v>
      </x:c>
      <x:c r="E124" s="53"/>
    </x:row>
    <x:row r="125" ht="15" hidden="0" customHeight="1">
      <x:c r="A125" s="53" t="str">
        <x:v>Anjoman accounting.xlsx</x:v>
      </x:c>
      <x:c r="B125" s="53" t="str">
        <x:v>مجموع</x:v>
      </x:c>
      <x:c r="C125" s="53" t="str">
        <x:v>F15</x:v>
      </x:c>
      <x:c r="D125" s="53" t="str">
        <x:v>چاپ پوستر و بارکد برای رویداد معرفی رشته</x:v>
      </x:c>
      <x:c r="E125" s="53"/>
    </x:row>
    <x:row r="126" ht="15" hidden="0" customHeight="1">
      <x:c r="A126" s="53" t="str">
        <x:v>Anjoman accounting.xlsx</x:v>
      </x:c>
      <x:c r="B126" s="53" t="str">
        <x:v>مجموع</x:v>
      </x:c>
      <x:c r="C126" s="53" t="str">
        <x:v>D16</x:v>
      </x:c>
      <x:c r="D126" s="53" t="str">
        <x:v>2866000.0</x:v>
      </x:c>
      <x:c r="E126" s="53"/>
    </x:row>
    <x:row r="127" ht="15" hidden="0" customHeight="1">
      <x:c r="A127" s="53" t="str">
        <x:v>Anjoman accounting.xlsx</x:v>
      </x:c>
      <x:c r="B127" s="53" t="str">
        <x:v>مجموع</x:v>
      </x:c>
      <x:c r="C127" s="53" t="str">
        <x:v>E16</x:v>
      </x:c>
      <x:c r="D127" s="53" t="str">
        <x:v>محمدامین عزیزی</x:v>
      </x:c>
      <x:c r="E127" s="53"/>
    </x:row>
    <x:row r="128" ht="15" hidden="0" customHeight="1">
      <x:c r="A128" s="53" t="str">
        <x:v>Anjoman accounting.xlsx</x:v>
      </x:c>
      <x:c r="B128" s="53" t="str">
        <x:v>مجموع</x:v>
      </x:c>
      <x:c r="C128" s="53" t="str">
        <x:v>F16</x:v>
      </x:c>
      <x:c r="D128" s="53" t="str">
        <x:v>تدارکات رویداد معرفی رشته</x:v>
      </x:c>
      <x:c r="E128" s="53"/>
    </x:row>
    <x:row r="129" ht="15" hidden="0" customHeight="1">
      <x:c r="A129" s="53" t="str">
        <x:v>Anjoman accounting.xlsx</x:v>
      </x:c>
      <x:c r="B129" s="53" t="str">
        <x:v>مجموع</x:v>
      </x:c>
      <x:c r="C129" s="53" t="str">
        <x:v>D17</x:v>
      </x:c>
      <x:c r="D129" s="53" t="str">
        <x:v>189000</x:v>
      </x:c>
      <x:c r="E129" s="53" t="str">
        <x:v>=3055000-D16</x:v>
      </x:c>
    </x:row>
    <x:row r="130" ht="15" hidden="0" customHeight="1">
      <x:c r="A130" s="53" t="str">
        <x:v>Anjoman accounting.xlsx</x:v>
      </x:c>
      <x:c r="B130" s="53" t="str">
        <x:v>مجموع</x:v>
      </x:c>
      <x:c r="C130" s="53" t="str">
        <x:v>E17</x:v>
      </x:c>
      <x:c r="D130" s="53" t="str">
        <x:v>ابراهیم خسروانی</x:v>
      </x:c>
      <x:c r="E130" s="53"/>
    </x:row>
    <x:row r="131" ht="15" hidden="0" customHeight="1">
      <x:c r="A131" s="53" t="str">
        <x:v>Anjoman accounting.xlsx</x:v>
      </x:c>
      <x:c r="B131" s="53" t="str">
        <x:v>مجموع</x:v>
      </x:c>
      <x:c r="C131" s="53" t="str">
        <x:v>F17</x:v>
      </x:c>
      <x:c r="D131" s="53" t="str">
        <x:v>حق الزحمه خرید تدارکات رویداد معرفی رشته</x:v>
      </x:c>
      <x:c r="E131" s="53"/>
    </x:row>
    <x:row r="132" ht="15" hidden="0" customHeight="1">
      <x:c r="A132" s="53" t="str">
        <x:v>Anjoman accounting.xlsx</x:v>
      </x:c>
      <x:c r="B132" s="53" t="str">
        <x:v>مجموع</x:v>
      </x:c>
      <x:c r="C132" s="53" t="str">
        <x:v>C18</x:v>
      </x:c>
      <x:c r="D132" s="53" t="str">
        <x:v>مهر</x:v>
      </x:c>
      <x:c r="E132" s="53"/>
    </x:row>
    <x:row r="133" ht="15" hidden="0" customHeight="1">
      <x:c r="A133" s="53" t="str">
        <x:v>Anjoman accounting.xlsx</x:v>
      </x:c>
      <x:c r="B133" s="53" t="str">
        <x:v>مجموع</x:v>
      </x:c>
      <x:c r="C133" s="53" t="str">
        <x:v>A19</x:v>
      </x:c>
      <x:c r="D133" s="53" t="str">
        <x:v>واریزی دکتر مقیمی برای شیرینی نشست عمومی اساتید</x:v>
      </x:c>
      <x:c r="E133" s="53"/>
    </x:row>
    <x:row r="134" ht="15" hidden="0" customHeight="1">
      <x:c r="A134" s="53" t="str">
        <x:v>Anjoman accounting.xlsx</x:v>
      </x:c>
      <x:c r="B134" s="53" t="str">
        <x:v>مجموع</x:v>
      </x:c>
      <x:c r="C134" s="53" t="str">
        <x:v>B19</x:v>
      </x:c>
      <x:c r="D134" s="53" t="str">
        <x:v>500000.0</x:v>
      </x:c>
      <x:c r="E134" s="53"/>
    </x:row>
    <x:row r="135" ht="15" hidden="0" customHeight="1">
      <x:c r="A135" s="53" t="str">
        <x:v>Anjoman accounting.xlsx</x:v>
      </x:c>
      <x:c r="B135" s="53" t="str">
        <x:v>مجموع</x:v>
      </x:c>
      <x:c r="C135" s="53" t="str">
        <x:v>D19</x:v>
      </x:c>
      <x:c r="D135" s="53" t="str">
        <x:v>90000.0</x:v>
      </x:c>
      <x:c r="E135" s="53"/>
    </x:row>
    <x:row r="136" ht="15" hidden="0" customHeight="1">
      <x:c r="A136" s="53" t="str">
        <x:v>Anjoman accounting.xlsx</x:v>
      </x:c>
      <x:c r="B136" s="53" t="str">
        <x:v>مجموع</x:v>
      </x:c>
      <x:c r="C136" s="53" t="str">
        <x:v>F19</x:v>
      </x:c>
      <x:c r="D136" s="53" t="str">
        <x:v>پوستر نشست عمومی با اساتید و حلقه های کوانتا(هفته 19مهر)</x:v>
      </x:c>
      <x:c r="E136" s="53"/>
    </x:row>
    <x:row r="137" ht="15" hidden="0" customHeight="1">
      <x:c r="A137" s="53" t="str">
        <x:v>Anjoman accounting.xlsx</x:v>
      </x:c>
      <x:c r="B137" s="53" t="str">
        <x:v>مجموع</x:v>
      </x:c>
      <x:c r="C137" s="53" t="str">
        <x:v>D20</x:v>
      </x:c>
      <x:c r="D137" s="53" t="str">
        <x:v>1052375.0</x:v>
      </x:c>
      <x:c r="E137" s="53"/>
    </x:row>
    <x:row r="138" ht="15" hidden="0" customHeight="1">
      <x:c r="A138" s="53" t="str">
        <x:v>Anjoman accounting.xlsx</x:v>
      </x:c>
      <x:c r="B138" s="53" t="str">
        <x:v>مجموع</x:v>
      </x:c>
      <x:c r="C138" s="53" t="str">
        <x:v>F20</x:v>
      </x:c>
      <x:c r="D138" s="53" t="str">
        <x:v>شیرینی نشست عمومی با اساتید</x:v>
      </x:c>
      <x:c r="E138" s="53"/>
    </x:row>
    <x:row r="139" ht="15" hidden="0" customHeight="1">
      <x:c r="A139" s="53" t="str">
        <x:v>Anjoman accounting.xlsx</x:v>
      </x:c>
      <x:c r="B139" s="53" t="str">
        <x:v>مجموع</x:v>
      </x:c>
      <x:c r="C139" s="53" t="str">
        <x:v>D21</x:v>
      </x:c>
      <x:c r="D139" s="53" t="str">
        <x:v>790000.0</x:v>
      </x:c>
      <x:c r="E139" s="53"/>
    </x:row>
    <x:row r="140" ht="15" hidden="0" customHeight="1">
      <x:c r="A140" s="53" t="str">
        <x:v>Anjoman accounting.xlsx</x:v>
      </x:c>
      <x:c r="B140" s="53" t="str">
        <x:v>مجموع</x:v>
      </x:c>
      <x:c r="C140" s="53" t="str">
        <x:v>F21</x:v>
      </x:c>
      <x:c r="D140" s="53" t="str">
        <x:v>2*50 لیوان + 3*40 بیسکوییت+100چای برای انجمن چای</x:v>
      </x:c>
      <x:c r="E140" s="53"/>
    </x:row>
    <x:row r="141" ht="15" hidden="0" customHeight="1">
      <x:c r="A141" s="53" t="str">
        <x:v>Anjoman accounting.xlsx</x:v>
      </x:c>
      <x:c r="B141" s="53" t="str">
        <x:v>مجموع</x:v>
      </x:c>
      <x:c r="C141" s="53" t="str">
        <x:v>D22</x:v>
      </x:c>
      <x:c r="D141" s="53" t="str">
        <x:v>912850.0</x:v>
      </x:c>
      <x:c r="E141" s="53"/>
    </x:row>
    <x:row r="142" ht="15" hidden="0" customHeight="1">
      <x:c r="A142" s="53" t="str">
        <x:v>Anjoman accounting.xlsx</x:v>
      </x:c>
      <x:c r="B142" s="53" t="str">
        <x:v>مجموع</x:v>
      </x:c>
      <x:c r="C142" s="53" t="str">
        <x:v>F22</x:v>
      </x:c>
      <x:c r="D142" s="53" t="str">
        <x:v>شیریننی نشست انجمن چای</x:v>
      </x:c>
      <x:c r="E142" s="53"/>
    </x:row>
    <x:row r="143" ht="15" hidden="0" customHeight="1">
      <x:c r="A143" s="53" t="str">
        <x:v>Anjoman accounting.xlsx</x:v>
      </x:c>
      <x:c r="B143" s="53" t="str">
        <x:v>مجموع</x:v>
      </x:c>
      <x:c r="C143" s="53" t="str">
        <x:v>D23</x:v>
      </x:c>
      <x:c r="D143" s="53" t="str">
        <x:v>1052375.0</x:v>
      </x:c>
      <x:c r="E143" s="53"/>
    </x:row>
    <x:row r="144" ht="15" hidden="0" customHeight="1">
      <x:c r="A144" s="53" t="str">
        <x:v>Anjoman accounting.xlsx</x:v>
      </x:c>
      <x:c r="B144" s="53" t="str">
        <x:v>مجموع</x:v>
      </x:c>
      <x:c r="C144" s="53" t="str">
        <x:v>F23</x:v>
      </x:c>
      <x:c r="D144" s="53" t="str">
        <x:v>شیرینی دیدار با اساتید</x:v>
      </x:c>
      <x:c r="E144" s="53"/>
    </x:row>
    <x:row r="145" ht="15" hidden="0" customHeight="1">
      <x:c r="A145" s="53" t="str">
        <x:v>Anjoman accounting.xlsx</x:v>
      </x:c>
      <x:c r="B145" s="53" t="str">
        <x:v>مجموع</x:v>
      </x:c>
      <x:c r="C145" s="53" t="str">
        <x:v>C24</x:v>
      </x:c>
      <x:c r="D145" s="53" t="str">
        <x:v>آبان</x:v>
      </x:c>
      <x:c r="E145" s="53"/>
    </x:row>
    <x:row r="146" ht="15" hidden="0" customHeight="1">
      <x:c r="A146" s="53" t="str">
        <x:v>Anjoman accounting.xlsx</x:v>
      </x:c>
      <x:c r="B146" s="53" t="str">
        <x:v>مجموع</x:v>
      </x:c>
      <x:c r="C146" s="53" t="str">
        <x:v>A25</x:v>
      </x:c>
      <x:c r="D146" s="53" t="str">
        <x:v>دریافتی از انجمن سابق</x:v>
      </x:c>
      <x:c r="E146" s="53"/>
    </x:row>
    <x:row r="147" ht="15" hidden="0" customHeight="1">
      <x:c r="A147" s="53" t="str">
        <x:v>Anjoman accounting.xlsx</x:v>
      </x:c>
      <x:c r="B147" s="53" t="str">
        <x:v>مجموع</x:v>
      </x:c>
      <x:c r="C147" s="53" t="str">
        <x:v>B25</x:v>
      </x:c>
      <x:c r="D147" s="53" t="str">
        <x:v>1.1E7</x:v>
      </x:c>
      <x:c r="E147" s="53"/>
    </x:row>
    <x:row r="148" ht="15" hidden="0" customHeight="1">
      <x:c r="A148" s="53" t="str">
        <x:v>Anjoman accounting.xlsx</x:v>
      </x:c>
      <x:c r="B148" s="53" t="str">
        <x:v>مجموع</x:v>
      </x:c>
      <x:c r="C148" s="53" t="str">
        <x:v>D25</x:v>
      </x:c>
      <x:c r="D148" s="53" t="str">
        <x:v>725000.0</x:v>
      </x:c>
      <x:c r="E148" s="53"/>
    </x:row>
    <x:row r="149" ht="15" hidden="0" customHeight="1">
      <x:c r="A149" s="53" t="str">
        <x:v>Anjoman accounting.xlsx</x:v>
      </x:c>
      <x:c r="B149" s="53" t="str">
        <x:v>مجموع</x:v>
      </x:c>
      <x:c r="C149" s="53" t="str">
        <x:v>E25</x:v>
      </x:c>
      <x:c r="D149" s="53" t="str">
        <x:v>نیما کوهی</x:v>
      </x:c>
      <x:c r="E149" s="53"/>
    </x:row>
    <x:row r="150" ht="15" hidden="0" customHeight="1">
      <x:c r="A150" s="53" t="str">
        <x:v>Anjoman accounting.xlsx</x:v>
      </x:c>
      <x:c r="B150" s="53" t="str">
        <x:v>مجموع</x:v>
      </x:c>
      <x:c r="C150" s="53" t="str">
        <x:v>F25</x:v>
      </x:c>
      <x:c r="D150" s="53" t="str">
        <x:v>باتری دوربین فیلمبرداری</x:v>
      </x:c>
      <x:c r="E150" s="53"/>
    </x:row>
    <x:row r="151" ht="15" hidden="0" customHeight="1">
      <x:c r="A151" s="53" t="str">
        <x:v>Anjoman accounting.xlsx</x:v>
      </x:c>
      <x:c r="B151" s="53" t="str">
        <x:v>مجموع</x:v>
      </x:c>
      <x:c r="C151" s="53" t="str">
        <x:v>D26</x:v>
      </x:c>
      <x:c r="D151" s="53" t="str">
        <x:v>120000.0</x:v>
      </x:c>
      <x:c r="E151" s="53"/>
    </x:row>
    <x:row r="152" ht="15" hidden="0" customHeight="1">
      <x:c r="A152" s="53" t="str">
        <x:v>Anjoman accounting.xlsx</x:v>
      </x:c>
      <x:c r="B152" s="53" t="str">
        <x:v>مجموع</x:v>
      </x:c>
      <x:c r="C152" s="53" t="str">
        <x:v>E26</x:v>
      </x:c>
      <x:c r="D152" s="53" t="str">
        <x:v>اردوان شهبازی</x:v>
      </x:c>
      <x:c r="E152" s="53"/>
    </x:row>
    <x:row r="153" ht="15" hidden="0" customHeight="1">
      <x:c r="A153" s="53" t="str">
        <x:v>Anjoman accounting.xlsx</x:v>
      </x:c>
      <x:c r="B153" s="53" t="str">
        <x:v>مجموع</x:v>
      </x:c>
      <x:c r="C153" s="53" t="str">
        <x:v>F26</x:v>
      </x:c>
      <x:c r="D153" s="53" t="str">
        <x:v>خرید چسب بادکنک برای جشن ورودی</x:v>
      </x:c>
      <x:c r="E153" s="53"/>
    </x:row>
    <x:row r="154" ht="15" hidden="0" customHeight="1">
      <x:c r="A154" s="53" t="str">
        <x:v>Anjoman accounting.xlsx</x:v>
      </x:c>
      <x:c r="B154" s="53" t="str">
        <x:v>مجموع</x:v>
      </x:c>
      <x:c r="C154" s="53" t="str">
        <x:v>D27</x:v>
      </x:c>
      <x:c r="D154" s="53" t="str">
        <x:v>1310000.0</x:v>
      </x:c>
      <x:c r="E154" s="53"/>
    </x:row>
    <x:row r="155" ht="15" hidden="0" customHeight="1">
      <x:c r="A155" s="53" t="str">
        <x:v>Anjoman accounting.xlsx</x:v>
      </x:c>
      <x:c r="B155" s="53" t="str">
        <x:v>مجموع</x:v>
      </x:c>
      <x:c r="C155" s="53" t="str">
        <x:v>E27</x:v>
      </x:c>
      <x:c r="D155" s="53" t="str">
        <x:v>راحله مختاری</x:v>
      </x:c>
      <x:c r="E155" s="53"/>
    </x:row>
    <x:row r="156" ht="15" hidden="0" customHeight="1">
      <x:c r="A156" s="53" t="str">
        <x:v>Anjoman accounting.xlsx</x:v>
      </x:c>
      <x:c r="B156" s="53" t="str">
        <x:v>مجموع</x:v>
      </x:c>
      <x:c r="C156" s="53" t="str">
        <x:v>F27</x:v>
      </x:c>
      <x:c r="D156" s="53" t="str">
        <x:v>تزئینات جشن ورودی</x:v>
      </x:c>
      <x:c r="E156" s="53"/>
    </x:row>
    <x:row r="157" ht="15" hidden="0" customHeight="1">
      <x:c r="A157" s="53" t="str">
        <x:v>Anjoman accounting.xlsx</x:v>
      </x:c>
      <x:c r="B157" s="53" t="str">
        <x:v>مجموع</x:v>
      </x:c>
      <x:c r="C157" s="53" t="str">
        <x:v>D28</x:v>
      </x:c>
      <x:c r="D157" s="53" t="str">
        <x:v>4344000</x:v>
      </x:c>
      <x:c r="E157" s="53" t="str">
        <x:v>=1444000+1500000+1400000</x:v>
      </x:c>
    </x:row>
    <x:row r="158" ht="15" hidden="0" customHeight="1">
      <x:c r="A158" s="53" t="str">
        <x:v>Anjoman accounting.xlsx</x:v>
      </x:c>
      <x:c r="B158" s="53" t="str">
        <x:v>مجموع</x:v>
      </x:c>
      <x:c r="C158" s="53" t="str">
        <x:v>F28</x:v>
      </x:c>
      <x:c r="D158" s="53" t="str">
        <x:v>جایزه های جشن ورودی</x:v>
      </x:c>
      <x:c r="E158" s="53"/>
    </x:row>
    <x:row r="159" ht="15" hidden="0" customHeight="1">
      <x:c r="A159" s="53" t="str">
        <x:v>Anjoman accounting.xlsx</x:v>
      </x:c>
      <x:c r="B159" s="53" t="str">
        <x:v>مجموع</x:v>
      </x:c>
      <x:c r="C159" s="53" t="str">
        <x:v>D29</x:v>
      </x:c>
      <x:c r="D159" s="53" t="str">
        <x:v>300000.0</x:v>
      </x:c>
      <x:c r="E159" s="53"/>
    </x:row>
    <x:row r="160" ht="15" hidden="0" customHeight="1">
      <x:c r="A160" s="53" t="str">
        <x:v>Anjoman accounting.xlsx</x:v>
      </x:c>
      <x:c r="B160" s="53" t="str">
        <x:v>مجموع</x:v>
      </x:c>
      <x:c r="C160" s="53" t="str">
        <x:v>F29</x:v>
      </x:c>
      <x:c r="D160" s="53" t="str">
        <x:v>شاباش نقدی برای جشن ورودی</x:v>
      </x:c>
      <x:c r="E160" s="53"/>
    </x:row>
    <x:row r="161" ht="15" hidden="0" customHeight="1">
      <x:c r="A161" s="53" t="str">
        <x:v>Anjoman accounting.xlsx</x:v>
      </x:c>
      <x:c r="B161" s="53" t="str">
        <x:v>مجموع</x:v>
      </x:c>
      <x:c r="C161" s="53" t="str">
        <x:v>D30</x:v>
      </x:c>
      <x:c r="D161" s="53" t="str">
        <x:v>70000.0</x:v>
      </x:c>
      <x:c r="E161" s="53"/>
    </x:row>
    <x:row r="162" ht="15" hidden="0" customHeight="1">
      <x:c r="A162" s="53" t="str">
        <x:v>Anjoman accounting.xlsx</x:v>
      </x:c>
      <x:c r="B162" s="53" t="str">
        <x:v>مجموع</x:v>
      </x:c>
      <x:c r="C162" s="53" t="str">
        <x:v>F30</x:v>
      </x:c>
      <x:c r="D162" s="53" t="str">
        <x:v>دستمال برای اتاق انجمن</x:v>
      </x:c>
      <x:c r="E162" s="53"/>
    </x:row>
    <x:row r="163" ht="15" hidden="0" customHeight="1">
      <x:c r="A163" s="53" t="str">
        <x:v>Anjoman accounting.xlsx</x:v>
      </x:c>
      <x:c r="B163" s="53" t="str">
        <x:v>مجموع</x:v>
      </x:c>
      <x:c r="C163" s="53" t="str">
        <x:v>D31</x:v>
      </x:c>
      <x:c r="D163" s="53" t="str">
        <x:v>310000.0</x:v>
      </x:c>
      <x:c r="E163" s="53"/>
    </x:row>
    <x:row r="164" ht="15" hidden="0" customHeight="1">
      <x:c r="A164" s="53" t="str">
        <x:v>Anjoman accounting.xlsx</x:v>
      </x:c>
      <x:c r="B164" s="53" t="str">
        <x:v>مجموع</x:v>
      </x:c>
      <x:c r="C164" s="53" t="str">
        <x:v>F31</x:v>
      </x:c>
      <x:c r="D164" s="53" t="str">
        <x:v>خرید اتصالات پروژکتور انجمن</x:v>
      </x:c>
      <x:c r="E164" s="53"/>
    </x:row>
    <x:row r="165" ht="15" hidden="0" customHeight="1">
      <x:c r="A165" s="53" t="str">
        <x:v>Anjoman accounting.xlsx</x:v>
      </x:c>
      <x:c r="B165" s="53" t="str">
        <x:v>مجموع</x:v>
      </x:c>
      <x:c r="C165" s="53" t="str">
        <x:v>D32</x:v>
      </x:c>
      <x:c r="D165" s="53" t="str">
        <x:v>1760000.0</x:v>
      </x:c>
      <x:c r="E165" s="53"/>
    </x:row>
    <x:row r="166" ht="15" hidden="0" customHeight="1">
      <x:c r="A166" s="53" t="str">
        <x:v>Anjoman accounting.xlsx</x:v>
      </x:c>
      <x:c r="B166" s="53" t="str">
        <x:v>مجموع</x:v>
      </x:c>
      <x:c r="C166" s="53" t="str">
        <x:v>F32</x:v>
      </x:c>
      <x:c r="D166" s="53" t="str">
        <x:v>خرید حفاظ برق و ابزار برای اتصال پروژکتور در غرفه ها</x:v>
      </x:c>
      <x:c r="E166" s="53"/>
    </x:row>
    <x:row r="167" ht="15" hidden="0" customHeight="1">
      <x:c r="A167" s="53" t="str">
        <x:v>Anjoman accounting.xlsx</x:v>
      </x:c>
      <x:c r="B167" s="53" t="str">
        <x:v>مجموع</x:v>
      </x:c>
      <x:c r="C167" s="53" t="str">
        <x:v>D33</x:v>
      </x:c>
      <x:c r="D167" s="53" t="str">
        <x:v>230000.0</x:v>
      </x:c>
      <x:c r="E167" s="53"/>
    </x:row>
    <x:row r="168" ht="15" hidden="0" customHeight="1">
      <x:c r="A168" s="53" t="str">
        <x:v>Anjoman accounting.xlsx</x:v>
      </x:c>
      <x:c r="B168" s="53" t="str">
        <x:v>مجموع</x:v>
      </x:c>
      <x:c r="C168" s="53" t="str">
        <x:v>F33</x:v>
      </x:c>
      <x:c r="D168" s="53" t="str">
        <x:v>پذیرایی غرفه انجمن</x:v>
      </x:c>
      <x:c r="E168" s="53"/>
    </x:row>
    <x:row r="169" ht="15" hidden="0" customHeight="1">
      <x:c r="A169" s="53" t="str">
        <x:v>Anjoman accounting.xlsx</x:v>
      </x:c>
      <x:c r="B169" s="53" t="str">
        <x:v>مجموع</x:v>
      </x:c>
      <x:c r="C169" s="53" t="str">
        <x:v>D34</x:v>
      </x:c>
      <x:c r="D169" s="53" t="str">
        <x:v>1226100.0</x:v>
      </x:c>
      <x:c r="E169" s="53"/>
    </x:row>
    <x:row r="170" ht="15" hidden="0" customHeight="1">
      <x:c r="A170" s="53" t="str">
        <x:v>Anjoman accounting.xlsx</x:v>
      </x:c>
      <x:c r="B170" s="53" t="str">
        <x:v>مجموع</x:v>
      </x:c>
      <x:c r="C170" s="53" t="str">
        <x:v>F34</x:v>
      </x:c>
      <x:c r="D170" s="53" t="str">
        <x:v>خرید دارو برای کمک های اولیه در انجمن</x:v>
      </x:c>
      <x:c r="E170" s="53"/>
    </x:row>
    <x:row r="171" ht="15" hidden="0" customHeight="1">
      <x:c r="A171" s="53" t="str">
        <x:v>Anjoman accounting.xlsx</x:v>
      </x:c>
      <x:c r="B171" s="53" t="str">
        <x:v>مجموع</x:v>
      </x:c>
      <x:c r="C171" s="53" t="str">
        <x:v>D35</x:v>
      </x:c>
      <x:c r="D171" s="53" t="str">
        <x:v>2300.0</x:v>
      </x:c>
      <x:c r="E171" s="53"/>
    </x:row>
    <x:row r="172" ht="15" hidden="0" customHeight="1">
      <x:c r="A172" s="53" t="str">
        <x:v>Anjoman accounting.xlsx</x:v>
      </x:c>
      <x:c r="B172" s="53" t="str">
        <x:v>مجموع</x:v>
      </x:c>
      <x:c r="C172" s="53" t="str">
        <x:v>F35</x:v>
      </x:c>
      <x:c r="D172" s="53" t="str">
        <x:v>چاپ قوانین اتاق انجمن</x:v>
      </x:c>
      <x:c r="E172" s="53"/>
    </x:row>
    <x:row r="173" ht="15" hidden="0" customHeight="1">
      <x:c r="A173" s="53" t="str">
        <x:v>Anjoman accounting.xlsx</x:v>
      </x:c>
      <x:c r="B173" s="53" t="str">
        <x:v>مجموع</x:v>
      </x:c>
      <x:c r="C173" s="53" t="str">
        <x:v>D36</x:v>
      </x:c>
      <x:c r="D173" s="53" t="str">
        <x:v>1300.0</x:v>
      </x:c>
      <x:c r="E173" s="53"/>
    </x:row>
    <x:row r="174" ht="15" hidden="0" customHeight="1">
      <x:c r="A174" s="53" t="str">
        <x:v>Anjoman accounting.xlsx</x:v>
      </x:c>
      <x:c r="B174" s="53" t="str">
        <x:v>مجموع</x:v>
      </x:c>
      <x:c r="C174" s="53" t="str">
        <x:v>F36</x:v>
      </x:c>
      <x:c r="D174" s="53" t="str">
        <x:v>چاپ قوانین اتاق انجمن</x:v>
      </x:c>
      <x:c r="E174" s="53"/>
    </x:row>
    <x:row r="175" ht="15" hidden="0" customHeight="1">
      <x:c r="A175" s="53" t="str">
        <x:v>Anjoman accounting.xlsx</x:v>
      </x:c>
      <x:c r="B175" s="53" t="str">
        <x:v>مجموع</x:v>
      </x:c>
      <x:c r="C175" s="53" t="str">
        <x:v>C37</x:v>
      </x:c>
      <x:c r="D175" s="53" t="str">
        <x:v>آذر</x:v>
      </x:c>
      <x:c r="E175" s="53"/>
    </x:row>
    <x:row r="176" ht="15" hidden="0" customHeight="1">
      <x:c r="A176" s="53" t="str">
        <x:v>Anjoman accounting.xlsx</x:v>
      </x:c>
      <x:c r="B176" s="53" t="str">
        <x:v>مجموع</x:v>
      </x:c>
      <x:c r="C176" s="53" t="str">
        <x:v>A38</x:v>
      </x:c>
      <x:c r="D176" s="53" t="str">
        <x:v>واریزی دکتر مقیمی جهت کمک به انجمن</x:v>
      </x:c>
      <x:c r="E176" s="53"/>
    </x:row>
    <x:row r="177" ht="15" hidden="0" customHeight="1">
      <x:c r="A177" s="53" t="str">
        <x:v>Anjoman accounting.xlsx</x:v>
      </x:c>
      <x:c r="B177" s="53" t="str">
        <x:v>مجموع</x:v>
      </x:c>
      <x:c r="C177" s="53" t="str">
        <x:v>B38</x:v>
      </x:c>
      <x:c r="D177" s="53" t="str">
        <x:v>1.0E7</x:v>
      </x:c>
      <x:c r="E177" s="53"/>
    </x:row>
    <x:row r="178" ht="15" hidden="0" customHeight="1">
      <x:c r="A178" s="53" t="str">
        <x:v>Anjoman accounting.xlsx</x:v>
      </x:c>
      <x:c r="B178" s="53" t="str">
        <x:v>مجموع</x:v>
      </x:c>
      <x:c r="C178" s="53" t="str">
        <x:v>A39</x:v>
      </x:c>
      <x:c r="D178" s="53" t="str">
        <x:v>واریزی دکتر مقیمی جهت کمک به انجمن</x:v>
      </x:c>
      <x:c r="E178" s="53"/>
    </x:row>
    <x:row r="179" ht="15" hidden="0" customHeight="1">
      <x:c r="A179" s="53" t="str">
        <x:v>Anjoman accounting.xlsx</x:v>
      </x:c>
      <x:c r="B179" s="53" t="str">
        <x:v>مجموع</x:v>
      </x:c>
      <x:c r="C179" s="53" t="str">
        <x:v>B39</x:v>
      </x:c>
      <x:c r="D179" s="53" t="str">
        <x:v>7000000.0</x:v>
      </x:c>
      <x:c r="E179" s="53"/>
    </x:row>
    <x:row r="180" ht="15" hidden="0" customHeight="1">
      <x:c r="A180" s="53" t="str">
        <x:v>Anjoman accounting.xlsx</x:v>
      </x:c>
      <x:c r="B180" s="53" t="str">
        <x:v>مجموع</x:v>
      </x:c>
      <x:c r="C180" s="53" t="str">
        <x:v>A40</x:v>
      </x:c>
      <x:c r="D180" s="53" t="str">
        <x:v>واریزی دکتر مقیمی جهت کمک به انجمن</x:v>
      </x:c>
      <x:c r="E180" s="53"/>
    </x:row>
    <x:row r="181" ht="15" hidden="0" customHeight="1">
      <x:c r="A181" s="53" t="str">
        <x:v>Anjoman accounting.xlsx</x:v>
      </x:c>
      <x:c r="B181" s="53" t="str">
        <x:v>مجموع</x:v>
      </x:c>
      <x:c r="C181" s="53" t="str">
        <x:v>B40</x:v>
      </x:c>
      <x:c r="D181" s="53" t="str">
        <x:v>6000000.0</x:v>
      </x:c>
      <x:c r="E181" s="53"/>
    </x:row>
    <x:row r="182" ht="15" hidden="0" customHeight="1">
      <x:c r="A182" s="53" t="str">
        <x:v>Anjoman accounting.xlsx</x:v>
      </x:c>
      <x:c r="B182" s="53" t="str">
        <x:v>مجموع</x:v>
      </x:c>
      <x:c r="C182" s="53" t="str">
        <x:v>C41</x:v>
      </x:c>
      <x:c r="D182" s="53" t="str">
        <x:v>دی</x:v>
      </x:c>
      <x:c r="E182" s="53"/>
    </x:row>
    <x:row r="183" ht="15" hidden="0" customHeight="1">
      <x:c r="A183" s="53" t="str">
        <x:v>Anjoman accounting.xlsx</x:v>
      </x:c>
      <x:c r="B183" s="53" t="str">
        <x:v>مجموع</x:v>
      </x:c>
      <x:c r="C183" s="53" t="str">
        <x:v>A42</x:v>
      </x:c>
      <x:c r="D183" s="53" t="str">
        <x:v>دونیشن برای جشن یلدا در حساب</x:v>
      </x:c>
      <x:c r="E183" s="53"/>
    </x:row>
    <x:row r="184" ht="15" hidden="0" customHeight="1">
      <x:c r="A184" s="53" t="str">
        <x:v>Anjoman accounting.xlsx</x:v>
      </x:c>
      <x:c r="B184" s="53" t="str">
        <x:v>مجموع</x:v>
      </x:c>
      <x:c r="C184" s="53" t="str">
        <x:v>B42</x:v>
      </x:c>
      <x:c r="D184" s="53" t="str">
        <x:v>1.579E7</x:v>
      </x:c>
      <x:c r="E184" s="53"/>
    </x:row>
    <x:row r="185" ht="15" hidden="0" customHeight="1">
      <x:c r="A185" s="53" t="str">
        <x:v>Anjoman accounting.xlsx</x:v>
      </x:c>
      <x:c r="B185" s="53" t="str">
        <x:v>مجموع</x:v>
      </x:c>
      <x:c r="C185" s="53" t="str">
        <x:v>D42</x:v>
      </x:c>
      <x:c r="D185" s="53" t="str">
        <x:v>2137000.0</x:v>
      </x:c>
      <x:c r="E185" s="53"/>
    </x:row>
    <x:row r="186" ht="15" hidden="0" customHeight="1">
      <x:c r="A186" s="53" t="str">
        <x:v>Anjoman accounting.xlsx</x:v>
      </x:c>
      <x:c r="B186" s="53" t="str">
        <x:v>مجموع</x:v>
      </x:c>
      <x:c r="C186" s="53" t="str">
        <x:v>F42</x:v>
      </x:c>
      <x:c r="D186" s="53" t="str">
        <x:v>جایزه و پذیرایی جشن یلدا</x:v>
      </x:c>
      <x:c r="E186" s="53"/>
    </x:row>
    <x:row r="187" ht="15" hidden="0" customHeight="1">
      <x:c r="A187" s="53" t="str">
        <x:v>Anjoman accounting.xlsx</x:v>
      </x:c>
      <x:c r="B187" s="53" t="str">
        <x:v>مجموع</x:v>
      </x:c>
      <x:c r="C187" s="53" t="str">
        <x:v>A43</x:v>
      </x:c>
      <x:c r="D187" s="53" t="str">
        <x:v>دونیشن وجه نقد برای جشن یلدا</x:v>
      </x:c>
      <x:c r="E187" s="53"/>
    </x:row>
    <x:row r="188" ht="15" hidden="0" customHeight="1">
      <x:c r="A188" s="53" t="str">
        <x:v>Anjoman accounting.xlsx</x:v>
      </x:c>
      <x:c r="B188" s="53" t="str">
        <x:v>مجموع</x:v>
      </x:c>
      <x:c r="C188" s="53" t="str">
        <x:v>B43</x:v>
      </x:c>
      <x:c r="D188" s="53" t="str">
        <x:v>700000.0</x:v>
      </x:c>
      <x:c r="E188" s="53"/>
    </x:row>
    <x:row r="189" ht="15" hidden="0" customHeight="1">
      <x:c r="A189" s="53" t="str">
        <x:v>Anjoman accounting.xlsx</x:v>
      </x:c>
      <x:c r="B189" s="53" t="str">
        <x:v>مجموع</x:v>
      </x:c>
      <x:c r="C189" s="53" t="str">
        <x:v>C44</x:v>
      </x:c>
      <x:c r="D189" s="53" t="str">
        <x:v>مهر 05</x:v>
      </x:c>
      <x:c r="E189" s="53"/>
    </x:row>
    <x:row r="190" ht="15" hidden="0" customHeight="1">
      <x:c r="A190" s="53" t="str">
        <x:v>Anjoman accounting.xlsx</x:v>
      </x:c>
      <x:c r="B190" s="53" t="str">
        <x:v>مجموع</x:v>
      </x:c>
      <x:c r="C190" s="53" t="str">
        <x:v>A45</x:v>
      </x:c>
      <x:c r="D190" s="53" t="str">
        <x:v>معرفی رشته</x:v>
      </x:c>
      <x:c r="E190" s="53"/>
    </x:row>
    <x:row r="191" ht="15" hidden="0" customHeight="1">
      <x:c r="A191" s="53" t="str">
        <x:v>Anjoman accounting.xlsx</x:v>
      </x:c>
      <x:c r="B191" s="53" t="str">
        <x:v>مجموع</x:v>
      </x:c>
      <x:c r="C191" s="53" t="str">
        <x:v>B45</x:v>
      </x:c>
      <x:c r="D191" s="53" t="str">
        <x:v>2.3E7</x:v>
      </x:c>
      <x:c r="E191" s="53"/>
    </x:row>
    <x:row r="192" ht="15" hidden="0" customHeight="1">
      <x:c r="A192" s="53" t="str">
        <x:v>Anjoman accounting.xlsx</x:v>
      </x:c>
      <x:c r="B192" s="53" t="str">
        <x:v>مجموع</x:v>
      </x:c>
      <x:c r="C192" s="53" t="str">
        <x:v>D45</x:v>
      </x:c>
      <x:c r="D192" s="53" t="str">
        <x:v>5000000.0</x:v>
      </x:c>
      <x:c r="E192" s="53"/>
    </x:row>
    <x:row r="193" ht="15" hidden="0" customHeight="1">
      <x:c r="A193" s="53" t="str">
        <x:v>Anjoman accounting.xlsx</x:v>
      </x:c>
      <x:c r="B193" s="53" t="str">
        <x:v>مجموع</x:v>
      </x:c>
      <x:c r="C193" s="53" t="str">
        <x:v>F45</x:v>
      </x:c>
      <x:c r="D193" s="53" t="str">
        <x:v>دورهمی بعد از رویداد معرفی رشته</x:v>
      </x:c>
      <x:c r="E193" s="53"/>
    </x:row>
    <x:row r="194" ht="15" hidden="0" customHeight="1">
      <x:c r="A194" s="53" t="str">
        <x:v>Anjoman accounting - refined.xlsx</x:v>
      </x:c>
      <x:c r="B194" s="53" t="str">
        <x:v>داشبورد</x:v>
      </x:c>
      <x:c r="C194" s="53" t="str">
        <x:v>A1</x:v>
      </x:c>
      <x:c r="D194" s="53" t="str">
        <x:v>داشبورد گزارش حسابداری انجمن</x:v>
      </x:c>
      <x:c r="E194" s="53"/>
    </x:row>
    <x:row r="195" ht="15" hidden="0" customHeight="1">
      <x:c r="A195" s="53" t="str">
        <x:v>Anjoman accounting - refined.xlsx</x:v>
      </x:c>
      <x:c r="B195" s="53" t="str">
        <x:v>داشبورد</x:v>
      </x:c>
      <x:c r="C195" s="53" t="str">
        <x:v>A3</x:v>
      </x:c>
      <x:c r="D195" s="53" t="str">
        <x:v>شاخص</x:v>
      </x:c>
      <x:c r="E195" s="53"/>
    </x:row>
    <x:row r="196" ht="15" hidden="0" customHeight="1">
      <x:c r="A196" s="53" t="str">
        <x:v>Anjoman accounting - refined.xlsx</x:v>
      </x:c>
      <x:c r="B196" s="53" t="str">
        <x:v>داشبورد</x:v>
      </x:c>
      <x:c r="C196" s="53" t="str">
        <x:v>B3</x:v>
      </x:c>
      <x:c r="D196" s="53" t="str">
        <x:v>مقدار تومان</x:v>
      </x:c>
      <x:c r="E196" s="53"/>
    </x:row>
    <x:row r="197" ht="15" hidden="0" customHeight="1">
      <x:c r="A197" s="53" t="str">
        <x:v>Anjoman accounting - refined.xlsx</x:v>
      </x:c>
      <x:c r="B197" s="53" t="str">
        <x:v>داشبورد</x:v>
      </x:c>
      <x:c r="C197" s="53" t="str">
        <x:v>C3</x:v>
      </x:c>
      <x:c r="D197" s="53" t="str">
        <x:v>وضعیت/توضیح</x:v>
      </x:c>
      <x:c r="E197" s="53"/>
    </x:row>
    <x:row r="198" ht="15" hidden="0" customHeight="1">
      <x:c r="A198" s="53" t="str">
        <x:v>Anjoman accounting - refined.xlsx</x:v>
      </x:c>
      <x:c r="B198" s="53" t="str">
        <x:v>داشبورد</x:v>
      </x:c>
      <x:c r="C198" s="53" t="str">
        <x:v>E3</x:v>
      </x:c>
      <x:c r="D198" s="53" t="str">
        <x:v>کنترل</x:v>
      </x:c>
      <x:c r="E198" s="53"/>
    </x:row>
    <x:row r="199" ht="15" hidden="0" customHeight="1">
      <x:c r="A199" s="53" t="str">
        <x:v>Anjoman accounting - refined.xlsx</x:v>
      </x:c>
      <x:c r="B199" s="53" t="str">
        <x:v>داشبورد</x:v>
      </x:c>
      <x:c r="C199" s="53" t="str">
        <x:v>F3</x:v>
      </x:c>
      <x:c r="D199" s="53" t="str">
        <x:v>نتیجه</x:v>
      </x:c>
      <x:c r="E199" s="53"/>
    </x:row>
    <x:row r="200" ht="15" hidden="0" customHeight="1">
      <x:c r="A200" s="53" t="str">
        <x:v>Anjoman accounting - refined.xlsx</x:v>
      </x:c>
      <x:c r="B200" s="53" t="str">
        <x:v>داشبورد</x:v>
      </x:c>
      <x:c r="C200" s="53" t="str">
        <x:v>A4</x:v>
      </x:c>
      <x:c r="D200" s="53" t="str">
        <x:v>درآمد تاییدشده</x:v>
      </x:c>
      <x:c r="E200" s="53"/>
    </x:row>
    <x:row r="201" ht="15" hidden="0" customHeight="1">
      <x:c r="A201" s="53" t="str">
        <x:v>Anjoman accounting - refined.xlsx</x:v>
      </x:c>
      <x:c r="B201" s="53" t="str">
        <x:v>داشبورد</x:v>
      </x:c>
      <x:c r="C201" s="53" t="str">
        <x:v>B4</x:v>
      </x:c>
      <x:c r="D201" s="53"/>
      <x:c r="E201" s="53" t="str">
        <x:v>=تطبیق!B5</x:v>
      </x:c>
    </x:row>
    <x:row r="202" ht="15" hidden="0" customHeight="1">
      <x:c r="A202" s="53" t="str">
        <x:v>Anjoman accounting - refined.xlsx</x:v>
      </x:c>
      <x:c r="B202" s="53" t="str">
        <x:v>داشبورد</x:v>
      </x:c>
      <x:c r="C202" s="53" t="str">
        <x:v>C4</x:v>
      </x:c>
      <x:c r="D202" s="53" t="str">
        <x:v>مبنای گزارش رسمی</x:v>
      </x:c>
      <x:c r="E202" s="53"/>
    </x:row>
    <x:row r="203" ht="15" hidden="0" customHeight="1">
      <x:c r="A203" s="53" t="str">
        <x:v>Anjoman accounting - refined.xlsx</x:v>
      </x:c>
      <x:c r="B203" s="53" t="str">
        <x:v>داشبورد</x:v>
      </x:c>
      <x:c r="C203" s="53" t="str">
        <x:v>E4</x:v>
      </x:c>
      <x:c r="D203" s="53" t="str">
        <x:v>واحد گزارش</x:v>
      </x:c>
      <x:c r="E203" s="53"/>
    </x:row>
    <x:row r="204" ht="15" hidden="0" customHeight="1">
      <x:c r="A204" s="53" t="str">
        <x:v>Anjoman accounting - refined.xlsx</x:v>
      </x:c>
      <x:c r="B204" s="53" t="str">
        <x:v>داشبورد</x:v>
      </x:c>
      <x:c r="C204" s="53" t="str">
        <x:v>F4</x:v>
      </x:c>
      <x:c r="D204" s="53" t="str">
        <x:v>تومان</x:v>
      </x:c>
      <x:c r="E204" s="53"/>
    </x:row>
    <x:row r="205" ht="15" hidden="0" customHeight="1">
      <x:c r="A205" s="53" t="str">
        <x:v>Anjoman accounting - refined.xlsx</x:v>
      </x:c>
      <x:c r="B205" s="53" t="str">
        <x:v>داشبورد</x:v>
      </x:c>
      <x:c r="C205" s="53" t="str">
        <x:v>A5</x:v>
      </x:c>
      <x:c r="D205" s="53" t="str">
        <x:v>هزینه تاییدشده</x:v>
      </x:c>
      <x:c r="E205" s="53"/>
    </x:row>
    <x:row r="206" ht="15" hidden="0" customHeight="1">
      <x:c r="A206" s="53" t="str">
        <x:v>Anjoman accounting - refined.xlsx</x:v>
      </x:c>
      <x:c r="B206" s="53" t="str">
        <x:v>داشبورد</x:v>
      </x:c>
      <x:c r="C206" s="53" t="str">
        <x:v>B5</x:v>
      </x:c>
      <x:c r="D206" s="53"/>
      <x:c r="E206" s="53" t="str">
        <x:v>=تطبیق!B6</x:v>
      </x:c>
    </x:row>
    <x:row r="207" ht="15" hidden="0" customHeight="1">
      <x:c r="A207" s="53" t="str">
        <x:v>Anjoman accounting - refined.xlsx</x:v>
      </x:c>
      <x:c r="B207" s="53" t="str">
        <x:v>داشبورد</x:v>
      </x:c>
      <x:c r="C207" s="53" t="str">
        <x:v>C5</x:v>
      </x:c>
      <x:c r="D207" s="53" t="str">
        <x:v>مبنای گزارش رسمی</x:v>
      </x:c>
      <x:c r="E207" s="53"/>
    </x:row>
    <x:row r="208" ht="15" hidden="0" customHeight="1">
      <x:c r="A208" s="53" t="str">
        <x:v>Anjoman accounting - refined.xlsx</x:v>
      </x:c>
      <x:c r="B208" s="53" t="str">
        <x:v>داشبورد</x:v>
      </x:c>
      <x:c r="C208" s="53" t="str">
        <x:v>E5</x:v>
      </x:c>
      <x:c r="D208" s="53" t="str">
        <x:v>اصل داده</x:v>
      </x:c>
      <x:c r="E208" s="53"/>
    </x:row>
    <x:row r="209" ht="15" hidden="0" customHeight="1">
      <x:c r="A209" s="53" t="str">
        <x:v>Anjoman accounting - refined.xlsx</x:v>
      </x:c>
      <x:c r="B209" s="53" t="str">
        <x:v>داشبورد</x:v>
      </x:c>
      <x:c r="C209" s="53" t="str">
        <x:v>F5</x:v>
      </x:c>
      <x:c r="D209" s="53" t="str">
        <x:v>اصل/خام حفظ شده</x:v>
      </x:c>
      <x:c r="E209" s="53"/>
    </x:row>
    <x:row r="210" ht="15" hidden="0" customHeight="1">
      <x:c r="A210" s="53" t="str">
        <x:v>Anjoman accounting - refined.xlsx</x:v>
      </x:c>
      <x:c r="B210" s="53" t="str">
        <x:v>داشبورد</x:v>
      </x:c>
      <x:c r="C210" s="53" t="str">
        <x:v>A6</x:v>
      </x:c>
      <x:c r="D210" s="53" t="str">
        <x:v>تراز تاییدشده</x:v>
      </x:c>
      <x:c r="E210" s="53"/>
    </x:row>
    <x:row r="211" ht="15" hidden="0" customHeight="1">
      <x:c r="A211" s="53" t="str">
        <x:v>Anjoman accounting - refined.xlsx</x:v>
      </x:c>
      <x:c r="B211" s="53" t="str">
        <x:v>داشبورد</x:v>
      </x:c>
      <x:c r="C211" s="53" t="str">
        <x:v>B6</x:v>
      </x:c>
      <x:c r="D211" s="53"/>
      <x:c r="E211" s="53" t="str">
        <x:v>=تطبیق!B7</x:v>
      </x:c>
    </x:row>
    <x:row r="212" ht="15" hidden="0" customHeight="1">
      <x:c r="A212" s="53" t="str">
        <x:v>Anjoman accounting - refined.xlsx</x:v>
      </x:c>
      <x:c r="B212" s="53" t="str">
        <x:v>داشبورد</x:v>
      </x:c>
      <x:c r="C212" s="53" t="str">
        <x:v>C6</x:v>
      </x:c>
      <x:c r="D212" s="53" t="str">
        <x:v>درآمد منهای هزینه</x:v>
      </x:c>
      <x:c r="E212" s="53"/>
    </x:row>
    <x:row r="213" ht="15" hidden="0" customHeight="1">
      <x:c r="A213" s="53" t="str">
        <x:v>Anjoman accounting - refined.xlsx</x:v>
      </x:c>
      <x:c r="B213" s="53" t="str">
        <x:v>داشبورد</x:v>
      </x:c>
      <x:c r="C213" s="53" t="str">
        <x:v>E6</x:v>
      </x:c>
      <x:c r="D213" s="53" t="str">
        <x:v>اقلام نامطمئن</x:v>
      </x:c>
      <x:c r="E213" s="53"/>
    </x:row>
    <x:row r="214" ht="15" hidden="0" customHeight="1">
      <x:c r="A214" s="53" t="str">
        <x:v>Anjoman accounting - refined.xlsx</x:v>
      </x:c>
      <x:c r="B214" s="53" t="str">
        <x:v>داشبورد</x:v>
      </x:c>
      <x:c r="C214" s="53" t="str">
        <x:v>F6</x:v>
      </x:c>
      <x:c r="D214" s="53" t="str">
        <x:v>از جمع تاییدشده حذف</x:v>
      </x:c>
      <x:c r="E214" s="53"/>
    </x:row>
    <x:row r="215" ht="15" hidden="0" customHeight="1">
      <x:c r="A215" s="53" t="str">
        <x:v>Anjoman accounting - refined.xlsx</x:v>
      </x:c>
      <x:c r="B215" s="53" t="str">
        <x:v>داشبورد</x:v>
      </x:c>
      <x:c r="C215" s="53" t="str">
        <x:v>A7</x:v>
      </x:c>
      <x:c r="D215" s="53" t="str">
        <x:v>درآمد پیشنهادی</x:v>
      </x:c>
      <x:c r="E215" s="53"/>
    </x:row>
    <x:row r="216" ht="15" hidden="0" customHeight="1">
      <x:c r="A216" s="53" t="str">
        <x:v>Anjoman accounting - refined.xlsx</x:v>
      </x:c>
      <x:c r="B216" s="53" t="str">
        <x:v>داشبورد</x:v>
      </x:c>
      <x:c r="C216" s="53" t="str">
        <x:v>B7</x:v>
      </x:c>
      <x:c r="D216" s="53"/>
      <x:c r="E216" s="53" t="str">
        <x:v>=تطبیق!B8</x:v>
      </x:c>
    </x:row>
    <x:row r="217" ht="15" hidden="0" customHeight="1">
      <x:c r="A217" s="53" t="str">
        <x:v>Anjoman accounting - refined.xlsx</x:v>
      </x:c>
      <x:c r="B217" s="53" t="str">
        <x:v>داشبورد</x:v>
      </x:c>
      <x:c r="C217" s="53" t="str">
        <x:v>C7</x:v>
      </x:c>
      <x:c r="D217" s="53" t="str">
        <x:v>خارج از تراز تا تایید</x:v>
      </x:c>
      <x:c r="E217" s="53"/>
    </x:row>
    <x:row r="218" ht="15" hidden="0" customHeight="1">
      <x:c r="A218" s="53" t="str">
        <x:v>Anjoman accounting - refined.xlsx</x:v>
      </x:c>
      <x:c r="B218" s="53" t="str">
        <x:v>داشبورد</x:v>
      </x:c>
      <x:c r="C218" s="53" t="str">
        <x:v>E7</x:v>
      </x:c>
      <x:c r="D218" s="53" t="str">
        <x:v>زبان</x:v>
      </x:c>
      <x:c r="E218" s="53"/>
    </x:row>
    <x:row r="219" ht="15" hidden="0" customHeight="1">
      <x:c r="A219" s="53" t="str">
        <x:v>Anjoman accounting - refined.xlsx</x:v>
      </x:c>
      <x:c r="B219" s="53" t="str">
        <x:v>داشبورد</x:v>
      </x:c>
      <x:c r="C219" s="53" t="str">
        <x:v>F7</x:v>
      </x:c>
      <x:c r="D219" s="53" t="str">
        <x:v>فارسی</x:v>
      </x:c>
      <x:c r="E219" s="53"/>
    </x:row>
    <x:row r="220" ht="15" hidden="0" customHeight="1">
      <x:c r="A220" s="53" t="str">
        <x:v>Anjoman accounting - refined.xlsx</x:v>
      </x:c>
      <x:c r="B220" s="53" t="str">
        <x:v>داشبورد</x:v>
      </x:c>
      <x:c r="C220" s="53" t="str">
        <x:v>A8</x:v>
      </x:c>
      <x:c r="D220" s="53" t="str">
        <x:v>هزینه پیشنهادی</x:v>
      </x:c>
      <x:c r="E220" s="53"/>
    </x:row>
    <x:row r="221" ht="15" hidden="0" customHeight="1">
      <x:c r="A221" s="53" t="str">
        <x:v>Anjoman accounting - refined.xlsx</x:v>
      </x:c>
      <x:c r="B221" s="53" t="str">
        <x:v>داشبورد</x:v>
      </x:c>
      <x:c r="C221" s="53" t="str">
        <x:v>B8</x:v>
      </x:c>
      <x:c r="D221" s="53"/>
      <x:c r="E221" s="53" t="str">
        <x:v>=تطبیق!B9</x:v>
      </x:c>
    </x:row>
    <x:row r="222" ht="15" hidden="0" customHeight="1">
      <x:c r="A222" s="53" t="str">
        <x:v>Anjoman accounting - refined.xlsx</x:v>
      </x:c>
      <x:c r="B222" s="53" t="str">
        <x:v>داشبورد</x:v>
      </x:c>
      <x:c r="C222" s="53" t="str">
        <x:v>C8</x:v>
      </x:c>
      <x:c r="D222" s="53" t="str">
        <x:v>خارج از تراز تا تایید</x:v>
      </x:c>
      <x:c r="E222" s="53"/>
    </x:row>
    <x:row r="223" ht="15" hidden="0" customHeight="1">
      <x:c r="A223" s="53" t="str">
        <x:v>Anjoman accounting - refined.xlsx</x:v>
      </x:c>
      <x:c r="B223" s="53" t="str">
        <x:v>داشبورد</x:v>
      </x:c>
      <x:c r="C223" s="53" t="str">
        <x:v>A9</x:v>
      </x:c>
      <x:c r="D223" s="53" t="str">
        <x:v>رسیدهای در صف بررسی</x:v>
      </x:c>
      <x:c r="E223" s="53"/>
    </x:row>
    <x:row r="224" ht="15" hidden="0" customHeight="1">
      <x:c r="A224" s="53" t="str">
        <x:v>Anjoman accounting - refined.xlsx</x:v>
      </x:c>
      <x:c r="B224" s="53" t="str">
        <x:v>داشبورد</x:v>
      </x:c>
      <x:c r="C224" s="53" t="str">
        <x:v>B9</x:v>
      </x:c>
      <x:c r="D224" s="53"/>
      <x:c r="E224" s="53" t="str">
        <x:v>=تطبیق!B10</x:v>
      </x:c>
    </x:row>
    <x:row r="225" ht="15" hidden="0" customHeight="1">
      <x:c r="A225" s="53" t="str">
        <x:v>Anjoman accounting - refined.xlsx</x:v>
      </x:c>
      <x:c r="B225" s="53" t="str">
        <x:v>داشبورد</x:v>
      </x:c>
      <x:c r="C225" s="53" t="str">
        <x:v>C9</x:v>
      </x:c>
      <x:c r="D225" s="53" t="str">
        <x:v>ورود دستی لازم</x:v>
      </x:c>
      <x:c r="E225" s="53"/>
    </x:row>
    <x:row r="226" ht="15" hidden="0" customHeight="1">
      <x:c r="A226" s="53" t="str">
        <x:v>Anjoman accounting - refined.xlsx</x:v>
      </x:c>
      <x:c r="B226" s="53" t="str">
        <x:v>تراکنش‌ها</x:v>
      </x:c>
      <x:c r="C226" s="53" t="str">
        <x:v>A1</x:v>
      </x:c>
      <x:c r="D226" s="53" t="str">
        <x:v>دفتر کل تراکنش‌ها</x:v>
      </x:c>
      <x:c r="E226" s="53"/>
    </x:row>
    <x:row r="227" ht="15" hidden="0" customHeight="1">
      <x:c r="A227" s="53" t="str">
        <x:v>Anjoman accounting - refined.xlsx</x:v>
      </x:c>
      <x:c r="B227" s="53" t="str">
        <x:v>تراکنش‌ها</x:v>
      </x:c>
      <x:c r="C227" s="53" t="str">
        <x:v>A2</x:v>
      </x:c>
      <x:c r="D227" s="53" t="str">
        <x:v>نسخه refined | واحد گزارش: تومان | مبالغ نامطمئن در صف بررسی از جمع تاییدشده حذف می‌شوند.</x:v>
      </x:c>
      <x:c r="E227" s="53"/>
    </x:row>
    <x:row r="228" ht="15" hidden="0" customHeight="1">
      <x:c r="A228" s="53" t="str">
        <x:v>Anjoman accounting - refined.xlsx</x:v>
      </x:c>
      <x:c r="B228" s="53" t="str">
        <x:v>تراکنش‌ها</x:v>
      </x:c>
      <x:c r="C228" s="53" t="str">
        <x:v>A3</x:v>
      </x:c>
      <x:c r="D228" s="53" t="str">
        <x:v>شناسه تراکنش</x:v>
      </x:c>
      <x:c r="E228" s="53"/>
    </x:row>
    <x:row r="229" ht="15" hidden="0" customHeight="1">
      <x:c r="A229" s="53" t="str">
        <x:v>Anjoman accounting - refined.xlsx</x:v>
      </x:c>
      <x:c r="B229" s="53" t="str">
        <x:v>تراکنش‌ها</x:v>
      </x:c>
      <x:c r="C229" s="53" t="str">
        <x:v>B3</x:v>
      </x:c>
      <x:c r="D229" s="53" t="str">
        <x:v>نوع</x:v>
      </x:c>
      <x:c r="E229" s="53"/>
    </x:row>
    <x:row r="230" ht="15" hidden="0" customHeight="1">
      <x:c r="A230" s="53" t="str">
        <x:v>Anjoman accounting - refined.xlsx</x:v>
      </x:c>
      <x:c r="B230" s="53" t="str">
        <x:v>تراکنش‌ها</x:v>
      </x:c>
      <x:c r="C230" s="53" t="str">
        <x:v>C3</x:v>
      </x:c>
      <x:c r="D230" s="53" t="str">
        <x:v>تاریخ/ماه</x:v>
      </x:c>
      <x:c r="E230" s="53"/>
    </x:row>
    <x:row r="231" ht="15" hidden="0" customHeight="1">
      <x:c r="A231" s="53" t="str">
        <x:v>Anjoman accounting - refined.xlsx</x:v>
      </x:c>
      <x:c r="B231" s="53" t="str">
        <x:v>تراکنش‌ها</x:v>
      </x:c>
      <x:c r="C231" s="53" t="str">
        <x:v>D3</x:v>
      </x:c>
      <x:c r="D231" s="53" t="str">
        <x:v>مبلغ اصلی</x:v>
      </x:c>
      <x:c r="E231" s="53"/>
    </x:row>
    <x:row r="232" ht="15" hidden="0" customHeight="1">
      <x:c r="A232" s="53" t="str">
        <x:v>Anjoman accounting - refined.xlsx</x:v>
      </x:c>
      <x:c r="B232" s="53" t="str">
        <x:v>تراکنش‌ها</x:v>
      </x:c>
      <x:c r="C232" s="53" t="str">
        <x:v>E3</x:v>
      </x:c>
      <x:c r="D232" s="53" t="str">
        <x:v>واحد اصلی</x:v>
      </x:c>
      <x:c r="E232" s="53"/>
    </x:row>
    <x:row r="233" ht="15" hidden="0" customHeight="1">
      <x:c r="A233" s="53" t="str">
        <x:v>Anjoman accounting - refined.xlsx</x:v>
      </x:c>
      <x:c r="B233" s="53" t="str">
        <x:v>تراکنش‌ها</x:v>
      </x:c>
      <x:c r="C233" s="53" t="str">
        <x:v>F3</x:v>
      </x:c>
      <x:c r="D233" s="53" t="str">
        <x:v>مبلغ تومان</x:v>
      </x:c>
      <x:c r="E233" s="53"/>
    </x:row>
    <x:row r="234" ht="15" hidden="0" customHeight="1">
      <x:c r="A234" s="53" t="str">
        <x:v>Anjoman accounting - refined.xlsx</x:v>
      </x:c>
      <x:c r="B234" s="53" t="str">
        <x:v>تراکنش‌ها</x:v>
      </x:c>
      <x:c r="C234" s="53" t="str">
        <x:v>G3</x:v>
      </x:c>
      <x:c r="D234" s="53" t="str">
        <x:v>طرف حساب</x:v>
      </x:c>
      <x:c r="E234" s="53"/>
    </x:row>
    <x:row r="235" ht="15" hidden="0" customHeight="1">
      <x:c r="A235" s="53" t="str">
        <x:v>Anjoman accounting - refined.xlsx</x:v>
      </x:c>
      <x:c r="B235" s="53" t="str">
        <x:v>تراکنش‌ها</x:v>
      </x:c>
      <x:c r="C235" s="53" t="str">
        <x:v>H3</x:v>
      </x:c>
      <x:c r="D235" s="53" t="str">
        <x:v>شرح</x:v>
      </x:c>
      <x:c r="E235" s="53"/>
    </x:row>
    <x:row r="236" ht="15" hidden="0" customHeight="1">
      <x:c r="A236" s="53" t="str">
        <x:v>Anjoman accounting - refined.xlsx</x:v>
      </x:c>
      <x:c r="B236" s="53" t="str">
        <x:v>تراکنش‌ها</x:v>
      </x:c>
      <x:c r="C236" s="53" t="str">
        <x:v>I3</x:v>
      </x:c>
      <x:c r="D236" s="53" t="str">
        <x:v>دسته‌بندی</x:v>
      </x:c>
      <x:c r="E236" s="53"/>
    </x:row>
    <x:row r="237" ht="15" hidden="0" customHeight="1">
      <x:c r="A237" s="53" t="str">
        <x:v>Anjoman accounting - refined.xlsx</x:v>
      </x:c>
      <x:c r="B237" s="53" t="str">
        <x:v>تراکنش‌ها</x:v>
      </x:c>
      <x:c r="C237" s="53" t="str">
        <x:v>J3</x:v>
      </x:c>
      <x:c r="D237" s="53" t="str">
        <x:v>وضعیت</x:v>
      </x:c>
      <x:c r="E237" s="53"/>
    </x:row>
    <x:row r="238" ht="15" hidden="0" customHeight="1">
      <x:c r="A238" s="53" t="str">
        <x:v>Anjoman accounting - refined.xlsx</x:v>
      </x:c>
      <x:c r="B238" s="53" t="str">
        <x:v>تراکنش‌ها</x:v>
      </x:c>
      <x:c r="C238" s="53" t="str">
        <x:v>K3</x:v>
      </x:c>
      <x:c r="D238" s="53" t="str">
        <x:v>مبنای ثبت</x:v>
      </x:c>
      <x:c r="E238" s="53"/>
    </x:row>
    <x:row r="239" ht="15" hidden="0" customHeight="1">
      <x:c r="A239" s="53" t="str">
        <x:v>Anjoman accounting - refined.xlsx</x:v>
      </x:c>
      <x:c r="B239" s="53" t="str">
        <x:v>تراکنش‌ها</x:v>
      </x:c>
      <x:c r="C239" s="53" t="str">
        <x:v>L3</x:v>
      </x:c>
      <x:c r="D239" s="53" t="str">
        <x:v>شناسه مدرک</x:v>
      </x:c>
      <x:c r="E239" s="53"/>
    </x:row>
    <x:row r="240" ht="15" hidden="0" customHeight="1">
      <x:c r="A240" s="53" t="str">
        <x:v>Anjoman accounting - refined.xlsx</x:v>
      </x:c>
      <x:c r="B240" s="53" t="str">
        <x:v>تراکنش‌ها</x:v>
      </x:c>
      <x:c r="C240" s="53" t="str">
        <x:v>M3</x:v>
      </x:c>
      <x:c r="D240" s="53" t="str">
        <x:v>یادداشت</x:v>
      </x:c>
      <x:c r="E240" s="53"/>
    </x:row>
    <x:row r="241" ht="15" hidden="0" customHeight="1">
      <x:c r="A241" s="53" t="str">
        <x:v>Anjoman accounting - refined.xlsx</x:v>
      </x:c>
      <x:c r="B241" s="53" t="str">
        <x:v>تراکنش‌ها</x:v>
      </x:c>
      <x:c r="C241" s="53" t="str">
        <x:v>A4</x:v>
      </x:c>
      <x:c r="D241" s="53" t="str">
        <x:v>TX-00001</x:v>
      </x:c>
      <x:c r="E241" s="53"/>
    </x:row>
    <x:row r="242" ht="15" hidden="0" customHeight="1">
      <x:c r="A242" s="53" t="str">
        <x:v>Anjoman accounting - refined.xlsx</x:v>
      </x:c>
      <x:c r="B242" s="53" t="str">
        <x:v>تراکنش‌ها</x:v>
      </x:c>
      <x:c r="C242" s="53" t="str">
        <x:v>B4</x:v>
      </x:c>
      <x:c r="D242" s="53" t="str">
        <x:v>هزینه</x:v>
      </x:c>
      <x:c r="E242" s="53"/>
    </x:row>
    <x:row r="243" ht="15" hidden="0" customHeight="1">
      <x:c r="A243" s="53" t="str">
        <x:v>Anjoman accounting - refined.xlsx</x:v>
      </x:c>
      <x:c r="B243" s="53" t="str">
        <x:v>تراکنش‌ها</x:v>
      </x:c>
      <x:c r="C243" s="53" t="str">
        <x:v>C4</x:v>
      </x:c>
      <x:c r="D243" s="53" t="str">
        <x:v>مرداد</x:v>
      </x:c>
      <x:c r="E243" s="53"/>
    </x:row>
    <x:row r="244" ht="15" hidden="0" customHeight="1">
      <x:c r="A244" s="53" t="str">
        <x:v>Anjoman accounting - refined.xlsx</x:v>
      </x:c>
      <x:c r="B244" s="53" t="str">
        <x:v>تراکنش‌ها</x:v>
      </x:c>
      <x:c r="C244" s="53" t="str">
        <x:v>D4</x:v>
      </x:c>
      <x:c r="D244" s="53" t="str">
        <x:v>3500000</x:v>
      </x:c>
      <x:c r="E244" s="53"/>
    </x:row>
    <x:row r="245" ht="15" hidden="0" customHeight="1">
      <x:c r="A245" s="53" t="str">
        <x:v>Anjoman accounting - refined.xlsx</x:v>
      </x:c>
      <x:c r="B245" s="53" t="str">
        <x:v>تراکنش‌ها</x:v>
      </x:c>
      <x:c r="C245" s="53" t="str">
        <x:v>E4</x:v>
      </x:c>
      <x:c r="D245" s="53" t="str">
        <x:v>تومان</x:v>
      </x:c>
      <x:c r="E245" s="53"/>
    </x:row>
    <x:row r="246" ht="15" hidden="0" customHeight="1">
      <x:c r="A246" s="53" t="str">
        <x:v>Anjoman accounting - refined.xlsx</x:v>
      </x:c>
      <x:c r="B246" s="53" t="str">
        <x:v>تراکنش‌ها</x:v>
      </x:c>
      <x:c r="C246" s="53" t="str">
        <x:v>F4</x:v>
      </x:c>
      <x:c r="D246" s="53" t="str">
        <x:v>3500000</x:v>
      </x:c>
      <x:c r="E246" s="53"/>
    </x:row>
    <x:row r="247" ht="15" hidden="0" customHeight="1">
      <x:c r="A247" s="53" t="str">
        <x:v>Anjoman accounting - refined.xlsx</x:v>
      </x:c>
      <x:c r="B247" s="53" t="str">
        <x:v>تراکنش‌ها</x:v>
      </x:c>
      <x:c r="C247" s="53" t="str">
        <x:v>G4</x:v>
      </x:c>
      <x:c r="D247" s="53" t="str">
        <x:v>امیرمحمد جوشقانی</x:v>
      </x:c>
      <x:c r="E247" s="53"/>
    </x:row>
    <x:row r="248" ht="15" hidden="0" customHeight="1">
      <x:c r="A248" s="53" t="str">
        <x:v>Anjoman accounting - refined.xlsx</x:v>
      </x:c>
      <x:c r="B248" s="53" t="str">
        <x:v>تراکنش‌ها</x:v>
      </x:c>
      <x:c r="C248" s="53" t="str">
        <x:v>H4</x:v>
      </x:c>
      <x:c r="D248" s="53" t="str">
        <x:v>حق التدریس دوره پایتون</x:v>
      </x:c>
      <x:c r="E248" s="53"/>
    </x:row>
    <x:row r="249" ht="15" hidden="0" customHeight="1">
      <x:c r="A249" s="53" t="str">
        <x:v>Anjoman accounting - refined.xlsx</x:v>
      </x:c>
      <x:c r="B249" s="53" t="str">
        <x:v>تراکنش‌ها</x:v>
      </x:c>
      <x:c r="C249" s="53" t="str">
        <x:v>I4</x:v>
      </x:c>
      <x:c r="D249" s="53" t="str">
        <x:v>هزینه / عملیاتی</x:v>
      </x:c>
      <x:c r="E249" s="53"/>
    </x:row>
    <x:row r="250" ht="15" hidden="0" customHeight="1">
      <x:c r="A250" s="53" t="str">
        <x:v>Anjoman accounting - refined.xlsx</x:v>
      </x:c>
      <x:c r="B250" s="53" t="str">
        <x:v>تراکنش‌ها</x:v>
      </x:c>
      <x:c r="C250" s="53" t="str">
        <x:v>J4</x:v>
      </x:c>
      <x:c r="D250" s="53" t="str">
        <x:v>تاییدشده</x:v>
      </x:c>
      <x:c r="E250" s="53"/>
    </x:row>
    <x:row r="251" ht="15" hidden="0" customHeight="1">
      <x:c r="A251" s="53" t="str">
        <x:v>Anjoman accounting - refined.xlsx</x:v>
      </x:c>
      <x:c r="B251" s="53" t="str">
        <x:v>تراکنش‌ها</x:v>
      </x:c>
      <x:c r="C251" s="53" t="str">
        <x:v>K4</x:v>
      </x:c>
      <x:c r="D251" s="53" t="str">
        <x:v>دفتر قبلی</x:v>
      </x:c>
      <x:c r="E251" s="53"/>
    </x:row>
    <x:row r="252" ht="15" hidden="0" customHeight="1">
      <x:c r="A252" s="53" t="str">
        <x:v>Anjoman accounting - refined.xlsx</x:v>
      </x:c>
      <x:c r="B252" s="53" t="str">
        <x:v>تراکنش‌ها</x:v>
      </x:c>
      <x:c r="C252" s="53" t="str">
        <x:v>L4</x:v>
      </x:c>
      <x:c r="D252" s="53" t="str">
        <x:v>LEDGER-MAJMOO-002</x:v>
      </x:c>
      <x:c r="E252" s="53"/>
    </x:row>
    <x:row r="253" ht="15" hidden="0" customHeight="1">
      <x:c r="A253" s="53" t="str">
        <x:v>Anjoman accounting - refined.xlsx</x:v>
      </x:c>
      <x:c r="B253" s="53" t="str">
        <x:v>تراکنش‌ها</x:v>
      </x:c>
      <x:c r="C253" s="53" t="str">
        <x:v>M4</x:v>
      </x:c>
      <x:c r="D253" s="53" t="str">
        <x:v>مبلغ از دفتر قبلی خوانده شد؛ نیازمند تطبیق نهایی با شواهد پرداخت.</x:v>
      </x:c>
      <x:c r="E253" s="53"/>
    </x:row>
    <x:row r="254" ht="15" hidden="0" customHeight="1">
      <x:c r="A254" s="53" t="str">
        <x:v>Anjoman accounting - refined.xlsx</x:v>
      </x:c>
      <x:c r="B254" s="53" t="str">
        <x:v>تراکنش‌ها</x:v>
      </x:c>
      <x:c r="C254" s="53" t="str">
        <x:v>A5</x:v>
      </x:c>
      <x:c r="D254" s="53" t="str">
        <x:v>TX-00002</x:v>
      </x:c>
      <x:c r="E254" s="53"/>
    </x:row>
    <x:row r="255" ht="15" hidden="0" customHeight="1">
      <x:c r="A255" s="53" t="str">
        <x:v>Anjoman accounting - refined.xlsx</x:v>
      </x:c>
      <x:c r="B255" s="53" t="str">
        <x:v>تراکنش‌ها</x:v>
      </x:c>
      <x:c r="C255" s="53" t="str">
        <x:v>B5</x:v>
      </x:c>
      <x:c r="D255" s="53" t="str">
        <x:v>درآمد</x:v>
      </x:c>
      <x:c r="E255" s="53"/>
    </x:row>
    <x:row r="256" ht="15" hidden="0" customHeight="1">
      <x:c r="A256" s="53" t="str">
        <x:v>Anjoman accounting - refined.xlsx</x:v>
      </x:c>
      <x:c r="B256" s="53" t="str">
        <x:v>تراکنش‌ها</x:v>
      </x:c>
      <x:c r="C256" s="53" t="str">
        <x:v>C5</x:v>
      </x:c>
      <x:c r="D256" s="53" t="str">
        <x:v>مرداد</x:v>
      </x:c>
      <x:c r="E256" s="53"/>
    </x:row>
    <x:row r="257" ht="15" hidden="0" customHeight="1">
      <x:c r="A257" s="53" t="str">
        <x:v>Anjoman accounting - refined.xlsx</x:v>
      </x:c>
      <x:c r="B257" s="53" t="str">
        <x:v>تراکنش‌ها</x:v>
      </x:c>
      <x:c r="C257" s="53" t="str">
        <x:v>D5</x:v>
      </x:c>
      <x:c r="D257" s="53" t="str">
        <x:v>33642000</x:v>
      </x:c>
      <x:c r="E257" s="53"/>
    </x:row>
    <x:row r="258" ht="15" hidden="0" customHeight="1">
      <x:c r="A258" s="53" t="str">
        <x:v>Anjoman accounting - refined.xlsx</x:v>
      </x:c>
      <x:c r="B258" s="53" t="str">
        <x:v>تراکنش‌ها</x:v>
      </x:c>
      <x:c r="C258" s="53" t="str">
        <x:v>E5</x:v>
      </x:c>
      <x:c r="D258" s="53" t="str">
        <x:v>تومان</x:v>
      </x:c>
      <x:c r="E258" s="53"/>
    </x:row>
    <x:row r="259" ht="15" hidden="0" customHeight="1">
      <x:c r="A259" s="53" t="str">
        <x:v>Anjoman accounting - refined.xlsx</x:v>
      </x:c>
      <x:c r="B259" s="53" t="str">
        <x:v>تراکنش‌ها</x:v>
      </x:c>
      <x:c r="C259" s="53" t="str">
        <x:v>F5</x:v>
      </x:c>
      <x:c r="D259" s="53" t="str">
        <x:v>33642000</x:v>
      </x:c>
      <x:c r="E259" s="53"/>
    </x:row>
    <x:row r="260" ht="15" hidden="0" customHeight="1">
      <x:c r="A260" s="53" t="str">
        <x:v>Anjoman accounting - refined.xlsx</x:v>
      </x:c>
      <x:c r="B260" s="53" t="str">
        <x:v>تراکنش‌ها</x:v>
      </x:c>
      <x:c r="C260" s="53" t="str">
        <x:v>G5</x:v>
      </x:c>
      <x:c r="D260" s="53" t="str">
        <x:v>سهراب ملکی</x:v>
      </x:c>
      <x:c r="E260" s="53"/>
    </x:row>
    <x:row r="261" ht="15" hidden="0" customHeight="1">
      <x:c r="A261" s="53" t="str">
        <x:v>Anjoman accounting - refined.xlsx</x:v>
      </x:c>
      <x:c r="B261" s="53" t="str">
        <x:v>تراکنش‌ها</x:v>
      </x:c>
      <x:c r="C261" s="53" t="str">
        <x:v>H5</x:v>
      </x:c>
      <x:c r="D261" s="53" t="str">
        <x:v>مدرسه تابستانه</x:v>
      </x:c>
      <x:c r="E261" s="53"/>
    </x:row>
    <x:row r="262" ht="15" hidden="0" customHeight="1">
      <x:c r="A262" s="53" t="str">
        <x:v>Anjoman accounting - refined.xlsx</x:v>
      </x:c>
      <x:c r="B262" s="53" t="str">
        <x:v>تراکنش‌ها</x:v>
      </x:c>
      <x:c r="C262" s="53" t="str">
        <x:v>I5</x:v>
      </x:c>
      <x:c r="D262" s="53" t="str">
        <x:v>درآمد / کمک / رویداد</x:v>
      </x:c>
      <x:c r="E262" s="53"/>
    </x:row>
    <x:row r="263" ht="15" hidden="0" customHeight="1">
      <x:c r="A263" s="53" t="str">
        <x:v>Anjoman accounting - refined.xlsx</x:v>
      </x:c>
      <x:c r="B263" s="53" t="str">
        <x:v>تراکنش‌ها</x:v>
      </x:c>
      <x:c r="C263" s="53" t="str">
        <x:v>J5</x:v>
      </x:c>
      <x:c r="D263" s="53" t="str">
        <x:v>تاییدشده</x:v>
      </x:c>
      <x:c r="E263" s="53"/>
    </x:row>
    <x:row r="264" ht="15" hidden="0" customHeight="1">
      <x:c r="A264" s="53" t="str">
        <x:v>Anjoman accounting - refined.xlsx</x:v>
      </x:c>
      <x:c r="B264" s="53" t="str">
        <x:v>تراکنش‌ها</x:v>
      </x:c>
      <x:c r="C264" s="53" t="str">
        <x:v>K5</x:v>
      </x:c>
      <x:c r="D264" s="53" t="str">
        <x:v>دفتر قبلی</x:v>
      </x:c>
      <x:c r="E264" s="53"/>
    </x:row>
    <x:row r="265" ht="15" hidden="0" customHeight="1">
      <x:c r="A265" s="53" t="str">
        <x:v>Anjoman accounting - refined.xlsx</x:v>
      </x:c>
      <x:c r="B265" s="53" t="str">
        <x:v>تراکنش‌ها</x:v>
      </x:c>
      <x:c r="C265" s="53" t="str">
        <x:v>L5</x:v>
      </x:c>
      <x:c r="D265" s="53" t="str">
        <x:v>LEDGER-MAJMOO-003</x:v>
      </x:c>
      <x:c r="E265" s="53"/>
    </x:row>
    <x:row r="266" ht="15" hidden="0" customHeight="1">
      <x:c r="A266" s="53" t="str">
        <x:v>Anjoman accounting - refined.xlsx</x:v>
      </x:c>
      <x:c r="B266" s="53" t="str">
        <x:v>تراکنش‌ها</x:v>
      </x:c>
      <x:c r="C266" s="53" t="str">
        <x:v>M5</x:v>
      </x:c>
      <x:c r="D266" s="53" t="str">
        <x:v>مبلغ از دفتر قبلی خوانده شد؛ نیازمند تطبیق نهایی با شواهد بانکی/رسید.</x:v>
      </x:c>
      <x:c r="E266" s="53"/>
    </x:row>
    <x:row r="267" ht="15" hidden="0" customHeight="1">
      <x:c r="A267" s="53" t="str">
        <x:v>Anjoman accounting - refined.xlsx</x:v>
      </x:c>
      <x:c r="B267" s="53" t="str">
        <x:v>تراکنش‌ها</x:v>
      </x:c>
      <x:c r="C267" s="53" t="str">
        <x:v>A6</x:v>
      </x:c>
      <x:c r="D267" s="53" t="str">
        <x:v>TX-00003</x:v>
      </x:c>
      <x:c r="E267" s="53"/>
    </x:row>
    <x:row r="268" ht="15" hidden="0" customHeight="1">
      <x:c r="A268" s="53" t="str">
        <x:v>Anjoman accounting - refined.xlsx</x:v>
      </x:c>
      <x:c r="B268" s="53" t="str">
        <x:v>تراکنش‌ها</x:v>
      </x:c>
      <x:c r="C268" s="53" t="str">
        <x:v>B6</x:v>
      </x:c>
      <x:c r="D268" s="53" t="str">
        <x:v>هزینه</x:v>
      </x:c>
      <x:c r="E268" s="53"/>
    </x:row>
    <x:row r="269" ht="15" hidden="0" customHeight="1">
      <x:c r="A269" s="53" t="str">
        <x:v>Anjoman accounting - refined.xlsx</x:v>
      </x:c>
      <x:c r="B269" s="53" t="str">
        <x:v>تراکنش‌ها</x:v>
      </x:c>
      <x:c r="C269" s="53" t="str">
        <x:v>C6</x:v>
      </x:c>
      <x:c r="D269" s="53" t="str">
        <x:v>مرداد</x:v>
      </x:c>
      <x:c r="E269" s="53"/>
    </x:row>
    <x:row r="270" ht="15" hidden="0" customHeight="1">
      <x:c r="A270" s="53" t="str">
        <x:v>Anjoman accounting - refined.xlsx</x:v>
      </x:c>
      <x:c r="B270" s="53" t="str">
        <x:v>تراکنش‌ها</x:v>
      </x:c>
      <x:c r="C270" s="53" t="str">
        <x:v>D6</x:v>
      </x:c>
      <x:c r="D270" s="53" t="str">
        <x:v>3000000</x:v>
      </x:c>
      <x:c r="E270" s="53"/>
    </x:row>
    <x:row r="271" ht="15" hidden="0" customHeight="1">
      <x:c r="A271" s="53" t="str">
        <x:v>Anjoman accounting - refined.xlsx</x:v>
      </x:c>
      <x:c r="B271" s="53" t="str">
        <x:v>تراکنش‌ها</x:v>
      </x:c>
      <x:c r="C271" s="53" t="str">
        <x:v>E6</x:v>
      </x:c>
      <x:c r="D271" s="53" t="str">
        <x:v>تومان</x:v>
      </x:c>
      <x:c r="E271" s="53"/>
    </x:row>
    <x:row r="272" ht="15" hidden="0" customHeight="1">
      <x:c r="A272" s="53" t="str">
        <x:v>Anjoman accounting - refined.xlsx</x:v>
      </x:c>
      <x:c r="B272" s="53" t="str">
        <x:v>تراکنش‌ها</x:v>
      </x:c>
      <x:c r="C272" s="53" t="str">
        <x:v>F6</x:v>
      </x:c>
      <x:c r="D272" s="53" t="str">
        <x:v>3000000</x:v>
      </x:c>
      <x:c r="E272" s="53"/>
    </x:row>
    <x:row r="273" ht="15" hidden="0" customHeight="1">
      <x:c r="A273" s="53" t="str">
        <x:v>Anjoman accounting - refined.xlsx</x:v>
      </x:c>
      <x:c r="B273" s="53" t="str">
        <x:v>تراکنش‌ها</x:v>
      </x:c>
      <x:c r="C273" s="53" t="str">
        <x:v>G6</x:v>
      </x:c>
      <x:c r="D273" s="53" t="str">
        <x:v>سهراب ملکی</x:v>
      </x:c>
      <x:c r="E273" s="53"/>
    </x:row>
    <x:row r="274" ht="15" hidden="0" customHeight="1">
      <x:c r="A274" s="53" t="str">
        <x:v>Anjoman accounting - refined.xlsx</x:v>
      </x:c>
      <x:c r="B274" s="53" t="str">
        <x:v>تراکنش‌ها</x:v>
      </x:c>
      <x:c r="C274" s="53" t="str">
        <x:v>H6</x:v>
      </x:c>
      <x:c r="D274" s="53" t="str">
        <x:v>حق التدریس دوره Mathemathica</x:v>
      </x:c>
      <x:c r="E274" s="53"/>
    </x:row>
    <x:row r="275" ht="15" hidden="0" customHeight="1">
      <x:c r="A275" s="53" t="str">
        <x:v>Anjoman accounting - refined.xlsx</x:v>
      </x:c>
      <x:c r="B275" s="53" t="str">
        <x:v>تراکنش‌ها</x:v>
      </x:c>
      <x:c r="C275" s="53" t="str">
        <x:v>I6</x:v>
      </x:c>
      <x:c r="D275" s="53" t="str">
        <x:v>هزینه / عملیاتی</x:v>
      </x:c>
      <x:c r="E275" s="53"/>
    </x:row>
    <x:row r="276" ht="15" hidden="0" customHeight="1">
      <x:c r="A276" s="53" t="str">
        <x:v>Anjoman accounting - refined.xlsx</x:v>
      </x:c>
      <x:c r="B276" s="53" t="str">
        <x:v>تراکنش‌ها</x:v>
      </x:c>
      <x:c r="C276" s="53" t="str">
        <x:v>J6</x:v>
      </x:c>
      <x:c r="D276" s="53" t="str">
        <x:v>تاییدشده</x:v>
      </x:c>
      <x:c r="E276" s="53"/>
    </x:row>
    <x:row r="277" ht="15" hidden="0" customHeight="1">
      <x:c r="A277" s="53" t="str">
        <x:v>Anjoman accounting - refined.xlsx</x:v>
      </x:c>
      <x:c r="B277" s="53" t="str">
        <x:v>تراکنش‌ها</x:v>
      </x:c>
      <x:c r="C277" s="53" t="str">
        <x:v>K6</x:v>
      </x:c>
      <x:c r="D277" s="53" t="str">
        <x:v>دفتر قبلی</x:v>
      </x:c>
      <x:c r="E277" s="53"/>
    </x:row>
    <x:row r="278" ht="15" hidden="0" customHeight="1">
      <x:c r="A278" s="53" t="str">
        <x:v>Anjoman accounting - refined.xlsx</x:v>
      </x:c>
      <x:c r="B278" s="53" t="str">
        <x:v>تراکنش‌ها</x:v>
      </x:c>
      <x:c r="C278" s="53" t="str">
        <x:v>L6</x:v>
      </x:c>
      <x:c r="D278" s="53" t="str">
        <x:v>LEDGER-MAJMOO-003</x:v>
      </x:c>
      <x:c r="E278" s="53"/>
    </x:row>
    <x:row r="279" ht="15" hidden="0" customHeight="1">
      <x:c r="A279" s="53" t="str">
        <x:v>Anjoman accounting - refined.xlsx</x:v>
      </x:c>
      <x:c r="B279" s="53" t="str">
        <x:v>تراکنش‌ها</x:v>
      </x:c>
      <x:c r="C279" s="53" t="str">
        <x:v>M6</x:v>
      </x:c>
      <x:c r="D279" s="53" t="str">
        <x:v>مبلغ از دفتر قبلی خوانده شد؛ نیازمند تطبیق نهایی با شواهد پرداخت.</x:v>
      </x:c>
      <x:c r="E279" s="53"/>
    </x:row>
    <x:row r="280" ht="15" hidden="0" customHeight="1">
      <x:c r="A280" s="53" t="str">
        <x:v>Anjoman accounting - refined.xlsx</x:v>
      </x:c>
      <x:c r="B280" s="53" t="str">
        <x:v>تراکنش‌ها</x:v>
      </x:c>
      <x:c r="C280" s="53" t="str">
        <x:v>A7</x:v>
      </x:c>
      <x:c r="D280" s="53" t="str">
        <x:v>TX-00004</x:v>
      </x:c>
      <x:c r="E280" s="53"/>
    </x:row>
    <x:row r="281" ht="15" hidden="0" customHeight="1">
      <x:c r="A281" s="53" t="str">
        <x:v>Anjoman accounting - refined.xlsx</x:v>
      </x:c>
      <x:c r="B281" s="53" t="str">
        <x:v>تراکنش‌ها</x:v>
      </x:c>
      <x:c r="C281" s="53" t="str">
        <x:v>B7</x:v>
      </x:c>
      <x:c r="D281" s="53" t="str">
        <x:v>هزینه</x:v>
      </x:c>
      <x:c r="E281" s="53"/>
    </x:row>
    <x:row r="282" ht="15" hidden="0" customHeight="1">
      <x:c r="A282" s="53" t="str">
        <x:v>Anjoman accounting - refined.xlsx</x:v>
      </x:c>
      <x:c r="B282" s="53" t="str">
        <x:v>تراکنش‌ها</x:v>
      </x:c>
      <x:c r="C282" s="53" t="str">
        <x:v>C7</x:v>
      </x:c>
      <x:c r="D282" s="53" t="str">
        <x:v>مرداد</x:v>
      </x:c>
      <x:c r="E282" s="53"/>
    </x:row>
    <x:row r="283" ht="15" hidden="0" customHeight="1">
      <x:c r="A283" s="53" t="str">
        <x:v>Anjoman accounting - refined.xlsx</x:v>
      </x:c>
      <x:c r="B283" s="53" t="str">
        <x:v>تراکنش‌ها</x:v>
      </x:c>
      <x:c r="C283" s="53" t="str">
        <x:v>D7</x:v>
      </x:c>
      <x:c r="D283" s="53" t="str">
        <x:v>3700000</x:v>
      </x:c>
      <x:c r="E283" s="53"/>
    </x:row>
    <x:row r="284" ht="15" hidden="0" customHeight="1">
      <x:c r="A284" s="53" t="str">
        <x:v>Anjoman accounting - refined.xlsx</x:v>
      </x:c>
      <x:c r="B284" s="53" t="str">
        <x:v>تراکنش‌ها</x:v>
      </x:c>
      <x:c r="C284" s="53" t="str">
        <x:v>E7</x:v>
      </x:c>
      <x:c r="D284" s="53" t="str">
        <x:v>تومان</x:v>
      </x:c>
      <x:c r="E284" s="53"/>
    </x:row>
    <x:row r="285" ht="15" hidden="0" customHeight="1">
      <x:c r="A285" s="53" t="str">
        <x:v>Anjoman accounting - refined.xlsx</x:v>
      </x:c>
      <x:c r="B285" s="53" t="str">
        <x:v>تراکنش‌ها</x:v>
      </x:c>
      <x:c r="C285" s="53" t="str">
        <x:v>F7</x:v>
      </x:c>
      <x:c r="D285" s="53" t="str">
        <x:v>3700000</x:v>
      </x:c>
      <x:c r="E285" s="53"/>
    </x:row>
    <x:row r="286" ht="15" hidden="0" customHeight="1">
      <x:c r="A286" s="53" t="str">
        <x:v>Anjoman accounting - refined.xlsx</x:v>
      </x:c>
      <x:c r="B286" s="53" t="str">
        <x:v>تراکنش‌ها</x:v>
      </x:c>
      <x:c r="C286" s="53" t="str">
        <x:v>G7</x:v>
      </x:c>
      <x:c r="D286" s="53" t="str">
        <x:v>متین جوکار</x:v>
      </x:c>
      <x:c r="E286" s="53"/>
    </x:row>
    <x:row r="287" ht="15" hidden="0" customHeight="1">
      <x:c r="A287" s="53" t="str">
        <x:v>Anjoman accounting - refined.xlsx</x:v>
      </x:c>
      <x:c r="B287" s="53" t="str">
        <x:v>تراکنش‌ها</x:v>
      </x:c>
      <x:c r="C287" s="53" t="str">
        <x:v>H7</x:v>
      </x:c>
      <x:c r="D287" s="53" t="str">
        <x:v>حق التدریس دوره Latex</x:v>
      </x:c>
      <x:c r="E287" s="53"/>
    </x:row>
    <x:row r="288" ht="15" hidden="0" customHeight="1">
      <x:c r="A288" s="53" t="str">
        <x:v>Anjoman accounting - refined.xlsx</x:v>
      </x:c>
      <x:c r="B288" s="53" t="str">
        <x:v>تراکنش‌ها</x:v>
      </x:c>
      <x:c r="C288" s="53" t="str">
        <x:v>I7</x:v>
      </x:c>
      <x:c r="D288" s="53" t="str">
        <x:v>هزینه / عملیاتی</x:v>
      </x:c>
      <x:c r="E288" s="53"/>
    </x:row>
    <x:row r="289" ht="15" hidden="0" customHeight="1">
      <x:c r="A289" s="53" t="str">
        <x:v>Anjoman accounting - refined.xlsx</x:v>
      </x:c>
      <x:c r="B289" s="53" t="str">
        <x:v>تراکنش‌ها</x:v>
      </x:c>
      <x:c r="C289" s="53" t="str">
        <x:v>J7</x:v>
      </x:c>
      <x:c r="D289" s="53" t="str">
        <x:v>تاییدشده</x:v>
      </x:c>
      <x:c r="E289" s="53"/>
    </x:row>
    <x:row r="290" ht="15" hidden="0" customHeight="1">
      <x:c r="A290" s="53" t="str">
        <x:v>Anjoman accounting - refined.xlsx</x:v>
      </x:c>
      <x:c r="B290" s="53" t="str">
        <x:v>تراکنش‌ها</x:v>
      </x:c>
      <x:c r="C290" s="53" t="str">
        <x:v>K7</x:v>
      </x:c>
      <x:c r="D290" s="53" t="str">
        <x:v>دفتر قبلی</x:v>
      </x:c>
      <x:c r="E290" s="53"/>
    </x:row>
    <x:row r="291" ht="15" hidden="0" customHeight="1">
      <x:c r="A291" s="53" t="str">
        <x:v>Anjoman accounting - refined.xlsx</x:v>
      </x:c>
      <x:c r="B291" s="53" t="str">
        <x:v>تراکنش‌ها</x:v>
      </x:c>
      <x:c r="C291" s="53" t="str">
        <x:v>L7</x:v>
      </x:c>
      <x:c r="D291" s="53" t="str">
        <x:v>LEDGER-MAJMOO-004</x:v>
      </x:c>
      <x:c r="E291" s="53"/>
    </x:row>
    <x:row r="292" ht="15" hidden="0" customHeight="1">
      <x:c r="A292" s="53" t="str">
        <x:v>Anjoman accounting - refined.xlsx</x:v>
      </x:c>
      <x:c r="B292" s="53" t="str">
        <x:v>تراکنش‌ها</x:v>
      </x:c>
      <x:c r="C292" s="53" t="str">
        <x:v>M7</x:v>
      </x:c>
      <x:c r="D292" s="53" t="str">
        <x:v>مبلغ از دفتر قبلی خوانده شد؛ نیازمند تطبیق نهایی با شواهد پرداخت.</x:v>
      </x:c>
      <x:c r="E292" s="53"/>
    </x:row>
    <x:row r="293" ht="15" hidden="0" customHeight="1">
      <x:c r="A293" s="53" t="str">
        <x:v>Anjoman accounting - refined.xlsx</x:v>
      </x:c>
      <x:c r="B293" s="53" t="str">
        <x:v>تراکنش‌ها</x:v>
      </x:c>
      <x:c r="C293" s="53" t="str">
        <x:v>A8</x:v>
      </x:c>
      <x:c r="D293" s="53" t="str">
        <x:v>TX-00005</x:v>
      </x:c>
      <x:c r="E293" s="53"/>
    </x:row>
    <x:row r="294" ht="15" hidden="0" customHeight="1">
      <x:c r="A294" s="53" t="str">
        <x:v>Anjoman accounting - refined.xlsx</x:v>
      </x:c>
      <x:c r="B294" s="53" t="str">
        <x:v>تراکنش‌ها</x:v>
      </x:c>
      <x:c r="C294" s="53" t="str">
        <x:v>B8</x:v>
      </x:c>
      <x:c r="D294" s="53" t="str">
        <x:v>هزینه</x:v>
      </x:c>
      <x:c r="E294" s="53"/>
    </x:row>
    <x:row r="295" ht="15" hidden="0" customHeight="1">
      <x:c r="A295" s="53" t="str">
        <x:v>Anjoman accounting - refined.xlsx</x:v>
      </x:c>
      <x:c r="B295" s="53" t="str">
        <x:v>تراکنش‌ها</x:v>
      </x:c>
      <x:c r="C295" s="53" t="str">
        <x:v>C8</x:v>
      </x:c>
      <x:c r="D295" s="53" t="str">
        <x:v>مرداد</x:v>
      </x:c>
      <x:c r="E295" s="53"/>
    </x:row>
    <x:row r="296" ht="15" hidden="0" customHeight="1">
      <x:c r="A296" s="53" t="str">
        <x:v>Anjoman accounting - refined.xlsx</x:v>
      </x:c>
      <x:c r="B296" s="53" t="str">
        <x:v>تراکنش‌ها</x:v>
      </x:c>
      <x:c r="C296" s="53" t="str">
        <x:v>D8</x:v>
      </x:c>
      <x:c r="D296" s="53" t="str">
        <x:v>500000</x:v>
      </x:c>
      <x:c r="E296" s="53"/>
    </x:row>
    <x:row r="297" ht="15" hidden="0" customHeight="1">
      <x:c r="A297" s="53" t="str">
        <x:v>Anjoman accounting - refined.xlsx</x:v>
      </x:c>
      <x:c r="B297" s="53" t="str">
        <x:v>تراکنش‌ها</x:v>
      </x:c>
      <x:c r="C297" s="53" t="str">
        <x:v>E8</x:v>
      </x:c>
      <x:c r="D297" s="53" t="str">
        <x:v>تومان</x:v>
      </x:c>
      <x:c r="E297" s="53"/>
    </x:row>
    <x:row r="298" ht="15" hidden="0" customHeight="1">
      <x:c r="A298" s="53" t="str">
        <x:v>Anjoman accounting - refined.xlsx</x:v>
      </x:c>
      <x:c r="B298" s="53" t="str">
        <x:v>تراکنش‌ها</x:v>
      </x:c>
      <x:c r="C298" s="53" t="str">
        <x:v>F8</x:v>
      </x:c>
      <x:c r="D298" s="53" t="str">
        <x:v>500000</x:v>
      </x:c>
      <x:c r="E298" s="53"/>
    </x:row>
    <x:row r="299" ht="15" hidden="0" customHeight="1">
      <x:c r="A299" s="53" t="str">
        <x:v>Anjoman accounting - refined.xlsx</x:v>
      </x:c>
      <x:c r="B299" s="53" t="str">
        <x:v>تراکنش‌ها</x:v>
      </x:c>
      <x:c r="C299" s="53" t="str">
        <x:v>G8</x:v>
      </x:c>
      <x:c r="D299" s="53" t="str">
        <x:v>ابراهیم خسروانی</x:v>
      </x:c>
      <x:c r="E299" s="53"/>
    </x:row>
    <x:row r="300" ht="15" hidden="0" customHeight="1">
      <x:c r="A300" s="53" t="str">
        <x:v>Anjoman accounting - refined.xlsx</x:v>
      </x:c>
      <x:c r="B300" s="53" t="str">
        <x:v>تراکنش‌ها</x:v>
      </x:c>
      <x:c r="C300" s="53" t="str">
        <x:v>H8</x:v>
      </x:c>
      <x:c r="D300" s="53" t="str">
        <x:v>TA، فرم و شیت مدرسه تابستانه</x:v>
      </x:c>
      <x:c r="E300" s="53"/>
    </x:row>
    <x:row r="301" ht="15" hidden="0" customHeight="1">
      <x:c r="A301" s="53" t="str">
        <x:v>Anjoman accounting - refined.xlsx</x:v>
      </x:c>
      <x:c r="B301" s="53" t="str">
        <x:v>تراکنش‌ها</x:v>
      </x:c>
      <x:c r="C301" s="53" t="str">
        <x:v>I8</x:v>
      </x:c>
      <x:c r="D301" s="53" t="str">
        <x:v>هزینه / عملیاتی</x:v>
      </x:c>
      <x:c r="E301" s="53"/>
    </x:row>
    <x:row r="302" ht="15" hidden="0" customHeight="1">
      <x:c r="A302" s="53" t="str">
        <x:v>Anjoman accounting - refined.xlsx</x:v>
      </x:c>
      <x:c r="B302" s="53" t="str">
        <x:v>تراکنش‌ها</x:v>
      </x:c>
      <x:c r="C302" s="53" t="str">
        <x:v>J8</x:v>
      </x:c>
      <x:c r="D302" s="53" t="str">
        <x:v>تاییدشده</x:v>
      </x:c>
      <x:c r="E302" s="53"/>
    </x:row>
    <x:row r="303" ht="15" hidden="0" customHeight="1">
      <x:c r="A303" s="53" t="str">
        <x:v>Anjoman accounting - refined.xlsx</x:v>
      </x:c>
      <x:c r="B303" s="53" t="str">
        <x:v>تراکنش‌ها</x:v>
      </x:c>
      <x:c r="C303" s="53" t="str">
        <x:v>K8</x:v>
      </x:c>
      <x:c r="D303" s="53" t="str">
        <x:v>دفتر قبلی</x:v>
      </x:c>
      <x:c r="E303" s="53"/>
    </x:row>
    <x:row r="304" ht="15" hidden="0" customHeight="1">
      <x:c r="A304" s="53" t="str">
        <x:v>Anjoman accounting - refined.xlsx</x:v>
      </x:c>
      <x:c r="B304" s="53" t="str">
        <x:v>تراکنش‌ها</x:v>
      </x:c>
      <x:c r="C304" s="53" t="str">
        <x:v>L8</x:v>
      </x:c>
      <x:c r="D304" s="53" t="str">
        <x:v>LEDGER-MAJMOO-005</x:v>
      </x:c>
      <x:c r="E304" s="53"/>
    </x:row>
    <x:row r="305" ht="15" hidden="0" customHeight="1">
      <x:c r="A305" s="53" t="str">
        <x:v>Anjoman accounting - refined.xlsx</x:v>
      </x:c>
      <x:c r="B305" s="53" t="str">
        <x:v>تراکنش‌ها</x:v>
      </x:c>
      <x:c r="C305" s="53" t="str">
        <x:v>M8</x:v>
      </x:c>
      <x:c r="D305" s="53" t="str">
        <x:v>مبلغ از دفتر قبلی خوانده شد؛ نیازمند تطبیق نهایی با شواهد پرداخت.</x:v>
      </x:c>
      <x:c r="E305" s="53"/>
    </x:row>
    <x:row r="306" ht="15" hidden="0" customHeight="1">
      <x:c r="A306" s="53" t="str">
        <x:v>Anjoman accounting - refined.xlsx</x:v>
      </x:c>
      <x:c r="B306" s="53" t="str">
        <x:v>تراکنش‌ها</x:v>
      </x:c>
      <x:c r="C306" s="53" t="str">
        <x:v>A9</x:v>
      </x:c>
      <x:c r="D306" s="53" t="str">
        <x:v>TX-00006</x:v>
      </x:c>
      <x:c r="E306" s="53"/>
    </x:row>
    <x:row r="307" ht="15" hidden="0" customHeight="1">
      <x:c r="A307" s="53" t="str">
        <x:v>Anjoman accounting - refined.xlsx</x:v>
      </x:c>
      <x:c r="B307" s="53" t="str">
        <x:v>تراکنش‌ها</x:v>
      </x:c>
      <x:c r="C307" s="53" t="str">
        <x:v>B9</x:v>
      </x:c>
      <x:c r="D307" s="53" t="str">
        <x:v>هزینه</x:v>
      </x:c>
      <x:c r="E307" s="53"/>
    </x:row>
    <x:row r="308" ht="15" hidden="0" customHeight="1">
      <x:c r="A308" s="53" t="str">
        <x:v>Anjoman accounting - refined.xlsx</x:v>
      </x:c>
      <x:c r="B308" s="53" t="str">
        <x:v>تراکنش‌ها</x:v>
      </x:c>
      <x:c r="C308" s="53" t="str">
        <x:v>C9</x:v>
      </x:c>
      <x:c r="D308" s="53" t="str">
        <x:v>مرداد</x:v>
      </x:c>
      <x:c r="E308" s="53"/>
    </x:row>
    <x:row r="309" ht="15" hidden="0" customHeight="1">
      <x:c r="A309" s="53" t="str">
        <x:v>Anjoman accounting - refined.xlsx</x:v>
      </x:c>
      <x:c r="B309" s="53" t="str">
        <x:v>تراکنش‌ها</x:v>
      </x:c>
      <x:c r="C309" s="53" t="str">
        <x:v>D9</x:v>
      </x:c>
      <x:c r="D309" s="53" t="str">
        <x:v>600000</x:v>
      </x:c>
      <x:c r="E309" s="53"/>
    </x:row>
    <x:row r="310" ht="15" hidden="0" customHeight="1">
      <x:c r="A310" s="53" t="str">
        <x:v>Anjoman accounting - refined.xlsx</x:v>
      </x:c>
      <x:c r="B310" s="53" t="str">
        <x:v>تراکنش‌ها</x:v>
      </x:c>
      <x:c r="C310" s="53" t="str">
        <x:v>E9</x:v>
      </x:c>
      <x:c r="D310" s="53" t="str">
        <x:v>تومان</x:v>
      </x:c>
      <x:c r="E310" s="53"/>
    </x:row>
    <x:row r="311" ht="15" hidden="0" customHeight="1">
      <x:c r="A311" s="53" t="str">
        <x:v>Anjoman accounting - refined.xlsx</x:v>
      </x:c>
      <x:c r="B311" s="53" t="str">
        <x:v>تراکنش‌ها</x:v>
      </x:c>
      <x:c r="C311" s="53" t="str">
        <x:v>F9</x:v>
      </x:c>
      <x:c r="D311" s="53" t="str">
        <x:v>600000</x:v>
      </x:c>
      <x:c r="E311" s="53"/>
    </x:row>
    <x:row r="312" ht="15" hidden="0" customHeight="1">
      <x:c r="A312" s="53" t="str">
        <x:v>Anjoman accounting - refined.xlsx</x:v>
      </x:c>
      <x:c r="B312" s="53" t="str">
        <x:v>تراکنش‌ها</x:v>
      </x:c>
      <x:c r="C312" s="53" t="str">
        <x:v>G9</x:v>
      </x:c>
      <x:c r="D312" s="53" t="str">
        <x:v>سپهر طلایی</x:v>
      </x:c>
      <x:c r="E312" s="53"/>
    </x:row>
    <x:row r="313" ht="15" hidden="0" customHeight="1">
      <x:c r="A313" s="53" t="str">
        <x:v>Anjoman accounting - refined.xlsx</x:v>
      </x:c>
      <x:c r="B313" s="53" t="str">
        <x:v>تراکنش‌ها</x:v>
      </x:c>
      <x:c r="C313" s="53" t="str">
        <x:v>H9</x:v>
      </x:c>
      <x:c r="D313" s="53" t="str">
        <x:v>TA پایتون، پشتیبانی ثبت نام</x:v>
      </x:c>
      <x:c r="E313" s="53"/>
    </x:row>
    <x:row r="314" ht="15" hidden="0" customHeight="1">
      <x:c r="A314" s="53" t="str">
        <x:v>Anjoman accounting - refined.xlsx</x:v>
      </x:c>
      <x:c r="B314" s="53" t="str">
        <x:v>تراکنش‌ها</x:v>
      </x:c>
      <x:c r="C314" s="53" t="str">
        <x:v>I9</x:v>
      </x:c>
      <x:c r="D314" s="53" t="str">
        <x:v>هزینه / عملیاتی</x:v>
      </x:c>
      <x:c r="E314" s="53"/>
    </x:row>
    <x:row r="315" ht="15" hidden="0" customHeight="1">
      <x:c r="A315" s="53" t="str">
        <x:v>Anjoman accounting - refined.xlsx</x:v>
      </x:c>
      <x:c r="B315" s="53" t="str">
        <x:v>تراکنش‌ها</x:v>
      </x:c>
      <x:c r="C315" s="53" t="str">
        <x:v>J9</x:v>
      </x:c>
      <x:c r="D315" s="53" t="str">
        <x:v>تاییدشده</x:v>
      </x:c>
      <x:c r="E315" s="53"/>
    </x:row>
    <x:row r="316" ht="15" hidden="0" customHeight="1">
      <x:c r="A316" s="53" t="str">
        <x:v>Anjoman accounting - refined.xlsx</x:v>
      </x:c>
      <x:c r="B316" s="53" t="str">
        <x:v>تراکنش‌ها</x:v>
      </x:c>
      <x:c r="C316" s="53" t="str">
        <x:v>K9</x:v>
      </x:c>
      <x:c r="D316" s="53" t="str">
        <x:v>دفتر قبلی</x:v>
      </x:c>
      <x:c r="E316" s="53"/>
    </x:row>
    <x:row r="317" ht="15" hidden="0" customHeight="1">
      <x:c r="A317" s="53" t="str">
        <x:v>Anjoman accounting - refined.xlsx</x:v>
      </x:c>
      <x:c r="B317" s="53" t="str">
        <x:v>تراکنش‌ها</x:v>
      </x:c>
      <x:c r="C317" s="53" t="str">
        <x:v>L9</x:v>
      </x:c>
      <x:c r="D317" s="53" t="str">
        <x:v>LEDGER-MAJMOO-006</x:v>
      </x:c>
      <x:c r="E317" s="53"/>
    </x:row>
    <x:row r="318" ht="15" hidden="0" customHeight="1">
      <x:c r="A318" s="53" t="str">
        <x:v>Anjoman accounting - refined.xlsx</x:v>
      </x:c>
      <x:c r="B318" s="53" t="str">
        <x:v>تراکنش‌ها</x:v>
      </x:c>
      <x:c r="C318" s="53" t="str">
        <x:v>M9</x:v>
      </x:c>
      <x:c r="D318" s="53" t="str">
        <x:v>مبلغ از دفتر قبلی خوانده شد؛ نیازمند تطبیق نهایی با شواهد پرداخت.</x:v>
      </x:c>
      <x:c r="E318" s="53"/>
    </x:row>
    <x:row r="319" ht="15" hidden="0" customHeight="1">
      <x:c r="A319" s="53" t="str">
        <x:v>Anjoman accounting - refined.xlsx</x:v>
      </x:c>
      <x:c r="B319" s="53" t="str">
        <x:v>تراکنش‌ها</x:v>
      </x:c>
      <x:c r="C319" s="53" t="str">
        <x:v>A10</x:v>
      </x:c>
      <x:c r="D319" s="53" t="str">
        <x:v>TX-00007</x:v>
      </x:c>
      <x:c r="E319" s="53"/>
    </x:row>
    <x:row r="320" ht="15" hidden="0" customHeight="1">
      <x:c r="A320" s="53" t="str">
        <x:v>Anjoman accounting - refined.xlsx</x:v>
      </x:c>
      <x:c r="B320" s="53" t="str">
        <x:v>تراکنش‌ها</x:v>
      </x:c>
      <x:c r="C320" s="53" t="str">
        <x:v>B10</x:v>
      </x:c>
      <x:c r="D320" s="53" t="str">
        <x:v>هزینه</x:v>
      </x:c>
      <x:c r="E320" s="53"/>
    </x:row>
    <x:row r="321" ht="15" hidden="0" customHeight="1">
      <x:c r="A321" s="53" t="str">
        <x:v>Anjoman accounting - refined.xlsx</x:v>
      </x:c>
      <x:c r="B321" s="53" t="str">
        <x:v>تراکنش‌ها</x:v>
      </x:c>
      <x:c r="C321" s="53" t="str">
        <x:v>C10</x:v>
      </x:c>
      <x:c r="D321" s="53" t="str">
        <x:v>مرداد</x:v>
      </x:c>
      <x:c r="E321" s="53"/>
    </x:row>
    <x:row r="322" ht="15" hidden="0" customHeight="1">
      <x:c r="A322" s="53" t="str">
        <x:v>Anjoman accounting - refined.xlsx</x:v>
      </x:c>
      <x:c r="B322" s="53" t="str">
        <x:v>تراکنش‌ها</x:v>
      </x:c>
      <x:c r="C322" s="53" t="str">
        <x:v>D10</x:v>
      </x:c>
      <x:c r="D322" s="53" t="str">
        <x:v>600000</x:v>
      </x:c>
      <x:c r="E322" s="53"/>
    </x:row>
    <x:row r="323" ht="15" hidden="0" customHeight="1">
      <x:c r="A323" s="53" t="str">
        <x:v>Anjoman accounting - refined.xlsx</x:v>
      </x:c>
      <x:c r="B323" s="53" t="str">
        <x:v>تراکنش‌ها</x:v>
      </x:c>
      <x:c r="C323" s="53" t="str">
        <x:v>E10</x:v>
      </x:c>
      <x:c r="D323" s="53" t="str">
        <x:v>تومان</x:v>
      </x:c>
      <x:c r="E323" s="53"/>
    </x:row>
    <x:row r="324" ht="15" hidden="0" customHeight="1">
      <x:c r="A324" s="53" t="str">
        <x:v>Anjoman accounting - refined.xlsx</x:v>
      </x:c>
      <x:c r="B324" s="53" t="str">
        <x:v>تراکنش‌ها</x:v>
      </x:c>
      <x:c r="C324" s="53" t="str">
        <x:v>F10</x:v>
      </x:c>
      <x:c r="D324" s="53" t="str">
        <x:v>600000</x:v>
      </x:c>
      <x:c r="E324" s="53"/>
    </x:row>
    <x:row r="325" ht="15" hidden="0" customHeight="1">
      <x:c r="A325" s="53" t="str">
        <x:v>Anjoman accounting - refined.xlsx</x:v>
      </x:c>
      <x:c r="B325" s="53" t="str">
        <x:v>تراکنش‌ها</x:v>
      </x:c>
      <x:c r="C325" s="53" t="str">
        <x:v>G10</x:v>
      </x:c>
      <x:c r="D325" s="53" t="str">
        <x:v>محمدامین عزیزی</x:v>
      </x:c>
      <x:c r="E325" s="53"/>
    </x:row>
    <x:row r="326" ht="15" hidden="0" customHeight="1">
      <x:c r="A326" s="53" t="str">
        <x:v>Anjoman accounting - refined.xlsx</x:v>
      </x:c>
      <x:c r="B326" s="53" t="str">
        <x:v>تراکنش‌ها</x:v>
      </x:c>
      <x:c r="C326" s="53" t="str">
        <x:v>H10</x:v>
      </x:c>
      <x:c r="D326" s="53" t="str">
        <x:v>TA پایتون، پشتیبانی ثبت نام، حسابداری مدرسه</x:v>
      </x:c>
      <x:c r="E326" s="53"/>
    </x:row>
    <x:row r="327" ht="15" hidden="0" customHeight="1">
      <x:c r="A327" s="53" t="str">
        <x:v>Anjoman accounting - refined.xlsx</x:v>
      </x:c>
      <x:c r="B327" s="53" t="str">
        <x:v>تراکنش‌ها</x:v>
      </x:c>
      <x:c r="C327" s="53" t="str">
        <x:v>I10</x:v>
      </x:c>
      <x:c r="D327" s="53" t="str">
        <x:v>هزینه / عملیاتی</x:v>
      </x:c>
      <x:c r="E327" s="53"/>
    </x:row>
    <x:row r="328" ht="15" hidden="0" customHeight="1">
      <x:c r="A328" s="53" t="str">
        <x:v>Anjoman accounting - refined.xlsx</x:v>
      </x:c>
      <x:c r="B328" s="53" t="str">
        <x:v>تراکنش‌ها</x:v>
      </x:c>
      <x:c r="C328" s="53" t="str">
        <x:v>J10</x:v>
      </x:c>
      <x:c r="D328" s="53" t="str">
        <x:v>تاییدشده</x:v>
      </x:c>
      <x:c r="E328" s="53"/>
    </x:row>
    <x:row r="329" ht="15" hidden="0" customHeight="1">
      <x:c r="A329" s="53" t="str">
        <x:v>Anjoman accounting - refined.xlsx</x:v>
      </x:c>
      <x:c r="B329" s="53" t="str">
        <x:v>تراکنش‌ها</x:v>
      </x:c>
      <x:c r="C329" s="53" t="str">
        <x:v>K10</x:v>
      </x:c>
      <x:c r="D329" s="53" t="str">
        <x:v>دفتر قبلی</x:v>
      </x:c>
      <x:c r="E329" s="53"/>
    </x:row>
    <x:row r="330" ht="15" hidden="0" customHeight="1">
      <x:c r="A330" s="53" t="str">
        <x:v>Anjoman accounting - refined.xlsx</x:v>
      </x:c>
      <x:c r="B330" s="53" t="str">
        <x:v>تراکنش‌ها</x:v>
      </x:c>
      <x:c r="C330" s="53" t="str">
        <x:v>L10</x:v>
      </x:c>
      <x:c r="D330" s="53" t="str">
        <x:v>LEDGER-MAJMOO-007</x:v>
      </x:c>
      <x:c r="E330" s="53"/>
    </x:row>
    <x:row r="331" ht="15" hidden="0" customHeight="1">
      <x:c r="A331" s="53" t="str">
        <x:v>Anjoman accounting - refined.xlsx</x:v>
      </x:c>
      <x:c r="B331" s="53" t="str">
        <x:v>تراکنش‌ها</x:v>
      </x:c>
      <x:c r="C331" s="53" t="str">
        <x:v>M10</x:v>
      </x:c>
      <x:c r="D331" s="53" t="str">
        <x:v>مبلغ از دفتر قبلی خوانده شد؛ نیازمند تطبیق نهایی با شواهد پرداخت.</x:v>
      </x:c>
      <x:c r="E331" s="53"/>
    </x:row>
    <x:row r="332" ht="15" hidden="0" customHeight="1">
      <x:c r="A332" s="53" t="str">
        <x:v>Anjoman accounting - refined.xlsx</x:v>
      </x:c>
      <x:c r="B332" s="53" t="str">
        <x:v>تراکنش‌ها</x:v>
      </x:c>
      <x:c r="C332" s="53" t="str">
        <x:v>A11</x:v>
      </x:c>
      <x:c r="D332" s="53" t="str">
        <x:v>TX-00008</x:v>
      </x:c>
      <x:c r="E332" s="53"/>
    </x:row>
    <x:row r="333" ht="15" hidden="0" customHeight="1">
      <x:c r="A333" s="53" t="str">
        <x:v>Anjoman accounting - refined.xlsx</x:v>
      </x:c>
      <x:c r="B333" s="53" t="str">
        <x:v>تراکنش‌ها</x:v>
      </x:c>
      <x:c r="C333" s="53" t="str">
        <x:v>B11</x:v>
      </x:c>
      <x:c r="D333" s="53" t="str">
        <x:v>هزینه</x:v>
      </x:c>
      <x:c r="E333" s="53"/>
    </x:row>
    <x:row r="334" ht="15" hidden="0" customHeight="1">
      <x:c r="A334" s="53" t="str">
        <x:v>Anjoman accounting - refined.xlsx</x:v>
      </x:c>
      <x:c r="B334" s="53" t="str">
        <x:v>تراکنش‌ها</x:v>
      </x:c>
      <x:c r="C334" s="53" t="str">
        <x:v>C11</x:v>
      </x:c>
      <x:c r="D334" s="53" t="str">
        <x:v>مرداد</x:v>
      </x:c>
      <x:c r="E334" s="53"/>
    </x:row>
    <x:row r="335" ht="15" hidden="0" customHeight="1">
      <x:c r="A335" s="53" t="str">
        <x:v>Anjoman accounting - refined.xlsx</x:v>
      </x:c>
      <x:c r="B335" s="53" t="str">
        <x:v>تراکنش‌ها</x:v>
      </x:c>
      <x:c r="C335" s="53" t="str">
        <x:v>D11</x:v>
      </x:c>
      <x:c r="D335" s="53" t="str">
        <x:v>300000</x:v>
      </x:c>
      <x:c r="E335" s="53"/>
    </x:row>
    <x:row r="336" ht="15" hidden="0" customHeight="1">
      <x:c r="A336" s="53" t="str">
        <x:v>Anjoman accounting - refined.xlsx</x:v>
      </x:c>
      <x:c r="B336" s="53" t="str">
        <x:v>تراکنش‌ها</x:v>
      </x:c>
      <x:c r="C336" s="53" t="str">
        <x:v>E11</x:v>
      </x:c>
      <x:c r="D336" s="53" t="str">
        <x:v>تومان</x:v>
      </x:c>
      <x:c r="E336" s="53"/>
    </x:row>
    <x:row r="337" ht="15" hidden="0" customHeight="1">
      <x:c r="A337" s="53" t="str">
        <x:v>Anjoman accounting - refined.xlsx</x:v>
      </x:c>
      <x:c r="B337" s="53" t="str">
        <x:v>تراکنش‌ها</x:v>
      </x:c>
      <x:c r="C337" s="53" t="str">
        <x:v>F11</x:v>
      </x:c>
      <x:c r="D337" s="53" t="str">
        <x:v>300000</x:v>
      </x:c>
      <x:c r="E337" s="53"/>
    </x:row>
    <x:row r="338" ht="15" hidden="0" customHeight="1">
      <x:c r="A338" s="53" t="str">
        <x:v>Anjoman accounting - refined.xlsx</x:v>
      </x:c>
      <x:c r="B338" s="53" t="str">
        <x:v>تراکنش‌ها</x:v>
      </x:c>
      <x:c r="C338" s="53" t="str">
        <x:v>G11</x:v>
      </x:c>
      <x:c r="D338" s="53" t="str">
        <x:v>متین جوکار</x:v>
      </x:c>
      <x:c r="E338" s="53"/>
    </x:row>
    <x:row r="339" ht="15" hidden="0" customHeight="1">
      <x:c r="A339" s="53" t="str">
        <x:v>Anjoman accounting - refined.xlsx</x:v>
      </x:c>
      <x:c r="B339" s="53" t="str">
        <x:v>تراکنش‌ها</x:v>
      </x:c>
      <x:c r="C339" s="53" t="str">
        <x:v>H11</x:v>
      </x:c>
      <x:c r="D339" s="53" t="str">
        <x:v>ضبط جبرانی جلسه3 لتک</x:v>
      </x:c>
      <x:c r="E339" s="53"/>
    </x:row>
    <x:row r="340" ht="15" hidden="0" customHeight="1">
      <x:c r="A340" s="53" t="str">
        <x:v>Anjoman accounting - refined.xlsx</x:v>
      </x:c>
      <x:c r="B340" s="53" t="str">
        <x:v>تراکنش‌ها</x:v>
      </x:c>
      <x:c r="C340" s="53" t="str">
        <x:v>I11</x:v>
      </x:c>
      <x:c r="D340" s="53" t="str">
        <x:v>هزینه / عملیاتی</x:v>
      </x:c>
      <x:c r="E340" s="53"/>
    </x:row>
    <x:row r="341" ht="15" hidden="0" customHeight="1">
      <x:c r="A341" s="53" t="str">
        <x:v>Anjoman accounting - refined.xlsx</x:v>
      </x:c>
      <x:c r="B341" s="53" t="str">
        <x:v>تراکنش‌ها</x:v>
      </x:c>
      <x:c r="C341" s="53" t="str">
        <x:v>J11</x:v>
      </x:c>
      <x:c r="D341" s="53" t="str">
        <x:v>تاییدشده</x:v>
      </x:c>
      <x:c r="E341" s="53"/>
    </x:row>
    <x:row r="342" ht="15" hidden="0" customHeight="1">
      <x:c r="A342" s="53" t="str">
        <x:v>Anjoman accounting - refined.xlsx</x:v>
      </x:c>
      <x:c r="B342" s="53" t="str">
        <x:v>تراکنش‌ها</x:v>
      </x:c>
      <x:c r="C342" s="53" t="str">
        <x:v>K11</x:v>
      </x:c>
      <x:c r="D342" s="53" t="str">
        <x:v>دفتر قبلی</x:v>
      </x:c>
      <x:c r="E342" s="53"/>
    </x:row>
    <x:row r="343" ht="15" hidden="0" customHeight="1">
      <x:c r="A343" s="53" t="str">
        <x:v>Anjoman accounting - refined.xlsx</x:v>
      </x:c>
      <x:c r="B343" s="53" t="str">
        <x:v>تراکنش‌ها</x:v>
      </x:c>
      <x:c r="C343" s="53" t="str">
        <x:v>L11</x:v>
      </x:c>
      <x:c r="D343" s="53" t="str">
        <x:v>LEDGER-MAJMOO-008</x:v>
      </x:c>
      <x:c r="E343" s="53"/>
    </x:row>
    <x:row r="344" ht="15" hidden="0" customHeight="1">
      <x:c r="A344" s="53" t="str">
        <x:v>Anjoman accounting - refined.xlsx</x:v>
      </x:c>
      <x:c r="B344" s="53" t="str">
        <x:v>تراکنش‌ها</x:v>
      </x:c>
      <x:c r="C344" s="53" t="str">
        <x:v>M11</x:v>
      </x:c>
      <x:c r="D344" s="53" t="str">
        <x:v>مبلغ از دفتر قبلی خوانده شد؛ نیازمند تطبیق نهایی با شواهد پرداخت.</x:v>
      </x:c>
      <x:c r="E344" s="53"/>
    </x:row>
    <x:row r="345" ht="15" hidden="0" customHeight="1">
      <x:c r="A345" s="53" t="str">
        <x:v>Anjoman accounting - refined.xlsx</x:v>
      </x:c>
      <x:c r="B345" s="53" t="str">
        <x:v>تراکنش‌ها</x:v>
      </x:c>
      <x:c r="C345" s="53" t="str">
        <x:v>A12</x:v>
      </x:c>
      <x:c r="D345" s="53" t="str">
        <x:v>TX-00009</x:v>
      </x:c>
      <x:c r="E345" s="53"/>
    </x:row>
    <x:row r="346" ht="15" hidden="0" customHeight="1">
      <x:c r="A346" s="53" t="str">
        <x:v>Anjoman accounting - refined.xlsx</x:v>
      </x:c>
      <x:c r="B346" s="53" t="str">
        <x:v>تراکنش‌ها</x:v>
      </x:c>
      <x:c r="C346" s="53" t="str">
        <x:v>B12</x:v>
      </x:c>
      <x:c r="D346" s="53" t="str">
        <x:v>هزینه</x:v>
      </x:c>
      <x:c r="E346" s="53"/>
    </x:row>
    <x:row r="347" ht="15" hidden="0" customHeight="1">
      <x:c r="A347" s="53" t="str">
        <x:v>Anjoman accounting - refined.xlsx</x:v>
      </x:c>
      <x:c r="B347" s="53" t="str">
        <x:v>تراکنش‌ها</x:v>
      </x:c>
      <x:c r="C347" s="53" t="str">
        <x:v>C12</x:v>
      </x:c>
      <x:c r="D347" s="53" t="str">
        <x:v>مرداد</x:v>
      </x:c>
      <x:c r="E347" s="53"/>
    </x:row>
    <x:row r="348" ht="15" hidden="0" customHeight="1">
      <x:c r="A348" s="53" t="str">
        <x:v>Anjoman accounting - refined.xlsx</x:v>
      </x:c>
      <x:c r="B348" s="53" t="str">
        <x:v>تراکنش‌ها</x:v>
      </x:c>
      <x:c r="C348" s="53" t="str">
        <x:v>D12</x:v>
      </x:c>
      <x:c r="D348" s="53" t="str">
        <x:v>400000</x:v>
      </x:c>
      <x:c r="E348" s="53"/>
    </x:row>
    <x:row r="349" ht="15" hidden="0" customHeight="1">
      <x:c r="A349" s="53" t="str">
        <x:v>Anjoman accounting - refined.xlsx</x:v>
      </x:c>
      <x:c r="B349" s="53" t="str">
        <x:v>تراکنش‌ها</x:v>
      </x:c>
      <x:c r="C349" s="53" t="str">
        <x:v>E12</x:v>
      </x:c>
      <x:c r="D349" s="53" t="str">
        <x:v>تومان</x:v>
      </x:c>
      <x:c r="E349" s="53"/>
    </x:row>
    <x:row r="350" ht="15" hidden="0" customHeight="1">
      <x:c r="A350" s="53" t="str">
        <x:v>Anjoman accounting - refined.xlsx</x:v>
      </x:c>
      <x:c r="B350" s="53" t="str">
        <x:v>تراکنش‌ها</x:v>
      </x:c>
      <x:c r="C350" s="53" t="str">
        <x:v>F12</x:v>
      </x:c>
      <x:c r="D350" s="53" t="str">
        <x:v>400000</x:v>
      </x:c>
      <x:c r="E350" s="53"/>
    </x:row>
    <x:row r="351" ht="15" hidden="0" customHeight="1">
      <x:c r="A351" s="53" t="str">
        <x:v>Anjoman accounting - refined.xlsx</x:v>
      </x:c>
      <x:c r="B351" s="53" t="str">
        <x:v>تراکنش‌ها</x:v>
      </x:c>
      <x:c r="C351" s="53" t="str">
        <x:v>G12</x:v>
      </x:c>
      <x:c r="D351" s="53" t="str">
        <x:v>محمدحسین مشک افشان</x:v>
      </x:c>
      <x:c r="E351" s="53"/>
    </x:row>
    <x:row r="352" ht="15" hidden="0" customHeight="1">
      <x:c r="A352" s="53" t="str">
        <x:v>Anjoman accounting - refined.xlsx</x:v>
      </x:c>
      <x:c r="B352" s="53" t="str">
        <x:v>تراکنش‌ها</x:v>
      </x:c>
      <x:c r="C352" s="53" t="str">
        <x:v>H12</x:v>
      </x:c>
      <x:c r="D352" s="53" t="str">
        <x:v>تبلیغ مدرسه تابستانه در مهمات شریف</x:v>
      </x:c>
      <x:c r="E352" s="53"/>
    </x:row>
    <x:row r="353" ht="15" hidden="0" customHeight="1">
      <x:c r="A353" s="53" t="str">
        <x:v>Anjoman accounting - refined.xlsx</x:v>
      </x:c>
      <x:c r="B353" s="53" t="str">
        <x:v>تراکنش‌ها</x:v>
      </x:c>
      <x:c r="C353" s="53" t="str">
        <x:v>I12</x:v>
      </x:c>
      <x:c r="D353" s="53" t="str">
        <x:v>هزینه / عملیاتی</x:v>
      </x:c>
      <x:c r="E353" s="53"/>
    </x:row>
    <x:row r="354" ht="15" hidden="0" customHeight="1">
      <x:c r="A354" s="53" t="str">
        <x:v>Anjoman accounting - refined.xlsx</x:v>
      </x:c>
      <x:c r="B354" s="53" t="str">
        <x:v>تراکنش‌ها</x:v>
      </x:c>
      <x:c r="C354" s="53" t="str">
        <x:v>J12</x:v>
      </x:c>
      <x:c r="D354" s="53" t="str">
        <x:v>تاییدشده</x:v>
      </x:c>
      <x:c r="E354" s="53"/>
    </x:row>
    <x:row r="355" ht="15" hidden="0" customHeight="1">
      <x:c r="A355" s="53" t="str">
        <x:v>Anjoman accounting - refined.xlsx</x:v>
      </x:c>
      <x:c r="B355" s="53" t="str">
        <x:v>تراکنش‌ها</x:v>
      </x:c>
      <x:c r="C355" s="53" t="str">
        <x:v>K12</x:v>
      </x:c>
      <x:c r="D355" s="53" t="str">
        <x:v>دفتر قبلی</x:v>
      </x:c>
      <x:c r="E355" s="53"/>
    </x:row>
    <x:row r="356" ht="15" hidden="0" customHeight="1">
      <x:c r="A356" s="53" t="str">
        <x:v>Anjoman accounting - refined.xlsx</x:v>
      </x:c>
      <x:c r="B356" s="53" t="str">
        <x:v>تراکنش‌ها</x:v>
      </x:c>
      <x:c r="C356" s="53" t="str">
        <x:v>L12</x:v>
      </x:c>
      <x:c r="D356" s="53" t="str">
        <x:v>LEDGER-MAJMOO-009</x:v>
      </x:c>
      <x:c r="E356" s="53"/>
    </x:row>
    <x:row r="357" ht="15" hidden="0" customHeight="1">
      <x:c r="A357" s="53" t="str">
        <x:v>Anjoman accounting - refined.xlsx</x:v>
      </x:c>
      <x:c r="B357" s="53" t="str">
        <x:v>تراکنش‌ها</x:v>
      </x:c>
      <x:c r="C357" s="53" t="str">
        <x:v>M12</x:v>
      </x:c>
      <x:c r="D357" s="53" t="str">
        <x:v>مبلغ از دفتر قبلی خوانده شد؛ نیازمند تطبیق نهایی با شواهد پرداخت.</x:v>
      </x:c>
      <x:c r="E357" s="53"/>
    </x:row>
    <x:row r="358" ht="15" hidden="0" customHeight="1">
      <x:c r="A358" s="53" t="str">
        <x:v>Anjoman accounting - refined.xlsx</x:v>
      </x:c>
      <x:c r="B358" s="53" t="str">
        <x:v>تراکنش‌ها</x:v>
      </x:c>
      <x:c r="C358" s="53" t="str">
        <x:v>A13</x:v>
      </x:c>
      <x:c r="D358" s="53" t="str">
        <x:v>TX-00010</x:v>
      </x:c>
      <x:c r="E358" s="53"/>
    </x:row>
    <x:row r="359" ht="15" hidden="0" customHeight="1">
      <x:c r="A359" s="53" t="str">
        <x:v>Anjoman accounting - refined.xlsx</x:v>
      </x:c>
      <x:c r="B359" s="53" t="str">
        <x:v>تراکنش‌ها</x:v>
      </x:c>
      <x:c r="C359" s="53" t="str">
        <x:v>B13</x:v>
      </x:c>
      <x:c r="D359" s="53" t="str">
        <x:v>هزینه</x:v>
      </x:c>
      <x:c r="E359" s="53"/>
    </x:row>
    <x:row r="360" ht="15" hidden="0" customHeight="1">
      <x:c r="A360" s="53" t="str">
        <x:v>Anjoman accounting - refined.xlsx</x:v>
      </x:c>
      <x:c r="B360" s="53" t="str">
        <x:v>تراکنش‌ها</x:v>
      </x:c>
      <x:c r="C360" s="53" t="str">
        <x:v>C13</x:v>
      </x:c>
      <x:c r="D360" s="53" t="str">
        <x:v>مرداد</x:v>
      </x:c>
      <x:c r="E360" s="53"/>
    </x:row>
    <x:row r="361" ht="15" hidden="0" customHeight="1">
      <x:c r="A361" s="53" t="str">
        <x:v>Anjoman accounting - refined.xlsx</x:v>
      </x:c>
      <x:c r="B361" s="53" t="str">
        <x:v>تراکنش‌ها</x:v>
      </x:c>
      <x:c r="C361" s="53" t="str">
        <x:v>D13</x:v>
      </x:c>
      <x:c r="D361" s="53" t="str">
        <x:v>300000</x:v>
      </x:c>
      <x:c r="E361" s="53"/>
    </x:row>
    <x:row r="362" ht="15" hidden="0" customHeight="1">
      <x:c r="A362" s="53" t="str">
        <x:v>Anjoman accounting - refined.xlsx</x:v>
      </x:c>
      <x:c r="B362" s="53" t="str">
        <x:v>تراکنش‌ها</x:v>
      </x:c>
      <x:c r="C362" s="53" t="str">
        <x:v>E13</x:v>
      </x:c>
      <x:c r="D362" s="53" t="str">
        <x:v>تومان</x:v>
      </x:c>
      <x:c r="E362" s="53"/>
    </x:row>
    <x:row r="363" ht="15" hidden="0" customHeight="1">
      <x:c r="A363" s="53" t="str">
        <x:v>Anjoman accounting - refined.xlsx</x:v>
      </x:c>
      <x:c r="B363" s="53" t="str">
        <x:v>تراکنش‌ها</x:v>
      </x:c>
      <x:c r="C363" s="53" t="str">
        <x:v>F13</x:v>
      </x:c>
      <x:c r="D363" s="53" t="str">
        <x:v>300000</x:v>
      </x:c>
      <x:c r="E363" s="53"/>
    </x:row>
    <x:row r="364" ht="15" hidden="0" customHeight="1">
      <x:c r="A364" s="53" t="str">
        <x:v>Anjoman accounting - refined.xlsx</x:v>
      </x:c>
      <x:c r="B364" s="53" t="str">
        <x:v>تراکنش‌ها</x:v>
      </x:c>
      <x:c r="C364" s="53" t="str">
        <x:v>G13</x:v>
      </x:c>
      <x:c r="D364" s="53" t="str">
        <x:v>امیرمحمد جوشقانی</x:v>
      </x:c>
      <x:c r="E364" s="53"/>
    </x:row>
    <x:row r="365" ht="15" hidden="0" customHeight="1">
      <x:c r="A365" s="53" t="str">
        <x:v>Anjoman accounting - refined.xlsx</x:v>
      </x:c>
      <x:c r="B365" s="53" t="str">
        <x:v>تراکنش‌ها</x:v>
      </x:c>
      <x:c r="C365" s="53" t="str">
        <x:v>H13</x:v>
      </x:c>
      <x:c r="D365" s="53" t="str">
        <x:v>ضبط جبرانی جلسه4 پایتون</x:v>
      </x:c>
      <x:c r="E365" s="53"/>
    </x:row>
    <x:row r="366" ht="15" hidden="0" customHeight="1">
      <x:c r="A366" s="53" t="str">
        <x:v>Anjoman accounting - refined.xlsx</x:v>
      </x:c>
      <x:c r="B366" s="53" t="str">
        <x:v>تراکنش‌ها</x:v>
      </x:c>
      <x:c r="C366" s="53" t="str">
        <x:v>I13</x:v>
      </x:c>
      <x:c r="D366" s="53" t="str">
        <x:v>هزینه / عملیاتی</x:v>
      </x:c>
      <x:c r="E366" s="53"/>
    </x:row>
    <x:row r="367" ht="15" hidden="0" customHeight="1">
      <x:c r="A367" s="53" t="str">
        <x:v>Anjoman accounting - refined.xlsx</x:v>
      </x:c>
      <x:c r="B367" s="53" t="str">
        <x:v>تراکنش‌ها</x:v>
      </x:c>
      <x:c r="C367" s="53" t="str">
        <x:v>J13</x:v>
      </x:c>
      <x:c r="D367" s="53" t="str">
        <x:v>تاییدشده</x:v>
      </x:c>
      <x:c r="E367" s="53"/>
    </x:row>
    <x:row r="368" ht="15" hidden="0" customHeight="1">
      <x:c r="A368" s="53" t="str">
        <x:v>Anjoman accounting - refined.xlsx</x:v>
      </x:c>
      <x:c r="B368" s="53" t="str">
        <x:v>تراکنش‌ها</x:v>
      </x:c>
      <x:c r="C368" s="53" t="str">
        <x:v>K13</x:v>
      </x:c>
      <x:c r="D368" s="53" t="str">
        <x:v>دفتر قبلی</x:v>
      </x:c>
      <x:c r="E368" s="53"/>
    </x:row>
    <x:row r="369" ht="15" hidden="0" customHeight="1">
      <x:c r="A369" s="53" t="str">
        <x:v>Anjoman accounting - refined.xlsx</x:v>
      </x:c>
      <x:c r="B369" s="53" t="str">
        <x:v>تراکنش‌ها</x:v>
      </x:c>
      <x:c r="C369" s="53" t="str">
        <x:v>L13</x:v>
      </x:c>
      <x:c r="D369" s="53" t="str">
        <x:v>LEDGER-MAJMOO-010</x:v>
      </x:c>
      <x:c r="E369" s="53"/>
    </x:row>
    <x:row r="370" ht="15" hidden="0" customHeight="1">
      <x:c r="A370" s="53" t="str">
        <x:v>Anjoman accounting - refined.xlsx</x:v>
      </x:c>
      <x:c r="B370" s="53" t="str">
        <x:v>تراکنش‌ها</x:v>
      </x:c>
      <x:c r="C370" s="53" t="str">
        <x:v>M13</x:v>
      </x:c>
      <x:c r="D370" s="53" t="str">
        <x:v>مبلغ از دفتر قبلی خوانده شد؛ نیازمند تطبیق نهایی با شواهد پرداخت.</x:v>
      </x:c>
      <x:c r="E370" s="53"/>
    </x:row>
    <x:row r="371" ht="15" hidden="0" customHeight="1">
      <x:c r="A371" s="53" t="str">
        <x:v>Anjoman accounting - refined.xlsx</x:v>
      </x:c>
      <x:c r="B371" s="53" t="str">
        <x:v>تراکنش‌ها</x:v>
      </x:c>
      <x:c r="C371" s="53" t="str">
        <x:v>A14</x:v>
      </x:c>
      <x:c r="D371" s="53" t="str">
        <x:v>TX-00011</x:v>
      </x:c>
      <x:c r="E371" s="53"/>
    </x:row>
    <x:row r="372" ht="15" hidden="0" customHeight="1">
      <x:c r="A372" s="53" t="str">
        <x:v>Anjoman accounting - refined.xlsx</x:v>
      </x:c>
      <x:c r="B372" s="53" t="str">
        <x:v>تراکنش‌ها</x:v>
      </x:c>
      <x:c r="C372" s="53" t="str">
        <x:v>B14</x:v>
      </x:c>
      <x:c r="D372" s="53" t="str">
        <x:v>هزینه</x:v>
      </x:c>
      <x:c r="E372" s="53"/>
    </x:row>
    <x:row r="373" ht="15" hidden="0" customHeight="1">
      <x:c r="A373" s="53" t="str">
        <x:v>Anjoman accounting - refined.xlsx</x:v>
      </x:c>
      <x:c r="B373" s="53" t="str">
        <x:v>تراکنش‌ها</x:v>
      </x:c>
      <x:c r="C373" s="53" t="str">
        <x:v>C14</x:v>
      </x:c>
      <x:c r="D373" s="53" t="str">
        <x:v>مرداد</x:v>
      </x:c>
      <x:c r="E373" s="53"/>
    </x:row>
    <x:row r="374" ht="15" hidden="0" customHeight="1">
      <x:c r="A374" s="53" t="str">
        <x:v>Anjoman accounting - refined.xlsx</x:v>
      </x:c>
      <x:c r="B374" s="53" t="str">
        <x:v>تراکنش‌ها</x:v>
      </x:c>
      <x:c r="C374" s="53" t="str">
        <x:v>D14</x:v>
      </x:c>
      <x:c r="D374" s="53" t="str">
        <x:v>750000</x:v>
      </x:c>
      <x:c r="E374" s="53"/>
    </x:row>
    <x:row r="375" ht="15" hidden="0" customHeight="1">
      <x:c r="A375" s="53" t="str">
        <x:v>Anjoman accounting - refined.xlsx</x:v>
      </x:c>
      <x:c r="B375" s="53" t="str">
        <x:v>تراکنش‌ها</x:v>
      </x:c>
      <x:c r="C375" s="53" t="str">
        <x:v>E14</x:v>
      </x:c>
      <x:c r="D375" s="53" t="str">
        <x:v>تومان</x:v>
      </x:c>
      <x:c r="E375" s="53"/>
    </x:row>
    <x:row r="376" ht="15" hidden="0" customHeight="1">
      <x:c r="A376" s="53" t="str">
        <x:v>Anjoman accounting - refined.xlsx</x:v>
      </x:c>
      <x:c r="B376" s="53" t="str">
        <x:v>تراکنش‌ها</x:v>
      </x:c>
      <x:c r="C376" s="53" t="str">
        <x:v>F14</x:v>
      </x:c>
      <x:c r="D376" s="53" t="str">
        <x:v>750000</x:v>
      </x:c>
      <x:c r="E376" s="53"/>
    </x:row>
    <x:row r="377" ht="15" hidden="0" customHeight="1">
      <x:c r="A377" s="53" t="str">
        <x:v>Anjoman accounting - refined.xlsx</x:v>
      </x:c>
      <x:c r="B377" s="53" t="str">
        <x:v>تراکنش‌ها</x:v>
      </x:c>
      <x:c r="C377" s="53" t="str">
        <x:v>G14</x:v>
      </x:c>
      <x:c r="D377" s="53" t="str">
        <x:v>حسن شیری</x:v>
      </x:c>
      <x:c r="E377" s="53"/>
    </x:row>
    <x:row r="378" ht="15" hidden="0" customHeight="1">
      <x:c r="A378" s="53" t="str">
        <x:v>Anjoman accounting - refined.xlsx</x:v>
      </x:c>
      <x:c r="B378" s="53" t="str">
        <x:v>تراکنش‌ها</x:v>
      </x:c>
      <x:c r="C378" s="53" t="str">
        <x:v>H14</x:v>
      </x:c>
      <x:c r="D378" s="53" t="str">
        <x:v>گرفتن کلید انجمن برای اعضا</x:v>
      </x:c>
      <x:c r="E378" s="53"/>
    </x:row>
    <x:row r="379" ht="15" hidden="0" customHeight="1">
      <x:c r="A379" s="53" t="str">
        <x:v>Anjoman accounting - refined.xlsx</x:v>
      </x:c>
      <x:c r="B379" s="53" t="str">
        <x:v>تراکنش‌ها</x:v>
      </x:c>
      <x:c r="C379" s="53" t="str">
        <x:v>I14</x:v>
      </x:c>
      <x:c r="D379" s="53" t="str">
        <x:v>هزینه / عملیاتی</x:v>
      </x:c>
      <x:c r="E379" s="53"/>
    </x:row>
    <x:row r="380" ht="15" hidden="0" customHeight="1">
      <x:c r="A380" s="53" t="str">
        <x:v>Anjoman accounting - refined.xlsx</x:v>
      </x:c>
      <x:c r="B380" s="53" t="str">
        <x:v>تراکنش‌ها</x:v>
      </x:c>
      <x:c r="C380" s="53" t="str">
        <x:v>J14</x:v>
      </x:c>
      <x:c r="D380" s="53" t="str">
        <x:v>تاییدشده</x:v>
      </x:c>
      <x:c r="E380" s="53"/>
    </x:row>
    <x:row r="381" ht="15" hidden="0" customHeight="1">
      <x:c r="A381" s="53" t="str">
        <x:v>Anjoman accounting - refined.xlsx</x:v>
      </x:c>
      <x:c r="B381" s="53" t="str">
        <x:v>تراکنش‌ها</x:v>
      </x:c>
      <x:c r="C381" s="53" t="str">
        <x:v>K14</x:v>
      </x:c>
      <x:c r="D381" s="53" t="str">
        <x:v>دفتر قبلی</x:v>
      </x:c>
      <x:c r="E381" s="53"/>
    </x:row>
    <x:row r="382" ht="15" hidden="0" customHeight="1">
      <x:c r="A382" s="53" t="str">
        <x:v>Anjoman accounting - refined.xlsx</x:v>
      </x:c>
      <x:c r="B382" s="53" t="str">
        <x:v>تراکنش‌ها</x:v>
      </x:c>
      <x:c r="C382" s="53" t="str">
        <x:v>L14</x:v>
      </x:c>
      <x:c r="D382" s="53" t="str">
        <x:v>LEDGER-MAJMOO-011</x:v>
      </x:c>
      <x:c r="E382" s="53"/>
    </x:row>
    <x:row r="383" ht="15" hidden="0" customHeight="1">
      <x:c r="A383" s="53" t="str">
        <x:v>Anjoman accounting - refined.xlsx</x:v>
      </x:c>
      <x:c r="B383" s="53" t="str">
        <x:v>تراکنش‌ها</x:v>
      </x:c>
      <x:c r="C383" s="53" t="str">
        <x:v>M14</x:v>
      </x:c>
      <x:c r="D383" s="53" t="str">
        <x:v>مبلغ از دفتر قبلی خوانده شد؛ نیازمند تطبیق نهایی با شواهد پرداخت.</x:v>
      </x:c>
      <x:c r="E383" s="53"/>
    </x:row>
    <x:row r="384" ht="15" hidden="0" customHeight="1">
      <x:c r="A384" s="53" t="str">
        <x:v>Anjoman accounting - refined.xlsx</x:v>
      </x:c>
      <x:c r="B384" s="53" t="str">
        <x:v>تراکنش‌ها</x:v>
      </x:c>
      <x:c r="C384" s="53" t="str">
        <x:v>A15</x:v>
      </x:c>
      <x:c r="D384" s="53" t="str">
        <x:v>TX-00012</x:v>
      </x:c>
      <x:c r="E384" s="53"/>
    </x:row>
    <x:row r="385" ht="15" hidden="0" customHeight="1">
      <x:c r="A385" s="53" t="str">
        <x:v>Anjoman accounting - refined.xlsx</x:v>
      </x:c>
      <x:c r="B385" s="53" t="str">
        <x:v>تراکنش‌ها</x:v>
      </x:c>
      <x:c r="C385" s="53" t="str">
        <x:v>B15</x:v>
      </x:c>
      <x:c r="D385" s="53" t="str">
        <x:v>هزینه</x:v>
      </x:c>
      <x:c r="E385" s="53"/>
    </x:row>
    <x:row r="386" ht="15" hidden="0" customHeight="1">
      <x:c r="A386" s="53" t="str">
        <x:v>Anjoman accounting - refined.xlsx</x:v>
      </x:c>
      <x:c r="B386" s="53" t="str">
        <x:v>تراکنش‌ها</x:v>
      </x:c>
      <x:c r="C386" s="53" t="str">
        <x:v>C15</x:v>
      </x:c>
      <x:c r="D386" s="53" t="str">
        <x:v>مرداد</x:v>
      </x:c>
      <x:c r="E386" s="53"/>
    </x:row>
    <x:row r="387" ht="15" hidden="0" customHeight="1">
      <x:c r="A387" s="53" t="str">
        <x:v>Anjoman accounting - refined.xlsx</x:v>
      </x:c>
      <x:c r="B387" s="53" t="str">
        <x:v>تراکنش‌ها</x:v>
      </x:c>
      <x:c r="C387" s="53" t="str">
        <x:v>D15</x:v>
      </x:c>
      <x:c r="D387" s="53" t="str">
        <x:v>400000</x:v>
      </x:c>
      <x:c r="E387" s="53"/>
    </x:row>
    <x:row r="388" ht="15" hidden="0" customHeight="1">
      <x:c r="A388" s="53" t="str">
        <x:v>Anjoman accounting - refined.xlsx</x:v>
      </x:c>
      <x:c r="B388" s="53" t="str">
        <x:v>تراکنش‌ها</x:v>
      </x:c>
      <x:c r="C388" s="53" t="str">
        <x:v>E15</x:v>
      </x:c>
      <x:c r="D388" s="53" t="str">
        <x:v>تومان</x:v>
      </x:c>
      <x:c r="E388" s="53"/>
    </x:row>
    <x:row r="389" ht="15" hidden="0" customHeight="1">
      <x:c r="A389" s="53" t="str">
        <x:v>Anjoman accounting - refined.xlsx</x:v>
      </x:c>
      <x:c r="B389" s="53" t="str">
        <x:v>تراکنش‌ها</x:v>
      </x:c>
      <x:c r="C389" s="53" t="str">
        <x:v>F15</x:v>
      </x:c>
      <x:c r="D389" s="53" t="str">
        <x:v>400000</x:v>
      </x:c>
      <x:c r="E389" s="53"/>
    </x:row>
    <x:row r="390" ht="15" hidden="0" customHeight="1">
      <x:c r="A390" s="53" t="str">
        <x:v>Anjoman accounting - refined.xlsx</x:v>
      </x:c>
      <x:c r="B390" s="53" t="str">
        <x:v>تراکنش‌ها</x:v>
      </x:c>
      <x:c r="C390" s="53" t="str">
        <x:v>G15</x:v>
      </x:c>
      <x:c r="D390" s="53" t="str">
        <x:v>حسن شیری</x:v>
      </x:c>
      <x:c r="E390" s="53"/>
    </x:row>
    <x:row r="391" ht="15" hidden="0" customHeight="1">
      <x:c r="A391" s="53" t="str">
        <x:v>Anjoman accounting - refined.xlsx</x:v>
      </x:c>
      <x:c r="B391" s="53" t="str">
        <x:v>تراکنش‌ها</x:v>
      </x:c>
      <x:c r="C391" s="53" t="str">
        <x:v>H15</x:v>
      </x:c>
      <x:c r="D391" s="53" t="str">
        <x:v>نبلیغات مدرسه تابستانه در مهمات شریف</x:v>
      </x:c>
      <x:c r="E391" s="53"/>
    </x:row>
    <x:row r="392" ht="15" hidden="0" customHeight="1">
      <x:c r="A392" s="53" t="str">
        <x:v>Anjoman accounting - refined.xlsx</x:v>
      </x:c>
      <x:c r="B392" s="53" t="str">
        <x:v>تراکنش‌ها</x:v>
      </x:c>
      <x:c r="C392" s="53" t="str">
        <x:v>I15</x:v>
      </x:c>
      <x:c r="D392" s="53" t="str">
        <x:v>هزینه / عملیاتی</x:v>
      </x:c>
      <x:c r="E392" s="53"/>
    </x:row>
    <x:row r="393" ht="15" hidden="0" customHeight="1">
      <x:c r="A393" s="53" t="str">
        <x:v>Anjoman accounting - refined.xlsx</x:v>
      </x:c>
      <x:c r="B393" s="53" t="str">
        <x:v>تراکنش‌ها</x:v>
      </x:c>
      <x:c r="C393" s="53" t="str">
        <x:v>J15</x:v>
      </x:c>
      <x:c r="D393" s="53" t="str">
        <x:v>تاییدشده</x:v>
      </x:c>
      <x:c r="E393" s="53"/>
    </x:row>
    <x:row r="394" ht="15" hidden="0" customHeight="1">
      <x:c r="A394" s="53" t="str">
        <x:v>Anjoman accounting - refined.xlsx</x:v>
      </x:c>
      <x:c r="B394" s="53" t="str">
        <x:v>تراکنش‌ها</x:v>
      </x:c>
      <x:c r="C394" s="53" t="str">
        <x:v>K15</x:v>
      </x:c>
      <x:c r="D394" s="53" t="str">
        <x:v>دفتر قبلی</x:v>
      </x:c>
      <x:c r="E394" s="53"/>
    </x:row>
    <x:row r="395" ht="15" hidden="0" customHeight="1">
      <x:c r="A395" s="53" t="str">
        <x:v>Anjoman accounting - refined.xlsx</x:v>
      </x:c>
      <x:c r="B395" s="53" t="str">
        <x:v>تراکنش‌ها</x:v>
      </x:c>
      <x:c r="C395" s="53" t="str">
        <x:v>L15</x:v>
      </x:c>
      <x:c r="D395" s="53" t="str">
        <x:v>LEDGER-MAJMOO-012</x:v>
      </x:c>
      <x:c r="E395" s="53"/>
    </x:row>
    <x:row r="396" ht="15" hidden="0" customHeight="1">
      <x:c r="A396" s="53" t="str">
        <x:v>Anjoman accounting - refined.xlsx</x:v>
      </x:c>
      <x:c r="B396" s="53" t="str">
        <x:v>تراکنش‌ها</x:v>
      </x:c>
      <x:c r="C396" s="53" t="str">
        <x:v>M15</x:v>
      </x:c>
      <x:c r="D396" s="53" t="str">
        <x:v>مبلغ از دفتر قبلی خوانده شد؛ نیازمند تطبیق نهایی با شواهد پرداخت.</x:v>
      </x:c>
      <x:c r="E396" s="53"/>
    </x:row>
    <x:row r="397" ht="15" hidden="0" customHeight="1">
      <x:c r="A397" s="53" t="str">
        <x:v>Anjoman accounting - refined.xlsx</x:v>
      </x:c>
      <x:c r="B397" s="53" t="str">
        <x:v>تراکنش‌ها</x:v>
      </x:c>
      <x:c r="C397" s="53" t="str">
        <x:v>A16</x:v>
      </x:c>
      <x:c r="D397" s="53" t="str">
        <x:v>TX-00013</x:v>
      </x:c>
      <x:c r="E397" s="53"/>
    </x:row>
    <x:row r="398" ht="15" hidden="0" customHeight="1">
      <x:c r="A398" s="53" t="str">
        <x:v>Anjoman accounting - refined.xlsx</x:v>
      </x:c>
      <x:c r="B398" s="53" t="str">
        <x:v>تراکنش‌ها</x:v>
      </x:c>
      <x:c r="C398" s="53" t="str">
        <x:v>B16</x:v>
      </x:c>
      <x:c r="D398" s="53" t="str">
        <x:v>درآمد</x:v>
      </x:c>
      <x:c r="E398" s="53"/>
    </x:row>
    <x:row r="399" ht="15" hidden="0" customHeight="1">
      <x:c r="A399" s="53" t="str">
        <x:v>Anjoman accounting - refined.xlsx</x:v>
      </x:c>
      <x:c r="B399" s="53" t="str">
        <x:v>تراکنش‌ها</x:v>
      </x:c>
      <x:c r="C399" s="53" t="str">
        <x:v>C16</x:v>
      </x:c>
      <x:c r="D399" s="53" t="str">
        <x:v>شهریور</x:v>
      </x:c>
      <x:c r="E399" s="53"/>
    </x:row>
    <x:row r="400" ht="15" hidden="0" customHeight="1">
      <x:c r="A400" s="53" t="str">
        <x:v>Anjoman accounting - refined.xlsx</x:v>
      </x:c>
      <x:c r="B400" s="53" t="str">
        <x:v>تراکنش‌ها</x:v>
      </x:c>
      <x:c r="C400" s="53" t="str">
        <x:v>D16</x:v>
      </x:c>
      <x:c r="D400" s="53" t="str">
        <x:v>4920000</x:v>
      </x:c>
      <x:c r="E400" s="53"/>
    </x:row>
    <x:row r="401" ht="15" hidden="0" customHeight="1">
      <x:c r="A401" s="53" t="str">
        <x:v>Anjoman accounting - refined.xlsx</x:v>
      </x:c>
      <x:c r="B401" s="53" t="str">
        <x:v>تراکنش‌ها</x:v>
      </x:c>
      <x:c r="C401" s="53" t="str">
        <x:v>E16</x:v>
      </x:c>
      <x:c r="D401" s="53" t="str">
        <x:v>تومان</x:v>
      </x:c>
      <x:c r="E401" s="53"/>
    </x:row>
    <x:row r="402" ht="15" hidden="0" customHeight="1">
      <x:c r="A402" s="53" t="str">
        <x:v>Anjoman accounting - refined.xlsx</x:v>
      </x:c>
      <x:c r="B402" s="53" t="str">
        <x:v>تراکنش‌ها</x:v>
      </x:c>
      <x:c r="C402" s="53" t="str">
        <x:v>F16</x:v>
      </x:c>
      <x:c r="D402" s="53" t="str">
        <x:v>4920000</x:v>
      </x:c>
      <x:c r="E402" s="53"/>
    </x:row>
    <x:row r="403" ht="15" hidden="0" customHeight="1">
      <x:c r="A403" s="53" t="str">
        <x:v>Anjoman accounting - refined.xlsx</x:v>
      </x:c>
      <x:c r="B403" s="53" t="str">
        <x:v>تراکنش‌ها</x:v>
      </x:c>
      <x:c r="C403" s="53" t="str">
        <x:v>G16</x:v>
      </x:c>
      <x:c r="D403" s="53" t="str">
        <x:v>محمدامین عزیزی</x:v>
      </x:c>
      <x:c r="E403" s="53"/>
    </x:row>
    <x:row r="404" ht="15" hidden="0" customHeight="1">
      <x:c r="A404" s="53" t="str">
        <x:v>Anjoman accounting - refined.xlsx</x:v>
      </x:c>
      <x:c r="B404" s="53" t="str">
        <x:v>تراکنش‌ها</x:v>
      </x:c>
      <x:c r="C404" s="53" t="str">
        <x:v>H16</x:v>
      </x:c>
      <x:c r="D404" s="53" t="str">
        <x:v>ورودی معرفی رشته</x:v>
      </x:c>
      <x:c r="E404" s="53"/>
    </x:row>
    <x:row r="405" ht="15" hidden="0" customHeight="1">
      <x:c r="A405" s="53" t="str">
        <x:v>Anjoman accounting - refined.xlsx</x:v>
      </x:c>
      <x:c r="B405" s="53" t="str">
        <x:v>تراکنش‌ها</x:v>
      </x:c>
      <x:c r="C405" s="53" t="str">
        <x:v>I16</x:v>
      </x:c>
      <x:c r="D405" s="53" t="str">
        <x:v>درآمد / کمک / رویداد</x:v>
      </x:c>
      <x:c r="E405" s="53"/>
    </x:row>
    <x:row r="406" ht="15" hidden="0" customHeight="1">
      <x:c r="A406" s="53" t="str">
        <x:v>Anjoman accounting - refined.xlsx</x:v>
      </x:c>
      <x:c r="B406" s="53" t="str">
        <x:v>تراکنش‌ها</x:v>
      </x:c>
      <x:c r="C406" s="53" t="str">
        <x:v>J16</x:v>
      </x:c>
      <x:c r="D406" s="53" t="str">
        <x:v>تاییدشده</x:v>
      </x:c>
      <x:c r="E406" s="53"/>
    </x:row>
    <x:row r="407" ht="15" hidden="0" customHeight="1">
      <x:c r="A407" s="53" t="str">
        <x:v>Anjoman accounting - refined.xlsx</x:v>
      </x:c>
      <x:c r="B407" s="53" t="str">
        <x:v>تراکنش‌ها</x:v>
      </x:c>
      <x:c r="C407" s="53" t="str">
        <x:v>K16</x:v>
      </x:c>
      <x:c r="D407" s="53" t="str">
        <x:v>دفتر قبلی</x:v>
      </x:c>
      <x:c r="E407" s="53"/>
    </x:row>
    <x:row r="408" ht="15" hidden="0" customHeight="1">
      <x:c r="A408" s="53" t="str">
        <x:v>Anjoman accounting - refined.xlsx</x:v>
      </x:c>
      <x:c r="B408" s="53" t="str">
        <x:v>تراکنش‌ها</x:v>
      </x:c>
      <x:c r="C408" s="53" t="str">
        <x:v>L16</x:v>
      </x:c>
      <x:c r="D408" s="53" t="str">
        <x:v>LEDGER-MAJMOO-015</x:v>
      </x:c>
      <x:c r="E408" s="53"/>
    </x:row>
    <x:row r="409" ht="15" hidden="0" customHeight="1">
      <x:c r="A409" s="53" t="str">
        <x:v>Anjoman accounting - refined.xlsx</x:v>
      </x:c>
      <x:c r="B409" s="53" t="str">
        <x:v>تراکنش‌ها</x:v>
      </x:c>
      <x:c r="C409" s="53" t="str">
        <x:v>M16</x:v>
      </x:c>
      <x:c r="D409" s="53" t="str">
        <x:v>مبلغ از دفتر قبلی خوانده شد؛ نیازمند تطبیق نهایی با شواهد بانکی/رسید.</x:v>
      </x:c>
      <x:c r="E409" s="53"/>
    </x:row>
    <x:row r="410" ht="15" hidden="0" customHeight="1">
      <x:c r="A410" s="53" t="str">
        <x:v>Anjoman accounting - refined.xlsx</x:v>
      </x:c>
      <x:c r="B410" s="53" t="str">
        <x:v>تراکنش‌ها</x:v>
      </x:c>
      <x:c r="C410" s="53" t="str">
        <x:v>A17</x:v>
      </x:c>
      <x:c r="D410" s="53" t="str">
        <x:v>TX-00014</x:v>
      </x:c>
      <x:c r="E410" s="53"/>
    </x:row>
    <x:row r="411" ht="15" hidden="0" customHeight="1">
      <x:c r="A411" s="53" t="str">
        <x:v>Anjoman accounting - refined.xlsx</x:v>
      </x:c>
      <x:c r="B411" s="53" t="str">
        <x:v>تراکنش‌ها</x:v>
      </x:c>
      <x:c r="C411" s="53" t="str">
        <x:v>B17</x:v>
      </x:c>
      <x:c r="D411" s="53" t="str">
        <x:v>هزینه</x:v>
      </x:c>
      <x:c r="E411" s="53"/>
    </x:row>
    <x:row r="412" ht="15" hidden="0" customHeight="1">
      <x:c r="A412" s="53" t="str">
        <x:v>Anjoman accounting - refined.xlsx</x:v>
      </x:c>
      <x:c r="B412" s="53" t="str">
        <x:v>تراکنش‌ها</x:v>
      </x:c>
      <x:c r="C412" s="53" t="str">
        <x:v>C17</x:v>
      </x:c>
      <x:c r="D412" s="53" t="str">
        <x:v>شهریور</x:v>
      </x:c>
      <x:c r="E412" s="53"/>
    </x:row>
    <x:row r="413" ht="15" hidden="0" customHeight="1">
      <x:c r="A413" s="53" t="str">
        <x:v>Anjoman accounting - refined.xlsx</x:v>
      </x:c>
      <x:c r="B413" s="53" t="str">
        <x:v>تراکنش‌ها</x:v>
      </x:c>
      <x:c r="C413" s="53" t="str">
        <x:v>D17</x:v>
      </x:c>
      <x:c r="D413" s="53" t="str">
        <x:v>100000</x:v>
      </x:c>
      <x:c r="E413" s="53"/>
    </x:row>
    <x:row r="414" ht="15" hidden="0" customHeight="1">
      <x:c r="A414" s="53" t="str">
        <x:v>Anjoman accounting - refined.xlsx</x:v>
      </x:c>
      <x:c r="B414" s="53" t="str">
        <x:v>تراکنش‌ها</x:v>
      </x:c>
      <x:c r="C414" s="53" t="str">
        <x:v>E17</x:v>
      </x:c>
      <x:c r="D414" s="53" t="str">
        <x:v>تومان</x:v>
      </x:c>
      <x:c r="E414" s="53"/>
    </x:row>
    <x:row r="415" ht="15" hidden="0" customHeight="1">
      <x:c r="A415" s="53" t="str">
        <x:v>Anjoman accounting - refined.xlsx</x:v>
      </x:c>
      <x:c r="B415" s="53" t="str">
        <x:v>تراکنش‌ها</x:v>
      </x:c>
      <x:c r="C415" s="53" t="str">
        <x:v>F17</x:v>
      </x:c>
      <x:c r="D415" s="53" t="str">
        <x:v>100000</x:v>
      </x:c>
      <x:c r="E415" s="53"/>
    </x:row>
    <x:row r="416" ht="15" hidden="0" customHeight="1">
      <x:c r="A416" s="53" t="str">
        <x:v>Anjoman accounting - refined.xlsx</x:v>
      </x:c>
      <x:c r="B416" s="53" t="str">
        <x:v>تراکنش‌ها</x:v>
      </x:c>
      <x:c r="C416" s="53" t="str">
        <x:v>G17</x:v>
      </x:c>
      <x:c r="D416" s="53" t="str">
        <x:v>محمدامین عزیزی</x:v>
      </x:c>
      <x:c r="E416" s="53"/>
    </x:row>
    <x:row r="417" ht="15" hidden="0" customHeight="1">
      <x:c r="A417" s="53" t="str">
        <x:v>Anjoman accounting - refined.xlsx</x:v>
      </x:c>
      <x:c r="B417" s="53" t="str">
        <x:v>تراکنش‌ها</x:v>
      </x:c>
      <x:c r="C417" s="53" t="str">
        <x:v>H17</x:v>
      </x:c>
      <x:c r="D417" s="53" t="str">
        <x:v>چاپ پوستر و بارکد برای رویداد معرفی رشته</x:v>
      </x:c>
      <x:c r="E417" s="53"/>
    </x:row>
    <x:row r="418" ht="15" hidden="0" customHeight="1">
      <x:c r="A418" s="53" t="str">
        <x:v>Anjoman accounting - refined.xlsx</x:v>
      </x:c>
      <x:c r="B418" s="53" t="str">
        <x:v>تراکنش‌ها</x:v>
      </x:c>
      <x:c r="C418" s="53" t="str">
        <x:v>I17</x:v>
      </x:c>
      <x:c r="D418" s="53" t="str">
        <x:v>هزینه / عملیاتی</x:v>
      </x:c>
      <x:c r="E418" s="53"/>
    </x:row>
    <x:row r="419" ht="15" hidden="0" customHeight="1">
      <x:c r="A419" s="53" t="str">
        <x:v>Anjoman accounting - refined.xlsx</x:v>
      </x:c>
      <x:c r="B419" s="53" t="str">
        <x:v>تراکنش‌ها</x:v>
      </x:c>
      <x:c r="C419" s="53" t="str">
        <x:v>J17</x:v>
      </x:c>
      <x:c r="D419" s="53" t="str">
        <x:v>تاییدشده</x:v>
      </x:c>
      <x:c r="E419" s="53"/>
    </x:row>
    <x:row r="420" ht="15" hidden="0" customHeight="1">
      <x:c r="A420" s="53" t="str">
        <x:v>Anjoman accounting - refined.xlsx</x:v>
      </x:c>
      <x:c r="B420" s="53" t="str">
        <x:v>تراکنش‌ها</x:v>
      </x:c>
      <x:c r="C420" s="53" t="str">
        <x:v>K17</x:v>
      </x:c>
      <x:c r="D420" s="53" t="str">
        <x:v>دفتر قبلی</x:v>
      </x:c>
      <x:c r="E420" s="53"/>
    </x:row>
    <x:row r="421" ht="15" hidden="0" customHeight="1">
      <x:c r="A421" s="53" t="str">
        <x:v>Anjoman accounting - refined.xlsx</x:v>
      </x:c>
      <x:c r="B421" s="53" t="str">
        <x:v>تراکنش‌ها</x:v>
      </x:c>
      <x:c r="C421" s="53" t="str">
        <x:v>L17</x:v>
      </x:c>
      <x:c r="D421" s="53" t="str">
        <x:v>LEDGER-MAJMOO-015</x:v>
      </x:c>
      <x:c r="E421" s="53"/>
    </x:row>
    <x:row r="422" ht="15" hidden="0" customHeight="1">
      <x:c r="A422" s="53" t="str">
        <x:v>Anjoman accounting - refined.xlsx</x:v>
      </x:c>
      <x:c r="B422" s="53" t="str">
        <x:v>تراکنش‌ها</x:v>
      </x:c>
      <x:c r="C422" s="53" t="str">
        <x:v>M17</x:v>
      </x:c>
      <x:c r="D422" s="53" t="str">
        <x:v>مبلغ از دفتر قبلی خوانده شد؛ نیازمند تطبیق نهایی با شواهد پرداخت.</x:v>
      </x:c>
      <x:c r="E422" s="53"/>
    </x:row>
    <x:row r="423" ht="15" hidden="0" customHeight="1">
      <x:c r="A423" s="53" t="str">
        <x:v>Anjoman accounting - refined.xlsx</x:v>
      </x:c>
      <x:c r="B423" s="53" t="str">
        <x:v>تراکنش‌ها</x:v>
      </x:c>
      <x:c r="C423" s="53" t="str">
        <x:v>A18</x:v>
      </x:c>
      <x:c r="D423" s="53" t="str">
        <x:v>TX-00015</x:v>
      </x:c>
      <x:c r="E423" s="53"/>
    </x:row>
    <x:row r="424" ht="15" hidden="0" customHeight="1">
      <x:c r="A424" s="53" t="str">
        <x:v>Anjoman accounting - refined.xlsx</x:v>
      </x:c>
      <x:c r="B424" s="53" t="str">
        <x:v>تراکنش‌ها</x:v>
      </x:c>
      <x:c r="C424" s="53" t="str">
        <x:v>B18</x:v>
      </x:c>
      <x:c r="D424" s="53" t="str">
        <x:v>هزینه</x:v>
      </x:c>
      <x:c r="E424" s="53"/>
    </x:row>
    <x:row r="425" ht="15" hidden="0" customHeight="1">
      <x:c r="A425" s="53" t="str">
        <x:v>Anjoman accounting - refined.xlsx</x:v>
      </x:c>
      <x:c r="B425" s="53" t="str">
        <x:v>تراکنش‌ها</x:v>
      </x:c>
      <x:c r="C425" s="53" t="str">
        <x:v>C18</x:v>
      </x:c>
      <x:c r="D425" s="53" t="str">
        <x:v>شهریور</x:v>
      </x:c>
      <x:c r="E425" s="53"/>
    </x:row>
    <x:row r="426" ht="15" hidden="0" customHeight="1">
      <x:c r="A426" s="53" t="str">
        <x:v>Anjoman accounting - refined.xlsx</x:v>
      </x:c>
      <x:c r="B426" s="53" t="str">
        <x:v>تراکنش‌ها</x:v>
      </x:c>
      <x:c r="C426" s="53" t="str">
        <x:v>D18</x:v>
      </x:c>
      <x:c r="D426" s="53" t="str">
        <x:v>2866000</x:v>
      </x:c>
      <x:c r="E426" s="53"/>
    </x:row>
    <x:row r="427" ht="15" hidden="0" customHeight="1">
      <x:c r="A427" s="53" t="str">
        <x:v>Anjoman accounting - refined.xlsx</x:v>
      </x:c>
      <x:c r="B427" s="53" t="str">
        <x:v>تراکنش‌ها</x:v>
      </x:c>
      <x:c r="C427" s="53" t="str">
        <x:v>E18</x:v>
      </x:c>
      <x:c r="D427" s="53" t="str">
        <x:v>تومان</x:v>
      </x:c>
      <x:c r="E427" s="53"/>
    </x:row>
    <x:row r="428" ht="15" hidden="0" customHeight="1">
      <x:c r="A428" s="53" t="str">
        <x:v>Anjoman accounting - refined.xlsx</x:v>
      </x:c>
      <x:c r="B428" s="53" t="str">
        <x:v>تراکنش‌ها</x:v>
      </x:c>
      <x:c r="C428" s="53" t="str">
        <x:v>F18</x:v>
      </x:c>
      <x:c r="D428" s="53" t="str">
        <x:v>2866000</x:v>
      </x:c>
      <x:c r="E428" s="53"/>
    </x:row>
    <x:row r="429" ht="15" hidden="0" customHeight="1">
      <x:c r="A429" s="53" t="str">
        <x:v>Anjoman accounting - refined.xlsx</x:v>
      </x:c>
      <x:c r="B429" s="53" t="str">
        <x:v>تراکنش‌ها</x:v>
      </x:c>
      <x:c r="C429" s="53" t="str">
        <x:v>G18</x:v>
      </x:c>
      <x:c r="D429" s="53" t="str">
        <x:v>محمدامین عزیزی</x:v>
      </x:c>
      <x:c r="E429" s="53"/>
    </x:row>
    <x:row r="430" ht="15" hidden="0" customHeight="1">
      <x:c r="A430" s="53" t="str">
        <x:v>Anjoman accounting - refined.xlsx</x:v>
      </x:c>
      <x:c r="B430" s="53" t="str">
        <x:v>تراکنش‌ها</x:v>
      </x:c>
      <x:c r="C430" s="53" t="str">
        <x:v>H18</x:v>
      </x:c>
      <x:c r="D430" s="53" t="str">
        <x:v>تدارکات رویداد معرفی رشته</x:v>
      </x:c>
      <x:c r="E430" s="53"/>
    </x:row>
    <x:row r="431" ht="15" hidden="0" customHeight="1">
      <x:c r="A431" s="53" t="str">
        <x:v>Anjoman accounting - refined.xlsx</x:v>
      </x:c>
      <x:c r="B431" s="53" t="str">
        <x:v>تراکنش‌ها</x:v>
      </x:c>
      <x:c r="C431" s="53" t="str">
        <x:v>I18</x:v>
      </x:c>
      <x:c r="D431" s="53" t="str">
        <x:v>هزینه / عملیاتی</x:v>
      </x:c>
      <x:c r="E431" s="53"/>
    </x:row>
    <x:row r="432" ht="15" hidden="0" customHeight="1">
      <x:c r="A432" s="53" t="str">
        <x:v>Anjoman accounting - refined.xlsx</x:v>
      </x:c>
      <x:c r="B432" s="53" t="str">
        <x:v>تراکنش‌ها</x:v>
      </x:c>
      <x:c r="C432" s="53" t="str">
        <x:v>J18</x:v>
      </x:c>
      <x:c r="D432" s="53" t="str">
        <x:v>تاییدشده</x:v>
      </x:c>
      <x:c r="E432" s="53"/>
    </x:row>
    <x:row r="433" ht="15" hidden="0" customHeight="1">
      <x:c r="A433" s="53" t="str">
        <x:v>Anjoman accounting - refined.xlsx</x:v>
      </x:c>
      <x:c r="B433" s="53" t="str">
        <x:v>تراکنش‌ها</x:v>
      </x:c>
      <x:c r="C433" s="53" t="str">
        <x:v>K18</x:v>
      </x:c>
      <x:c r="D433" s="53" t="str">
        <x:v>دفتر قبلی</x:v>
      </x:c>
      <x:c r="E433" s="53"/>
    </x:row>
    <x:row r="434" ht="15" hidden="0" customHeight="1">
      <x:c r="A434" s="53" t="str">
        <x:v>Anjoman accounting - refined.xlsx</x:v>
      </x:c>
      <x:c r="B434" s="53" t="str">
        <x:v>تراکنش‌ها</x:v>
      </x:c>
      <x:c r="C434" s="53" t="str">
        <x:v>L18</x:v>
      </x:c>
      <x:c r="D434" s="53" t="str">
        <x:v>LEDGER-MAJMOO-016</x:v>
      </x:c>
      <x:c r="E434" s="53"/>
    </x:row>
    <x:row r="435" ht="15" hidden="0" customHeight="1">
      <x:c r="A435" s="53" t="str">
        <x:v>Anjoman accounting - refined.xlsx</x:v>
      </x:c>
      <x:c r="B435" s="53" t="str">
        <x:v>تراکنش‌ها</x:v>
      </x:c>
      <x:c r="C435" s="53" t="str">
        <x:v>M18</x:v>
      </x:c>
      <x:c r="D435" s="53" t="str">
        <x:v>مبلغ از دفتر قبلی خوانده شد؛ نیازمند تطبیق نهایی با شواهد پرداخت.</x:v>
      </x:c>
      <x:c r="E435" s="53"/>
    </x:row>
    <x:row r="436" ht="15" hidden="0" customHeight="1">
      <x:c r="A436" s="53" t="str">
        <x:v>Anjoman accounting - refined.xlsx</x:v>
      </x:c>
      <x:c r="B436" s="53" t="str">
        <x:v>تراکنش‌ها</x:v>
      </x:c>
      <x:c r="C436" s="53" t="str">
        <x:v>A19</x:v>
      </x:c>
      <x:c r="D436" s="53" t="str">
        <x:v>TX-00016</x:v>
      </x:c>
      <x:c r="E436" s="53"/>
    </x:row>
    <x:row r="437" ht="15" hidden="0" customHeight="1">
      <x:c r="A437" s="53" t="str">
        <x:v>Anjoman accounting - refined.xlsx</x:v>
      </x:c>
      <x:c r="B437" s="53" t="str">
        <x:v>تراکنش‌ها</x:v>
      </x:c>
      <x:c r="C437" s="53" t="str">
        <x:v>B19</x:v>
      </x:c>
      <x:c r="D437" s="53" t="str">
        <x:v>هزینه</x:v>
      </x:c>
      <x:c r="E437" s="53"/>
    </x:row>
    <x:row r="438" ht="15" hidden="0" customHeight="1">
      <x:c r="A438" s="53" t="str">
        <x:v>Anjoman accounting - refined.xlsx</x:v>
      </x:c>
      <x:c r="B438" s="53" t="str">
        <x:v>تراکنش‌ها</x:v>
      </x:c>
      <x:c r="C438" s="53" t="str">
        <x:v>C19</x:v>
      </x:c>
      <x:c r="D438" s="53" t="str">
        <x:v>شهریور</x:v>
      </x:c>
      <x:c r="E438" s="53"/>
    </x:row>
    <x:row r="439" ht="15" hidden="0" customHeight="1">
      <x:c r="A439" s="53" t="str">
        <x:v>Anjoman accounting - refined.xlsx</x:v>
      </x:c>
      <x:c r="B439" s="53" t="str">
        <x:v>تراکنش‌ها</x:v>
      </x:c>
      <x:c r="C439" s="53" t="str">
        <x:v>D19</x:v>
      </x:c>
      <x:c r="D439" s="53" t="str">
        <x:v>189000</x:v>
      </x:c>
      <x:c r="E439" s="53"/>
    </x:row>
    <x:row r="440" ht="15" hidden="0" customHeight="1">
      <x:c r="A440" s="53" t="str">
        <x:v>Anjoman accounting - refined.xlsx</x:v>
      </x:c>
      <x:c r="B440" s="53" t="str">
        <x:v>تراکنش‌ها</x:v>
      </x:c>
      <x:c r="C440" s="53" t="str">
        <x:v>E19</x:v>
      </x:c>
      <x:c r="D440" s="53" t="str">
        <x:v>تومان</x:v>
      </x:c>
      <x:c r="E440" s="53"/>
    </x:row>
    <x:row r="441" ht="15" hidden="0" customHeight="1">
      <x:c r="A441" s="53" t="str">
        <x:v>Anjoman accounting - refined.xlsx</x:v>
      </x:c>
      <x:c r="B441" s="53" t="str">
        <x:v>تراکنش‌ها</x:v>
      </x:c>
      <x:c r="C441" s="53" t="str">
        <x:v>F19</x:v>
      </x:c>
      <x:c r="D441" s="53" t="str">
        <x:v>189000</x:v>
      </x:c>
      <x:c r="E441" s="53"/>
    </x:row>
    <x:row r="442" ht="15" hidden="0" customHeight="1">
      <x:c r="A442" s="53" t="str">
        <x:v>Anjoman accounting - refined.xlsx</x:v>
      </x:c>
      <x:c r="B442" s="53" t="str">
        <x:v>تراکنش‌ها</x:v>
      </x:c>
      <x:c r="C442" s="53" t="str">
        <x:v>G19</x:v>
      </x:c>
      <x:c r="D442" s="53" t="str">
        <x:v>ابراهیم خسروانی</x:v>
      </x:c>
      <x:c r="E442" s="53"/>
    </x:row>
    <x:row r="443" ht="15" hidden="0" customHeight="1">
      <x:c r="A443" s="53" t="str">
        <x:v>Anjoman accounting - refined.xlsx</x:v>
      </x:c>
      <x:c r="B443" s="53" t="str">
        <x:v>تراکنش‌ها</x:v>
      </x:c>
      <x:c r="C443" s="53" t="str">
        <x:v>H19</x:v>
      </x:c>
      <x:c r="D443" s="53" t="str">
        <x:v>حق الزحمه خرید تدارکات رویداد معرفی رشته</x:v>
      </x:c>
      <x:c r="E443" s="53"/>
    </x:row>
    <x:row r="444" ht="15" hidden="0" customHeight="1">
      <x:c r="A444" s="53" t="str">
        <x:v>Anjoman accounting - refined.xlsx</x:v>
      </x:c>
      <x:c r="B444" s="53" t="str">
        <x:v>تراکنش‌ها</x:v>
      </x:c>
      <x:c r="C444" s="53" t="str">
        <x:v>I19</x:v>
      </x:c>
      <x:c r="D444" s="53" t="str">
        <x:v>هزینه / عملیاتی</x:v>
      </x:c>
      <x:c r="E444" s="53"/>
    </x:row>
    <x:row r="445" ht="15" hidden="0" customHeight="1">
      <x:c r="A445" s="53" t="str">
        <x:v>Anjoman accounting - refined.xlsx</x:v>
      </x:c>
      <x:c r="B445" s="53" t="str">
        <x:v>تراکنش‌ها</x:v>
      </x:c>
      <x:c r="C445" s="53" t="str">
        <x:v>J19</x:v>
      </x:c>
      <x:c r="D445" s="53" t="str">
        <x:v>تاییدشده</x:v>
      </x:c>
      <x:c r="E445" s="53"/>
    </x:row>
    <x:row r="446" ht="15" hidden="0" customHeight="1">
      <x:c r="A446" s="53" t="str">
        <x:v>Anjoman accounting - refined.xlsx</x:v>
      </x:c>
      <x:c r="B446" s="53" t="str">
        <x:v>تراکنش‌ها</x:v>
      </x:c>
      <x:c r="C446" s="53" t="str">
        <x:v>K19</x:v>
      </x:c>
      <x:c r="D446" s="53" t="str">
        <x:v>دفتر قبلی</x:v>
      </x:c>
      <x:c r="E446" s="53"/>
    </x:row>
    <x:row r="447" ht="15" hidden="0" customHeight="1">
      <x:c r="A447" s="53" t="str">
        <x:v>Anjoman accounting - refined.xlsx</x:v>
      </x:c>
      <x:c r="B447" s="53" t="str">
        <x:v>تراکنش‌ها</x:v>
      </x:c>
      <x:c r="C447" s="53" t="str">
        <x:v>L19</x:v>
      </x:c>
      <x:c r="D447" s="53" t="str">
        <x:v>LEDGER-MAJMOO-017</x:v>
      </x:c>
      <x:c r="E447" s="53"/>
    </x:row>
    <x:row r="448" ht="15" hidden="0" customHeight="1">
      <x:c r="A448" s="53" t="str">
        <x:v>Anjoman accounting - refined.xlsx</x:v>
      </x:c>
      <x:c r="B448" s="53" t="str">
        <x:v>تراکنش‌ها</x:v>
      </x:c>
      <x:c r="C448" s="53" t="str">
        <x:v>M19</x:v>
      </x:c>
      <x:c r="D448" s="53" t="str">
        <x:v>مبلغ از دفتر قبلی خوانده شد؛ نیازمند تطبیق نهایی با شواهد پرداخت.</x:v>
      </x:c>
      <x:c r="E448" s="53"/>
    </x:row>
    <x:row r="449" ht="15" hidden="0" customHeight="1">
      <x:c r="A449" s="53" t="str">
        <x:v>Anjoman accounting - refined.xlsx</x:v>
      </x:c>
      <x:c r="B449" s="53" t="str">
        <x:v>تراکنش‌ها</x:v>
      </x:c>
      <x:c r="C449" s="53" t="str">
        <x:v>A20</x:v>
      </x:c>
      <x:c r="D449" s="53" t="str">
        <x:v>TX-00017</x:v>
      </x:c>
      <x:c r="E449" s="53"/>
    </x:row>
    <x:row r="450" ht="15" hidden="0" customHeight="1">
      <x:c r="A450" s="53" t="str">
        <x:v>Anjoman accounting - refined.xlsx</x:v>
      </x:c>
      <x:c r="B450" s="53" t="str">
        <x:v>تراکنش‌ها</x:v>
      </x:c>
      <x:c r="C450" s="53" t="str">
        <x:v>B20</x:v>
      </x:c>
      <x:c r="D450" s="53" t="str">
        <x:v>درآمد</x:v>
      </x:c>
      <x:c r="E450" s="53"/>
    </x:row>
    <x:row r="451" ht="15" hidden="0" customHeight="1">
      <x:c r="A451" s="53" t="str">
        <x:v>Anjoman accounting - refined.xlsx</x:v>
      </x:c>
      <x:c r="B451" s="53" t="str">
        <x:v>تراکنش‌ها</x:v>
      </x:c>
      <x:c r="C451" s="53" t="str">
        <x:v>C20</x:v>
      </x:c>
      <x:c r="D451" s="53" t="str">
        <x:v>مهر</x:v>
      </x:c>
      <x:c r="E451" s="53"/>
    </x:row>
    <x:row r="452" ht="15" hidden="0" customHeight="1">
      <x:c r="A452" s="53" t="str">
        <x:v>Anjoman accounting - refined.xlsx</x:v>
      </x:c>
      <x:c r="B452" s="53" t="str">
        <x:v>تراکنش‌ها</x:v>
      </x:c>
      <x:c r="C452" s="53" t="str">
        <x:v>D20</x:v>
      </x:c>
      <x:c r="D452" s="53" t="str">
        <x:v>500000</x:v>
      </x:c>
      <x:c r="E452" s="53"/>
    </x:row>
    <x:row r="453" ht="15" hidden="0" customHeight="1">
      <x:c r="A453" s="53" t="str">
        <x:v>Anjoman accounting - refined.xlsx</x:v>
      </x:c>
      <x:c r="B453" s="53" t="str">
        <x:v>تراکنش‌ها</x:v>
      </x:c>
      <x:c r="C453" s="53" t="str">
        <x:v>E20</x:v>
      </x:c>
      <x:c r="D453" s="53" t="str">
        <x:v>تومان</x:v>
      </x:c>
      <x:c r="E453" s="53"/>
    </x:row>
    <x:row r="454" ht="15" hidden="0" customHeight="1">
      <x:c r="A454" s="53" t="str">
        <x:v>Anjoman accounting - refined.xlsx</x:v>
      </x:c>
      <x:c r="B454" s="53" t="str">
        <x:v>تراکنش‌ها</x:v>
      </x:c>
      <x:c r="C454" s="53" t="str">
        <x:v>F20</x:v>
      </x:c>
      <x:c r="D454" s="53" t="str">
        <x:v>500000</x:v>
      </x:c>
      <x:c r="E454" s="53"/>
    </x:row>
    <x:row r="455" ht="15" hidden="0" customHeight="1">
      <x:c r="A455" s="53" t="str">
        <x:v>Anjoman accounting - refined.xlsx</x:v>
      </x:c>
      <x:c r="B455" s="53" t="str">
        <x:v>تراکنش‌ها</x:v>
      </x:c>
      <x:c r="C455" s="53" t="str">
        <x:v>H20</x:v>
      </x:c>
      <x:c r="D455" s="53" t="str">
        <x:v>واریزی دکتر مقیمی برای شیرینی نشست عمومی اساتید</x:v>
      </x:c>
      <x:c r="E455" s="53"/>
    </x:row>
    <x:row r="456" ht="15" hidden="0" customHeight="1">
      <x:c r="A456" s="53" t="str">
        <x:v>Anjoman accounting - refined.xlsx</x:v>
      </x:c>
      <x:c r="B456" s="53" t="str">
        <x:v>تراکنش‌ها</x:v>
      </x:c>
      <x:c r="C456" s="53" t="str">
        <x:v>I20</x:v>
      </x:c>
      <x:c r="D456" s="53" t="str">
        <x:v>درآمد / کمک / رویداد</x:v>
      </x:c>
      <x:c r="E456" s="53"/>
    </x:row>
    <x:row r="457" ht="15" hidden="0" customHeight="1">
      <x:c r="A457" s="53" t="str">
        <x:v>Anjoman accounting - refined.xlsx</x:v>
      </x:c>
      <x:c r="B457" s="53" t="str">
        <x:v>تراکنش‌ها</x:v>
      </x:c>
      <x:c r="C457" s="53" t="str">
        <x:v>J20</x:v>
      </x:c>
      <x:c r="D457" s="53" t="str">
        <x:v>تاییدشده</x:v>
      </x:c>
      <x:c r="E457" s="53"/>
    </x:row>
    <x:row r="458" ht="15" hidden="0" customHeight="1">
      <x:c r="A458" s="53" t="str">
        <x:v>Anjoman accounting - refined.xlsx</x:v>
      </x:c>
      <x:c r="B458" s="53" t="str">
        <x:v>تراکنش‌ها</x:v>
      </x:c>
      <x:c r="C458" s="53" t="str">
        <x:v>K20</x:v>
      </x:c>
      <x:c r="D458" s="53" t="str">
        <x:v>دفتر قبلی</x:v>
      </x:c>
      <x:c r="E458" s="53"/>
    </x:row>
    <x:row r="459" ht="15" hidden="0" customHeight="1">
      <x:c r="A459" s="53" t="str">
        <x:v>Anjoman accounting - refined.xlsx</x:v>
      </x:c>
      <x:c r="B459" s="53" t="str">
        <x:v>تراکنش‌ها</x:v>
      </x:c>
      <x:c r="C459" s="53" t="str">
        <x:v>L20</x:v>
      </x:c>
      <x:c r="D459" s="53" t="str">
        <x:v>LEDGER-MAJMOO-019</x:v>
      </x:c>
      <x:c r="E459" s="53"/>
    </x:row>
    <x:row r="460" ht="15" hidden="0" customHeight="1">
      <x:c r="A460" s="53" t="str">
        <x:v>Anjoman accounting - refined.xlsx</x:v>
      </x:c>
      <x:c r="B460" s="53" t="str">
        <x:v>تراکنش‌ها</x:v>
      </x:c>
      <x:c r="C460" s="53" t="str">
        <x:v>M20</x:v>
      </x:c>
      <x:c r="D460" s="53" t="str">
        <x:v>مبلغ از دفتر قبلی خوانده شد؛ نیازمند تطبیق نهایی با شواهد بانکی/رسید.</x:v>
      </x:c>
      <x:c r="E460" s="53"/>
    </x:row>
    <x:row r="461" ht="15" hidden="0" customHeight="1">
      <x:c r="A461" s="53" t="str">
        <x:v>Anjoman accounting - refined.xlsx</x:v>
      </x:c>
      <x:c r="B461" s="53" t="str">
        <x:v>تراکنش‌ها</x:v>
      </x:c>
      <x:c r="C461" s="53" t="str">
        <x:v>A21</x:v>
      </x:c>
      <x:c r="D461" s="53" t="str">
        <x:v>TX-00018</x:v>
      </x:c>
      <x:c r="E461" s="53"/>
    </x:row>
    <x:row r="462" ht="15" hidden="0" customHeight="1">
      <x:c r="A462" s="53" t="str">
        <x:v>Anjoman accounting - refined.xlsx</x:v>
      </x:c>
      <x:c r="B462" s="53" t="str">
        <x:v>تراکنش‌ها</x:v>
      </x:c>
      <x:c r="C462" s="53" t="str">
        <x:v>B21</x:v>
      </x:c>
      <x:c r="D462" s="53" t="str">
        <x:v>هزینه</x:v>
      </x:c>
      <x:c r="E462" s="53"/>
    </x:row>
    <x:row r="463" ht="15" hidden="0" customHeight="1">
      <x:c r="A463" s="53" t="str">
        <x:v>Anjoman accounting - refined.xlsx</x:v>
      </x:c>
      <x:c r="B463" s="53" t="str">
        <x:v>تراکنش‌ها</x:v>
      </x:c>
      <x:c r="C463" s="53" t="str">
        <x:v>C21</x:v>
      </x:c>
      <x:c r="D463" s="53" t="str">
        <x:v>مهر</x:v>
      </x:c>
      <x:c r="E463" s="53"/>
    </x:row>
    <x:row r="464" ht="15" hidden="0" customHeight="1">
      <x:c r="A464" s="53" t="str">
        <x:v>Anjoman accounting - refined.xlsx</x:v>
      </x:c>
      <x:c r="B464" s="53" t="str">
        <x:v>تراکنش‌ها</x:v>
      </x:c>
      <x:c r="C464" s="53" t="str">
        <x:v>D21</x:v>
      </x:c>
      <x:c r="D464" s="53" t="str">
        <x:v>90000</x:v>
      </x:c>
      <x:c r="E464" s="53"/>
    </x:row>
    <x:row r="465" ht="15" hidden="0" customHeight="1">
      <x:c r="A465" s="53" t="str">
        <x:v>Anjoman accounting - refined.xlsx</x:v>
      </x:c>
      <x:c r="B465" s="53" t="str">
        <x:v>تراکنش‌ها</x:v>
      </x:c>
      <x:c r="C465" s="53" t="str">
        <x:v>E21</x:v>
      </x:c>
      <x:c r="D465" s="53" t="str">
        <x:v>تومان</x:v>
      </x:c>
      <x:c r="E465" s="53"/>
    </x:row>
    <x:row r="466" ht="15" hidden="0" customHeight="1">
      <x:c r="A466" s="53" t="str">
        <x:v>Anjoman accounting - refined.xlsx</x:v>
      </x:c>
      <x:c r="B466" s="53" t="str">
        <x:v>تراکنش‌ها</x:v>
      </x:c>
      <x:c r="C466" s="53" t="str">
        <x:v>F21</x:v>
      </x:c>
      <x:c r="D466" s="53" t="str">
        <x:v>90000</x:v>
      </x:c>
      <x:c r="E466" s="53"/>
    </x:row>
    <x:row r="467" ht="15" hidden="0" customHeight="1">
      <x:c r="A467" s="53" t="str">
        <x:v>Anjoman accounting - refined.xlsx</x:v>
      </x:c>
      <x:c r="B467" s="53" t="str">
        <x:v>تراکنش‌ها</x:v>
      </x:c>
      <x:c r="C467" s="53" t="str">
        <x:v>H21</x:v>
      </x:c>
      <x:c r="D467" s="53" t="str">
        <x:v>پوستر نشست عمومی با اساتید و حلقه های کوانتا(هفته 19مهر)</x:v>
      </x:c>
      <x:c r="E467" s="53"/>
    </x:row>
    <x:row r="468" ht="15" hidden="0" customHeight="1">
      <x:c r="A468" s="53" t="str">
        <x:v>Anjoman accounting - refined.xlsx</x:v>
      </x:c>
      <x:c r="B468" s="53" t="str">
        <x:v>تراکنش‌ها</x:v>
      </x:c>
      <x:c r="C468" s="53" t="str">
        <x:v>I21</x:v>
      </x:c>
      <x:c r="D468" s="53" t="str">
        <x:v>هزینه / عملیاتی</x:v>
      </x:c>
      <x:c r="E468" s="53"/>
    </x:row>
    <x:row r="469" ht="15" hidden="0" customHeight="1">
      <x:c r="A469" s="53" t="str">
        <x:v>Anjoman accounting - refined.xlsx</x:v>
      </x:c>
      <x:c r="B469" s="53" t="str">
        <x:v>تراکنش‌ها</x:v>
      </x:c>
      <x:c r="C469" s="53" t="str">
        <x:v>J21</x:v>
      </x:c>
      <x:c r="D469" s="53" t="str">
        <x:v>تاییدشده</x:v>
      </x:c>
      <x:c r="E469" s="53"/>
    </x:row>
    <x:row r="470" ht="15" hidden="0" customHeight="1">
      <x:c r="A470" s="53" t="str">
        <x:v>Anjoman accounting - refined.xlsx</x:v>
      </x:c>
      <x:c r="B470" s="53" t="str">
        <x:v>تراکنش‌ها</x:v>
      </x:c>
      <x:c r="C470" s="53" t="str">
        <x:v>K21</x:v>
      </x:c>
      <x:c r="D470" s="53" t="str">
        <x:v>دفتر قبلی</x:v>
      </x:c>
      <x:c r="E470" s="53"/>
    </x:row>
    <x:row r="471" ht="15" hidden="0" customHeight="1">
      <x:c r="A471" s="53" t="str">
        <x:v>Anjoman accounting - refined.xlsx</x:v>
      </x:c>
      <x:c r="B471" s="53" t="str">
        <x:v>تراکنش‌ها</x:v>
      </x:c>
      <x:c r="C471" s="53" t="str">
        <x:v>L21</x:v>
      </x:c>
      <x:c r="D471" s="53" t="str">
        <x:v>LEDGER-MAJMOO-019</x:v>
      </x:c>
      <x:c r="E471" s="53"/>
    </x:row>
    <x:row r="472" ht="15" hidden="0" customHeight="1">
      <x:c r="A472" s="53" t="str">
        <x:v>Anjoman accounting - refined.xlsx</x:v>
      </x:c>
      <x:c r="B472" s="53" t="str">
        <x:v>تراکنش‌ها</x:v>
      </x:c>
      <x:c r="C472" s="53" t="str">
        <x:v>M21</x:v>
      </x:c>
      <x:c r="D472" s="53" t="str">
        <x:v>مبلغ از دفتر قبلی خوانده شد؛ نیازمند تطبیق نهایی با شواهد پرداخت.</x:v>
      </x:c>
      <x:c r="E472" s="53"/>
    </x:row>
    <x:row r="473" ht="15" hidden="0" customHeight="1">
      <x:c r="A473" s="53" t="str">
        <x:v>Anjoman accounting - refined.xlsx</x:v>
      </x:c>
      <x:c r="B473" s="53" t="str">
        <x:v>تراکنش‌ها</x:v>
      </x:c>
      <x:c r="C473" s="53" t="str">
        <x:v>A22</x:v>
      </x:c>
      <x:c r="D473" s="53" t="str">
        <x:v>TX-00019</x:v>
      </x:c>
      <x:c r="E473" s="53"/>
    </x:row>
    <x:row r="474" ht="15" hidden="0" customHeight="1">
      <x:c r="A474" s="53" t="str">
        <x:v>Anjoman accounting - refined.xlsx</x:v>
      </x:c>
      <x:c r="B474" s="53" t="str">
        <x:v>تراکنش‌ها</x:v>
      </x:c>
      <x:c r="C474" s="53" t="str">
        <x:v>B22</x:v>
      </x:c>
      <x:c r="D474" s="53" t="str">
        <x:v>هزینه</x:v>
      </x:c>
      <x:c r="E474" s="53"/>
    </x:row>
    <x:row r="475" ht="15" hidden="0" customHeight="1">
      <x:c r="A475" s="53" t="str">
        <x:v>Anjoman accounting - refined.xlsx</x:v>
      </x:c>
      <x:c r="B475" s="53" t="str">
        <x:v>تراکنش‌ها</x:v>
      </x:c>
      <x:c r="C475" s="53" t="str">
        <x:v>C22</x:v>
      </x:c>
      <x:c r="D475" s="53" t="str">
        <x:v>مهر</x:v>
      </x:c>
      <x:c r="E475" s="53"/>
    </x:row>
    <x:row r="476" ht="15" hidden="0" customHeight="1">
      <x:c r="A476" s="53" t="str">
        <x:v>Anjoman accounting - refined.xlsx</x:v>
      </x:c>
      <x:c r="B476" s="53" t="str">
        <x:v>تراکنش‌ها</x:v>
      </x:c>
      <x:c r="C476" s="53" t="str">
        <x:v>D22</x:v>
      </x:c>
      <x:c r="D476" s="53" t="str">
        <x:v>1052375</x:v>
      </x:c>
      <x:c r="E476" s="53"/>
    </x:row>
    <x:row r="477" ht="15" hidden="0" customHeight="1">
      <x:c r="A477" s="53" t="str">
        <x:v>Anjoman accounting - refined.xlsx</x:v>
      </x:c>
      <x:c r="B477" s="53" t="str">
        <x:v>تراکنش‌ها</x:v>
      </x:c>
      <x:c r="C477" s="53" t="str">
        <x:v>E22</x:v>
      </x:c>
      <x:c r="D477" s="53" t="str">
        <x:v>تومان</x:v>
      </x:c>
      <x:c r="E477" s="53"/>
    </x:row>
    <x:row r="478" ht="15" hidden="0" customHeight="1">
      <x:c r="A478" s="53" t="str">
        <x:v>Anjoman accounting - refined.xlsx</x:v>
      </x:c>
      <x:c r="B478" s="53" t="str">
        <x:v>تراکنش‌ها</x:v>
      </x:c>
      <x:c r="C478" s="53" t="str">
        <x:v>F22</x:v>
      </x:c>
      <x:c r="D478" s="53" t="str">
        <x:v>1052375</x:v>
      </x:c>
      <x:c r="E478" s="53"/>
    </x:row>
    <x:row r="479" ht="15" hidden="0" customHeight="1">
      <x:c r="A479" s="53" t="str">
        <x:v>Anjoman accounting - refined.xlsx</x:v>
      </x:c>
      <x:c r="B479" s="53" t="str">
        <x:v>تراکنش‌ها</x:v>
      </x:c>
      <x:c r="C479" s="53" t="str">
        <x:v>H22</x:v>
      </x:c>
      <x:c r="D479" s="53" t="str">
        <x:v>شیرینی نشست عمومی با اساتید</x:v>
      </x:c>
      <x:c r="E479" s="53"/>
    </x:row>
    <x:row r="480" ht="15" hidden="0" customHeight="1">
      <x:c r="A480" s="53" t="str">
        <x:v>Anjoman accounting - refined.xlsx</x:v>
      </x:c>
      <x:c r="B480" s="53" t="str">
        <x:v>تراکنش‌ها</x:v>
      </x:c>
      <x:c r="C480" s="53" t="str">
        <x:v>I22</x:v>
      </x:c>
      <x:c r="D480" s="53" t="str">
        <x:v>هزینه / عملیاتی</x:v>
      </x:c>
      <x:c r="E480" s="53"/>
    </x:row>
    <x:row r="481" ht="15" hidden="0" customHeight="1">
      <x:c r="A481" s="53" t="str">
        <x:v>Anjoman accounting - refined.xlsx</x:v>
      </x:c>
      <x:c r="B481" s="53" t="str">
        <x:v>تراکنش‌ها</x:v>
      </x:c>
      <x:c r="C481" s="53" t="str">
        <x:v>J22</x:v>
      </x:c>
      <x:c r="D481" s="53" t="str">
        <x:v>تاییدشده</x:v>
      </x:c>
      <x:c r="E481" s="53"/>
    </x:row>
    <x:row r="482" ht="15" hidden="0" customHeight="1">
      <x:c r="A482" s="53" t="str">
        <x:v>Anjoman accounting - refined.xlsx</x:v>
      </x:c>
      <x:c r="B482" s="53" t="str">
        <x:v>تراکنش‌ها</x:v>
      </x:c>
      <x:c r="C482" s="53" t="str">
        <x:v>K22</x:v>
      </x:c>
      <x:c r="D482" s="53" t="str">
        <x:v>دفتر قبلی</x:v>
      </x:c>
      <x:c r="E482" s="53"/>
    </x:row>
    <x:row r="483" ht="15" hidden="0" customHeight="1">
      <x:c r="A483" s="53" t="str">
        <x:v>Anjoman accounting - refined.xlsx</x:v>
      </x:c>
      <x:c r="B483" s="53" t="str">
        <x:v>تراکنش‌ها</x:v>
      </x:c>
      <x:c r="C483" s="53" t="str">
        <x:v>L22</x:v>
      </x:c>
      <x:c r="D483" s="53" t="str">
        <x:v>LEDGER-MAJMOO-020</x:v>
      </x:c>
      <x:c r="E483" s="53"/>
    </x:row>
    <x:row r="484" ht="15" hidden="0" customHeight="1">
      <x:c r="A484" s="53" t="str">
        <x:v>Anjoman accounting - refined.xlsx</x:v>
      </x:c>
      <x:c r="B484" s="53" t="str">
        <x:v>تراکنش‌ها</x:v>
      </x:c>
      <x:c r="C484" s="53" t="str">
        <x:v>M22</x:v>
      </x:c>
      <x:c r="D484" s="53" t="str">
        <x:v>مبلغ از دفتر قبلی خوانده شد؛ نیازمند تطبیق نهایی با شواهد پرداخت.</x:v>
      </x:c>
      <x:c r="E484" s="53"/>
    </x:row>
    <x:row r="485" ht="15" hidden="0" customHeight="1">
      <x:c r="A485" s="53" t="str">
        <x:v>Anjoman accounting - refined.xlsx</x:v>
      </x:c>
      <x:c r="B485" s="53" t="str">
        <x:v>تراکنش‌ها</x:v>
      </x:c>
      <x:c r="C485" s="53" t="str">
        <x:v>A23</x:v>
      </x:c>
      <x:c r="D485" s="53" t="str">
        <x:v>TX-00020</x:v>
      </x:c>
      <x:c r="E485" s="53"/>
    </x:row>
    <x:row r="486" ht="15" hidden="0" customHeight="1">
      <x:c r="A486" s="53" t="str">
        <x:v>Anjoman accounting - refined.xlsx</x:v>
      </x:c>
      <x:c r="B486" s="53" t="str">
        <x:v>تراکنش‌ها</x:v>
      </x:c>
      <x:c r="C486" s="53" t="str">
        <x:v>B23</x:v>
      </x:c>
      <x:c r="D486" s="53" t="str">
        <x:v>هزینه</x:v>
      </x:c>
      <x:c r="E486" s="53"/>
    </x:row>
    <x:row r="487" ht="15" hidden="0" customHeight="1">
      <x:c r="A487" s="53" t="str">
        <x:v>Anjoman accounting - refined.xlsx</x:v>
      </x:c>
      <x:c r="B487" s="53" t="str">
        <x:v>تراکنش‌ها</x:v>
      </x:c>
      <x:c r="C487" s="53" t="str">
        <x:v>C23</x:v>
      </x:c>
      <x:c r="D487" s="53" t="str">
        <x:v>مهر</x:v>
      </x:c>
      <x:c r="E487" s="53"/>
    </x:row>
    <x:row r="488" ht="15" hidden="0" customHeight="1">
      <x:c r="A488" s="53" t="str">
        <x:v>Anjoman accounting - refined.xlsx</x:v>
      </x:c>
      <x:c r="B488" s="53" t="str">
        <x:v>تراکنش‌ها</x:v>
      </x:c>
      <x:c r="C488" s="53" t="str">
        <x:v>D23</x:v>
      </x:c>
      <x:c r="D488" s="53" t="str">
        <x:v>790000</x:v>
      </x:c>
      <x:c r="E488" s="53"/>
    </x:row>
    <x:row r="489" ht="15" hidden="0" customHeight="1">
      <x:c r="A489" s="53" t="str">
        <x:v>Anjoman accounting - refined.xlsx</x:v>
      </x:c>
      <x:c r="B489" s="53" t="str">
        <x:v>تراکنش‌ها</x:v>
      </x:c>
      <x:c r="C489" s="53" t="str">
        <x:v>E23</x:v>
      </x:c>
      <x:c r="D489" s="53" t="str">
        <x:v>تومان</x:v>
      </x:c>
      <x:c r="E489" s="53"/>
    </x:row>
    <x:row r="490" ht="15" hidden="0" customHeight="1">
      <x:c r="A490" s="53" t="str">
        <x:v>Anjoman accounting - refined.xlsx</x:v>
      </x:c>
      <x:c r="B490" s="53" t="str">
        <x:v>تراکنش‌ها</x:v>
      </x:c>
      <x:c r="C490" s="53" t="str">
        <x:v>F23</x:v>
      </x:c>
      <x:c r="D490" s="53" t="str">
        <x:v>790000</x:v>
      </x:c>
      <x:c r="E490" s="53"/>
    </x:row>
    <x:row r="491" ht="15" hidden="0" customHeight="1">
      <x:c r="A491" s="53" t="str">
        <x:v>Anjoman accounting - refined.xlsx</x:v>
      </x:c>
      <x:c r="B491" s="53" t="str">
        <x:v>تراکنش‌ها</x:v>
      </x:c>
      <x:c r="C491" s="53" t="str">
        <x:v>H23</x:v>
      </x:c>
      <x:c r="D491" s="53" t="str">
        <x:v>2*50 لیوان + 3*40 بیسکوییت+100چای برای انجمن چای</x:v>
      </x:c>
      <x:c r="E491" s="53"/>
    </x:row>
    <x:row r="492" ht="15" hidden="0" customHeight="1">
      <x:c r="A492" s="53" t="str">
        <x:v>Anjoman accounting - refined.xlsx</x:v>
      </x:c>
      <x:c r="B492" s="53" t="str">
        <x:v>تراکنش‌ها</x:v>
      </x:c>
      <x:c r="C492" s="53" t="str">
        <x:v>I23</x:v>
      </x:c>
      <x:c r="D492" s="53" t="str">
        <x:v>هزینه / عملیاتی</x:v>
      </x:c>
      <x:c r="E492" s="53"/>
    </x:row>
    <x:row r="493" ht="15" hidden="0" customHeight="1">
      <x:c r="A493" s="53" t="str">
        <x:v>Anjoman accounting - refined.xlsx</x:v>
      </x:c>
      <x:c r="B493" s="53" t="str">
        <x:v>تراکنش‌ها</x:v>
      </x:c>
      <x:c r="C493" s="53" t="str">
        <x:v>J23</x:v>
      </x:c>
      <x:c r="D493" s="53" t="str">
        <x:v>تاییدشده</x:v>
      </x:c>
      <x:c r="E493" s="53"/>
    </x:row>
    <x:row r="494" ht="15" hidden="0" customHeight="1">
      <x:c r="A494" s="53" t="str">
        <x:v>Anjoman accounting - refined.xlsx</x:v>
      </x:c>
      <x:c r="B494" s="53" t="str">
        <x:v>تراکنش‌ها</x:v>
      </x:c>
      <x:c r="C494" s="53" t="str">
        <x:v>K23</x:v>
      </x:c>
      <x:c r="D494" s="53" t="str">
        <x:v>دفتر قبلی</x:v>
      </x:c>
      <x:c r="E494" s="53"/>
    </x:row>
    <x:row r="495" ht="15" hidden="0" customHeight="1">
      <x:c r="A495" s="53" t="str">
        <x:v>Anjoman accounting - refined.xlsx</x:v>
      </x:c>
      <x:c r="B495" s="53" t="str">
        <x:v>تراکنش‌ها</x:v>
      </x:c>
      <x:c r="C495" s="53" t="str">
        <x:v>L23</x:v>
      </x:c>
      <x:c r="D495" s="53" t="str">
        <x:v>LEDGER-MAJMOO-021</x:v>
      </x:c>
      <x:c r="E495" s="53"/>
    </x:row>
    <x:row r="496" ht="15" hidden="0" customHeight="1">
      <x:c r="A496" s="53" t="str">
        <x:v>Anjoman accounting - refined.xlsx</x:v>
      </x:c>
      <x:c r="B496" s="53" t="str">
        <x:v>تراکنش‌ها</x:v>
      </x:c>
      <x:c r="C496" s="53" t="str">
        <x:v>M23</x:v>
      </x:c>
      <x:c r="D496" s="53" t="str">
        <x:v>مبلغ از دفتر قبلی خوانده شد؛ نیازمند تطبیق نهایی با شواهد پرداخت.</x:v>
      </x:c>
      <x:c r="E496" s="53"/>
    </x:row>
    <x:row r="497" ht="15" hidden="0" customHeight="1">
      <x:c r="A497" s="53" t="str">
        <x:v>Anjoman accounting - refined.xlsx</x:v>
      </x:c>
      <x:c r="B497" s="53" t="str">
        <x:v>تراکنش‌ها</x:v>
      </x:c>
      <x:c r="C497" s="53" t="str">
        <x:v>A24</x:v>
      </x:c>
      <x:c r="D497" s="53" t="str">
        <x:v>TX-00021</x:v>
      </x:c>
      <x:c r="E497" s="53"/>
    </x:row>
    <x:row r="498" ht="15" hidden="0" customHeight="1">
      <x:c r="A498" s="53" t="str">
        <x:v>Anjoman accounting - refined.xlsx</x:v>
      </x:c>
      <x:c r="B498" s="53" t="str">
        <x:v>تراکنش‌ها</x:v>
      </x:c>
      <x:c r="C498" s="53" t="str">
        <x:v>B24</x:v>
      </x:c>
      <x:c r="D498" s="53" t="str">
        <x:v>هزینه</x:v>
      </x:c>
      <x:c r="E498" s="53"/>
    </x:row>
    <x:row r="499" ht="15" hidden="0" customHeight="1">
      <x:c r="A499" s="53" t="str">
        <x:v>Anjoman accounting - refined.xlsx</x:v>
      </x:c>
      <x:c r="B499" s="53" t="str">
        <x:v>تراکنش‌ها</x:v>
      </x:c>
      <x:c r="C499" s="53" t="str">
        <x:v>C24</x:v>
      </x:c>
      <x:c r="D499" s="53" t="str">
        <x:v>مهر</x:v>
      </x:c>
      <x:c r="E499" s="53"/>
    </x:row>
    <x:row r="500" ht="15" hidden="0" customHeight="1">
      <x:c r="A500" s="53" t="str">
        <x:v>Anjoman accounting - refined.xlsx</x:v>
      </x:c>
      <x:c r="B500" s="53" t="str">
        <x:v>تراکنش‌ها</x:v>
      </x:c>
      <x:c r="C500" s="53" t="str">
        <x:v>D24</x:v>
      </x:c>
      <x:c r="D500" s="53" t="str">
        <x:v>912850</x:v>
      </x:c>
      <x:c r="E500" s="53"/>
    </x:row>
    <x:row r="501" ht="15" hidden="0" customHeight="1">
      <x:c r="A501" s="53" t="str">
        <x:v>Anjoman accounting - refined.xlsx</x:v>
      </x:c>
      <x:c r="B501" s="53" t="str">
        <x:v>تراکنش‌ها</x:v>
      </x:c>
      <x:c r="C501" s="53" t="str">
        <x:v>E24</x:v>
      </x:c>
      <x:c r="D501" s="53" t="str">
        <x:v>تومان</x:v>
      </x:c>
      <x:c r="E501" s="53"/>
    </x:row>
    <x:row r="502" ht="15" hidden="0" customHeight="1">
      <x:c r="A502" s="53" t="str">
        <x:v>Anjoman accounting - refined.xlsx</x:v>
      </x:c>
      <x:c r="B502" s="53" t="str">
        <x:v>تراکنش‌ها</x:v>
      </x:c>
      <x:c r="C502" s="53" t="str">
        <x:v>F24</x:v>
      </x:c>
      <x:c r="D502" s="53" t="str">
        <x:v>912850</x:v>
      </x:c>
      <x:c r="E502" s="53"/>
    </x:row>
    <x:row r="503" ht="15" hidden="0" customHeight="1">
      <x:c r="A503" s="53" t="str">
        <x:v>Anjoman accounting - refined.xlsx</x:v>
      </x:c>
      <x:c r="B503" s="53" t="str">
        <x:v>تراکنش‌ها</x:v>
      </x:c>
      <x:c r="C503" s="53" t="str">
        <x:v>H24</x:v>
      </x:c>
      <x:c r="D503" s="53" t="str">
        <x:v>شیریننی نشست انجمن چای</x:v>
      </x:c>
      <x:c r="E503" s="53"/>
    </x:row>
    <x:row r="504" ht="15" hidden="0" customHeight="1">
      <x:c r="A504" s="53" t="str">
        <x:v>Anjoman accounting - refined.xlsx</x:v>
      </x:c>
      <x:c r="B504" s="53" t="str">
        <x:v>تراکنش‌ها</x:v>
      </x:c>
      <x:c r="C504" s="53" t="str">
        <x:v>I24</x:v>
      </x:c>
      <x:c r="D504" s="53" t="str">
        <x:v>هزینه / عملیاتی</x:v>
      </x:c>
      <x:c r="E504" s="53"/>
    </x:row>
    <x:row r="505" ht="15" hidden="0" customHeight="1">
      <x:c r="A505" s="53" t="str">
        <x:v>Anjoman accounting - refined.xlsx</x:v>
      </x:c>
      <x:c r="B505" s="53" t="str">
        <x:v>تراکنش‌ها</x:v>
      </x:c>
      <x:c r="C505" s="53" t="str">
        <x:v>J24</x:v>
      </x:c>
      <x:c r="D505" s="53" t="str">
        <x:v>تاییدشده</x:v>
      </x:c>
      <x:c r="E505" s="53"/>
    </x:row>
    <x:row r="506" ht="15" hidden="0" customHeight="1">
      <x:c r="A506" s="53" t="str">
        <x:v>Anjoman accounting - refined.xlsx</x:v>
      </x:c>
      <x:c r="B506" s="53" t="str">
        <x:v>تراکنش‌ها</x:v>
      </x:c>
      <x:c r="C506" s="53" t="str">
        <x:v>K24</x:v>
      </x:c>
      <x:c r="D506" s="53" t="str">
        <x:v>دفتر قبلی</x:v>
      </x:c>
      <x:c r="E506" s="53"/>
    </x:row>
    <x:row r="507" ht="15" hidden="0" customHeight="1">
      <x:c r="A507" s="53" t="str">
        <x:v>Anjoman accounting - refined.xlsx</x:v>
      </x:c>
      <x:c r="B507" s="53" t="str">
        <x:v>تراکنش‌ها</x:v>
      </x:c>
      <x:c r="C507" s="53" t="str">
        <x:v>L24</x:v>
      </x:c>
      <x:c r="D507" s="53" t="str">
        <x:v>LEDGER-MAJMOO-022</x:v>
      </x:c>
      <x:c r="E507" s="53"/>
    </x:row>
    <x:row r="508" ht="15" hidden="0" customHeight="1">
      <x:c r="A508" s="53" t="str">
        <x:v>Anjoman accounting - refined.xlsx</x:v>
      </x:c>
      <x:c r="B508" s="53" t="str">
        <x:v>تراکنش‌ها</x:v>
      </x:c>
      <x:c r="C508" s="53" t="str">
        <x:v>M24</x:v>
      </x:c>
      <x:c r="D508" s="53" t="str">
        <x:v>مبلغ از دفتر قبلی خوانده شد؛ نیازمند تطبیق نهایی با شواهد پرداخت.</x:v>
      </x:c>
      <x:c r="E508" s="53"/>
    </x:row>
    <x:row r="509" ht="15" hidden="0" customHeight="1">
      <x:c r="A509" s="53" t="str">
        <x:v>Anjoman accounting - refined.xlsx</x:v>
      </x:c>
      <x:c r="B509" s="53" t="str">
        <x:v>تراکنش‌ها</x:v>
      </x:c>
      <x:c r="C509" s="53" t="str">
        <x:v>A25</x:v>
      </x:c>
      <x:c r="D509" s="53" t="str">
        <x:v>TX-00022</x:v>
      </x:c>
      <x:c r="E509" s="53"/>
    </x:row>
    <x:row r="510" ht="15" hidden="0" customHeight="1">
      <x:c r="A510" s="53" t="str">
        <x:v>Anjoman accounting - refined.xlsx</x:v>
      </x:c>
      <x:c r="B510" s="53" t="str">
        <x:v>تراکنش‌ها</x:v>
      </x:c>
      <x:c r="C510" s="53" t="str">
        <x:v>B25</x:v>
      </x:c>
      <x:c r="D510" s="53" t="str">
        <x:v>هزینه</x:v>
      </x:c>
      <x:c r="E510" s="53"/>
    </x:row>
    <x:row r="511" ht="15" hidden="0" customHeight="1">
      <x:c r="A511" s="53" t="str">
        <x:v>Anjoman accounting - refined.xlsx</x:v>
      </x:c>
      <x:c r="B511" s="53" t="str">
        <x:v>تراکنش‌ها</x:v>
      </x:c>
      <x:c r="C511" s="53" t="str">
        <x:v>C25</x:v>
      </x:c>
      <x:c r="D511" s="53" t="str">
        <x:v>مهر</x:v>
      </x:c>
      <x:c r="E511" s="53"/>
    </x:row>
    <x:row r="512" ht="15" hidden="0" customHeight="1">
      <x:c r="A512" s="53" t="str">
        <x:v>Anjoman accounting - refined.xlsx</x:v>
      </x:c>
      <x:c r="B512" s="53" t="str">
        <x:v>تراکنش‌ها</x:v>
      </x:c>
      <x:c r="C512" s="53" t="str">
        <x:v>D25</x:v>
      </x:c>
      <x:c r="D512" s="53" t="str">
        <x:v>1052375</x:v>
      </x:c>
      <x:c r="E512" s="53"/>
    </x:row>
    <x:row r="513" ht="15" hidden="0" customHeight="1">
      <x:c r="A513" s="53" t="str">
        <x:v>Anjoman accounting - refined.xlsx</x:v>
      </x:c>
      <x:c r="B513" s="53" t="str">
        <x:v>تراکنش‌ها</x:v>
      </x:c>
      <x:c r="C513" s="53" t="str">
        <x:v>E25</x:v>
      </x:c>
      <x:c r="D513" s="53" t="str">
        <x:v>تومان</x:v>
      </x:c>
      <x:c r="E513" s="53"/>
    </x:row>
    <x:row r="514" ht="15" hidden="0" customHeight="1">
      <x:c r="A514" s="53" t="str">
        <x:v>Anjoman accounting - refined.xlsx</x:v>
      </x:c>
      <x:c r="B514" s="53" t="str">
        <x:v>تراکنش‌ها</x:v>
      </x:c>
      <x:c r="C514" s="53" t="str">
        <x:v>F25</x:v>
      </x:c>
      <x:c r="D514" s="53" t="str">
        <x:v>1052375</x:v>
      </x:c>
      <x:c r="E514" s="53"/>
    </x:row>
    <x:row r="515" ht="15" hidden="0" customHeight="1">
      <x:c r="A515" s="53" t="str">
        <x:v>Anjoman accounting - refined.xlsx</x:v>
      </x:c>
      <x:c r="B515" s="53" t="str">
        <x:v>تراکنش‌ها</x:v>
      </x:c>
      <x:c r="C515" s="53" t="str">
        <x:v>H25</x:v>
      </x:c>
      <x:c r="D515" s="53" t="str">
        <x:v>شیرینی دیدار با اساتید</x:v>
      </x:c>
      <x:c r="E515" s="53"/>
    </x:row>
    <x:row r="516" ht="15" hidden="0" customHeight="1">
      <x:c r="A516" s="53" t="str">
        <x:v>Anjoman accounting - refined.xlsx</x:v>
      </x:c>
      <x:c r="B516" s="53" t="str">
        <x:v>تراکنش‌ها</x:v>
      </x:c>
      <x:c r="C516" s="53" t="str">
        <x:v>I25</x:v>
      </x:c>
      <x:c r="D516" s="53" t="str">
        <x:v>هزینه / عملیاتی</x:v>
      </x:c>
      <x:c r="E516" s="53"/>
    </x:row>
    <x:row r="517" ht="15" hidden="0" customHeight="1">
      <x:c r="A517" s="53" t="str">
        <x:v>Anjoman accounting - refined.xlsx</x:v>
      </x:c>
      <x:c r="B517" s="53" t="str">
        <x:v>تراکنش‌ها</x:v>
      </x:c>
      <x:c r="C517" s="53" t="str">
        <x:v>J25</x:v>
      </x:c>
      <x:c r="D517" s="53" t="str">
        <x:v>تاییدشده</x:v>
      </x:c>
      <x:c r="E517" s="53"/>
    </x:row>
    <x:row r="518" ht="15" hidden="0" customHeight="1">
      <x:c r="A518" s="53" t="str">
        <x:v>Anjoman accounting - refined.xlsx</x:v>
      </x:c>
      <x:c r="B518" s="53" t="str">
        <x:v>تراکنش‌ها</x:v>
      </x:c>
      <x:c r="C518" s="53" t="str">
        <x:v>K25</x:v>
      </x:c>
      <x:c r="D518" s="53" t="str">
        <x:v>دفتر قبلی</x:v>
      </x:c>
      <x:c r="E518" s="53"/>
    </x:row>
    <x:row r="519" ht="15" hidden="0" customHeight="1">
      <x:c r="A519" s="53" t="str">
        <x:v>Anjoman accounting - refined.xlsx</x:v>
      </x:c>
      <x:c r="B519" s="53" t="str">
        <x:v>تراکنش‌ها</x:v>
      </x:c>
      <x:c r="C519" s="53" t="str">
        <x:v>L25</x:v>
      </x:c>
      <x:c r="D519" s="53" t="str">
        <x:v>LEDGER-MAJMOO-023</x:v>
      </x:c>
      <x:c r="E519" s="53"/>
    </x:row>
    <x:row r="520" ht="15" hidden="0" customHeight="1">
      <x:c r="A520" s="53" t="str">
        <x:v>Anjoman accounting - refined.xlsx</x:v>
      </x:c>
      <x:c r="B520" s="53" t="str">
        <x:v>تراکنش‌ها</x:v>
      </x:c>
      <x:c r="C520" s="53" t="str">
        <x:v>M25</x:v>
      </x:c>
      <x:c r="D520" s="53" t="str">
        <x:v>مبلغ از دفتر قبلی خوانده شد؛ نیازمند تطبیق نهایی با شواهد پرداخت.</x:v>
      </x:c>
      <x:c r="E520" s="53"/>
    </x:row>
    <x:row r="521" ht="15" hidden="0" customHeight="1">
      <x:c r="A521" s="53" t="str">
        <x:v>Anjoman accounting - refined.xlsx</x:v>
      </x:c>
      <x:c r="B521" s="53" t="str">
        <x:v>تراکنش‌ها</x:v>
      </x:c>
      <x:c r="C521" s="53" t="str">
        <x:v>A26</x:v>
      </x:c>
      <x:c r="D521" s="53" t="str">
        <x:v>TX-00023</x:v>
      </x:c>
      <x:c r="E521" s="53"/>
    </x:row>
    <x:row r="522" ht="15" hidden="0" customHeight="1">
      <x:c r="A522" s="53" t="str">
        <x:v>Anjoman accounting - refined.xlsx</x:v>
      </x:c>
      <x:c r="B522" s="53" t="str">
        <x:v>تراکنش‌ها</x:v>
      </x:c>
      <x:c r="C522" s="53" t="str">
        <x:v>B26</x:v>
      </x:c>
      <x:c r="D522" s="53" t="str">
        <x:v>درآمد</x:v>
      </x:c>
      <x:c r="E522" s="53"/>
    </x:row>
    <x:row r="523" ht="15" hidden="0" customHeight="1">
      <x:c r="A523" s="53" t="str">
        <x:v>Anjoman accounting - refined.xlsx</x:v>
      </x:c>
      <x:c r="B523" s="53" t="str">
        <x:v>تراکنش‌ها</x:v>
      </x:c>
      <x:c r="C523" s="53" t="str">
        <x:v>C26</x:v>
      </x:c>
      <x:c r="D523" s="53" t="str">
        <x:v>آبان</x:v>
      </x:c>
      <x:c r="E523" s="53"/>
    </x:row>
    <x:row r="524" ht="15" hidden="0" customHeight="1">
      <x:c r="A524" s="53" t="str">
        <x:v>Anjoman accounting - refined.xlsx</x:v>
      </x:c>
      <x:c r="B524" s="53" t="str">
        <x:v>تراکنش‌ها</x:v>
      </x:c>
      <x:c r="C524" s="53" t="str">
        <x:v>D26</x:v>
      </x:c>
      <x:c r="D524" s="53" t="str">
        <x:v>11000000</x:v>
      </x:c>
      <x:c r="E524" s="53"/>
    </x:row>
    <x:row r="525" ht="15" hidden="0" customHeight="1">
      <x:c r="A525" s="53" t="str">
        <x:v>Anjoman accounting - refined.xlsx</x:v>
      </x:c>
      <x:c r="B525" s="53" t="str">
        <x:v>تراکنش‌ها</x:v>
      </x:c>
      <x:c r="C525" s="53" t="str">
        <x:v>E26</x:v>
      </x:c>
      <x:c r="D525" s="53" t="str">
        <x:v>تومان</x:v>
      </x:c>
      <x:c r="E525" s="53"/>
    </x:row>
    <x:row r="526" ht="15" hidden="0" customHeight="1">
      <x:c r="A526" s="53" t="str">
        <x:v>Anjoman accounting - refined.xlsx</x:v>
      </x:c>
      <x:c r="B526" s="53" t="str">
        <x:v>تراکنش‌ها</x:v>
      </x:c>
      <x:c r="C526" s="53" t="str">
        <x:v>F26</x:v>
      </x:c>
      <x:c r="D526" s="53" t="str">
        <x:v>11000000</x:v>
      </x:c>
      <x:c r="E526" s="53"/>
    </x:row>
    <x:row r="527" ht="15" hidden="0" customHeight="1">
      <x:c r="A527" s="53" t="str">
        <x:v>Anjoman accounting - refined.xlsx</x:v>
      </x:c>
      <x:c r="B527" s="53" t="str">
        <x:v>تراکنش‌ها</x:v>
      </x:c>
      <x:c r="C527" s="53" t="str">
        <x:v>G26</x:v>
      </x:c>
      <x:c r="D527" s="53" t="str">
        <x:v>نیما کوهی</x:v>
      </x:c>
      <x:c r="E527" s="53"/>
    </x:row>
    <x:row r="528" ht="15" hidden="0" customHeight="1">
      <x:c r="A528" s="53" t="str">
        <x:v>Anjoman accounting - refined.xlsx</x:v>
      </x:c>
      <x:c r="B528" s="53" t="str">
        <x:v>تراکنش‌ها</x:v>
      </x:c>
      <x:c r="C528" s="53" t="str">
        <x:v>H26</x:v>
      </x:c>
      <x:c r="D528" s="53" t="str">
        <x:v>دریافتی از انجمن سابق</x:v>
      </x:c>
      <x:c r="E528" s="53"/>
    </x:row>
    <x:row r="529" ht="15" hidden="0" customHeight="1">
      <x:c r="A529" s="53" t="str">
        <x:v>Anjoman accounting - refined.xlsx</x:v>
      </x:c>
      <x:c r="B529" s="53" t="str">
        <x:v>تراکنش‌ها</x:v>
      </x:c>
      <x:c r="C529" s="53" t="str">
        <x:v>I26</x:v>
      </x:c>
      <x:c r="D529" s="53" t="str">
        <x:v>درآمد / کمک / رویداد</x:v>
      </x:c>
      <x:c r="E529" s="53"/>
    </x:row>
    <x:row r="530" ht="15" hidden="0" customHeight="1">
      <x:c r="A530" s="53" t="str">
        <x:v>Anjoman accounting - refined.xlsx</x:v>
      </x:c>
      <x:c r="B530" s="53" t="str">
        <x:v>تراکنش‌ها</x:v>
      </x:c>
      <x:c r="C530" s="53" t="str">
        <x:v>J26</x:v>
      </x:c>
      <x:c r="D530" s="53" t="str">
        <x:v>تاییدشده</x:v>
      </x:c>
      <x:c r="E530" s="53"/>
    </x:row>
    <x:row r="531" ht="15" hidden="0" customHeight="1">
      <x:c r="A531" s="53" t="str">
        <x:v>Anjoman accounting - refined.xlsx</x:v>
      </x:c>
      <x:c r="B531" s="53" t="str">
        <x:v>تراکنش‌ها</x:v>
      </x:c>
      <x:c r="C531" s="53" t="str">
        <x:v>K26</x:v>
      </x:c>
      <x:c r="D531" s="53" t="str">
        <x:v>دفتر قبلی</x:v>
      </x:c>
      <x:c r="E531" s="53"/>
    </x:row>
    <x:row r="532" ht="15" hidden="0" customHeight="1">
      <x:c r="A532" s="53" t="str">
        <x:v>Anjoman accounting - refined.xlsx</x:v>
      </x:c>
      <x:c r="B532" s="53" t="str">
        <x:v>تراکنش‌ها</x:v>
      </x:c>
      <x:c r="C532" s="53" t="str">
        <x:v>L26</x:v>
      </x:c>
      <x:c r="D532" s="53" t="str">
        <x:v>LEDGER-MAJMOO-025</x:v>
      </x:c>
      <x:c r="E532" s="53"/>
    </x:row>
    <x:row r="533" ht="15" hidden="0" customHeight="1">
      <x:c r="A533" s="53" t="str">
        <x:v>Anjoman accounting - refined.xlsx</x:v>
      </x:c>
      <x:c r="B533" s="53" t="str">
        <x:v>تراکنش‌ها</x:v>
      </x:c>
      <x:c r="C533" s="53" t="str">
        <x:v>M26</x:v>
      </x:c>
      <x:c r="D533" s="53" t="str">
        <x:v>مبلغ از دفتر قبلی خوانده شد؛ نیازمند تطبیق نهایی با شواهد بانکی/رسید.</x:v>
      </x:c>
      <x:c r="E533" s="53"/>
    </x:row>
    <x:row r="534" ht="15" hidden="0" customHeight="1">
      <x:c r="A534" s="53" t="str">
        <x:v>Anjoman accounting - refined.xlsx</x:v>
      </x:c>
      <x:c r="B534" s="53" t="str">
        <x:v>تراکنش‌ها</x:v>
      </x:c>
      <x:c r="C534" s="53" t="str">
        <x:v>A27</x:v>
      </x:c>
      <x:c r="D534" s="53" t="str">
        <x:v>TX-00024</x:v>
      </x:c>
      <x:c r="E534" s="53"/>
    </x:row>
    <x:row r="535" ht="15" hidden="0" customHeight="1">
      <x:c r="A535" s="53" t="str">
        <x:v>Anjoman accounting - refined.xlsx</x:v>
      </x:c>
      <x:c r="B535" s="53" t="str">
        <x:v>تراکنش‌ها</x:v>
      </x:c>
      <x:c r="C535" s="53" t="str">
        <x:v>B27</x:v>
      </x:c>
      <x:c r="D535" s="53" t="str">
        <x:v>هزینه</x:v>
      </x:c>
      <x:c r="E535" s="53"/>
    </x:row>
    <x:row r="536" ht="15" hidden="0" customHeight="1">
      <x:c r="A536" s="53" t="str">
        <x:v>Anjoman accounting - refined.xlsx</x:v>
      </x:c>
      <x:c r="B536" s="53" t="str">
        <x:v>تراکنش‌ها</x:v>
      </x:c>
      <x:c r="C536" s="53" t="str">
        <x:v>C27</x:v>
      </x:c>
      <x:c r="D536" s="53" t="str">
        <x:v>آبان</x:v>
      </x:c>
      <x:c r="E536" s="53"/>
    </x:row>
    <x:row r="537" ht="15" hidden="0" customHeight="1">
      <x:c r="A537" s="53" t="str">
        <x:v>Anjoman accounting - refined.xlsx</x:v>
      </x:c>
      <x:c r="B537" s="53" t="str">
        <x:v>تراکنش‌ها</x:v>
      </x:c>
      <x:c r="C537" s="53" t="str">
        <x:v>D27</x:v>
      </x:c>
      <x:c r="D537" s="53" t="str">
        <x:v>725000</x:v>
      </x:c>
      <x:c r="E537" s="53"/>
    </x:row>
    <x:row r="538" ht="15" hidden="0" customHeight="1">
      <x:c r="A538" s="53" t="str">
        <x:v>Anjoman accounting - refined.xlsx</x:v>
      </x:c>
      <x:c r="B538" s="53" t="str">
        <x:v>تراکنش‌ها</x:v>
      </x:c>
      <x:c r="C538" s="53" t="str">
        <x:v>E27</x:v>
      </x:c>
      <x:c r="D538" s="53" t="str">
        <x:v>تومان</x:v>
      </x:c>
      <x:c r="E538" s="53"/>
    </x:row>
    <x:row r="539" ht="15" hidden="0" customHeight="1">
      <x:c r="A539" s="53" t="str">
        <x:v>Anjoman accounting - refined.xlsx</x:v>
      </x:c>
      <x:c r="B539" s="53" t="str">
        <x:v>تراکنش‌ها</x:v>
      </x:c>
      <x:c r="C539" s="53" t="str">
        <x:v>F27</x:v>
      </x:c>
      <x:c r="D539" s="53" t="str">
        <x:v>725000</x:v>
      </x:c>
      <x:c r="E539" s="53"/>
    </x:row>
    <x:row r="540" ht="15" hidden="0" customHeight="1">
      <x:c r="A540" s="53" t="str">
        <x:v>Anjoman accounting - refined.xlsx</x:v>
      </x:c>
      <x:c r="B540" s="53" t="str">
        <x:v>تراکنش‌ها</x:v>
      </x:c>
      <x:c r="C540" s="53" t="str">
        <x:v>G27</x:v>
      </x:c>
      <x:c r="D540" s="53" t="str">
        <x:v>نیما کوهی</x:v>
      </x:c>
      <x:c r="E540" s="53"/>
    </x:row>
    <x:row r="541" ht="15" hidden="0" customHeight="1">
      <x:c r="A541" s="53" t="str">
        <x:v>Anjoman accounting - refined.xlsx</x:v>
      </x:c>
      <x:c r="B541" s="53" t="str">
        <x:v>تراکنش‌ها</x:v>
      </x:c>
      <x:c r="C541" s="53" t="str">
        <x:v>H27</x:v>
      </x:c>
      <x:c r="D541" s="53" t="str">
        <x:v>باتری دوربین فیلمبرداری</x:v>
      </x:c>
      <x:c r="E541" s="53"/>
    </x:row>
    <x:row r="542" ht="15" hidden="0" customHeight="1">
      <x:c r="A542" s="53" t="str">
        <x:v>Anjoman accounting - refined.xlsx</x:v>
      </x:c>
      <x:c r="B542" s="53" t="str">
        <x:v>تراکنش‌ها</x:v>
      </x:c>
      <x:c r="C542" s="53" t="str">
        <x:v>I27</x:v>
      </x:c>
      <x:c r="D542" s="53" t="str">
        <x:v>هزینه / عملیاتی</x:v>
      </x:c>
      <x:c r="E542" s="53"/>
    </x:row>
    <x:row r="543" ht="15" hidden="0" customHeight="1">
      <x:c r="A543" s="53" t="str">
        <x:v>Anjoman accounting - refined.xlsx</x:v>
      </x:c>
      <x:c r="B543" s="53" t="str">
        <x:v>تراکنش‌ها</x:v>
      </x:c>
      <x:c r="C543" s="53" t="str">
        <x:v>J27</x:v>
      </x:c>
      <x:c r="D543" s="53" t="str">
        <x:v>تاییدشده</x:v>
      </x:c>
      <x:c r="E543" s="53"/>
    </x:row>
    <x:row r="544" ht="15" hidden="0" customHeight="1">
      <x:c r="A544" s="53" t="str">
        <x:v>Anjoman accounting - refined.xlsx</x:v>
      </x:c>
      <x:c r="B544" s="53" t="str">
        <x:v>تراکنش‌ها</x:v>
      </x:c>
      <x:c r="C544" s="53" t="str">
        <x:v>K27</x:v>
      </x:c>
      <x:c r="D544" s="53" t="str">
        <x:v>دفتر قبلی</x:v>
      </x:c>
      <x:c r="E544" s="53"/>
    </x:row>
    <x:row r="545" ht="15" hidden="0" customHeight="1">
      <x:c r="A545" s="53" t="str">
        <x:v>Anjoman accounting - refined.xlsx</x:v>
      </x:c>
      <x:c r="B545" s="53" t="str">
        <x:v>تراکنش‌ها</x:v>
      </x:c>
      <x:c r="C545" s="53" t="str">
        <x:v>L27</x:v>
      </x:c>
      <x:c r="D545" s="53" t="str">
        <x:v>LEDGER-MAJMOO-025</x:v>
      </x:c>
      <x:c r="E545" s="53"/>
    </x:row>
    <x:row r="546" ht="15" hidden="0" customHeight="1">
      <x:c r="A546" s="53" t="str">
        <x:v>Anjoman accounting - refined.xlsx</x:v>
      </x:c>
      <x:c r="B546" s="53" t="str">
        <x:v>تراکنش‌ها</x:v>
      </x:c>
      <x:c r="C546" s="53" t="str">
        <x:v>M27</x:v>
      </x:c>
      <x:c r="D546" s="53" t="str">
        <x:v>مبلغ از دفتر قبلی خوانده شد؛ نیازمند تطبیق نهایی با شواهد پرداخت.</x:v>
      </x:c>
      <x:c r="E546" s="53"/>
    </x:row>
    <x:row r="547" ht="15" hidden="0" customHeight="1">
      <x:c r="A547" s="53" t="str">
        <x:v>Anjoman accounting - refined.xlsx</x:v>
      </x:c>
      <x:c r="B547" s="53" t="str">
        <x:v>تراکنش‌ها</x:v>
      </x:c>
      <x:c r="C547" s="53" t="str">
        <x:v>A28</x:v>
      </x:c>
      <x:c r="D547" s="53" t="str">
        <x:v>TX-00025</x:v>
      </x:c>
      <x:c r="E547" s="53"/>
    </x:row>
    <x:row r="548" ht="15" hidden="0" customHeight="1">
      <x:c r="A548" s="53" t="str">
        <x:v>Anjoman accounting - refined.xlsx</x:v>
      </x:c>
      <x:c r="B548" s="53" t="str">
        <x:v>تراکنش‌ها</x:v>
      </x:c>
      <x:c r="C548" s="53" t="str">
        <x:v>B28</x:v>
      </x:c>
      <x:c r="D548" s="53" t="str">
        <x:v>هزینه</x:v>
      </x:c>
      <x:c r="E548" s="53"/>
    </x:row>
    <x:row r="549" ht="15" hidden="0" customHeight="1">
      <x:c r="A549" s="53" t="str">
        <x:v>Anjoman accounting - refined.xlsx</x:v>
      </x:c>
      <x:c r="B549" s="53" t="str">
        <x:v>تراکنش‌ها</x:v>
      </x:c>
      <x:c r="C549" s="53" t="str">
        <x:v>C28</x:v>
      </x:c>
      <x:c r="D549" s="53" t="str">
        <x:v>آبان</x:v>
      </x:c>
      <x:c r="E549" s="53"/>
    </x:row>
    <x:row r="550" ht="15" hidden="0" customHeight="1">
      <x:c r="A550" s="53" t="str">
        <x:v>Anjoman accounting - refined.xlsx</x:v>
      </x:c>
      <x:c r="B550" s="53" t="str">
        <x:v>تراکنش‌ها</x:v>
      </x:c>
      <x:c r="C550" s="53" t="str">
        <x:v>D28</x:v>
      </x:c>
      <x:c r="D550" s="53" t="str">
        <x:v>120000</x:v>
      </x:c>
      <x:c r="E550" s="53"/>
    </x:row>
    <x:row r="551" ht="15" hidden="0" customHeight="1">
      <x:c r="A551" s="53" t="str">
        <x:v>Anjoman accounting - refined.xlsx</x:v>
      </x:c>
      <x:c r="B551" s="53" t="str">
        <x:v>تراکنش‌ها</x:v>
      </x:c>
      <x:c r="C551" s="53" t="str">
        <x:v>E28</x:v>
      </x:c>
      <x:c r="D551" s="53" t="str">
        <x:v>تومان</x:v>
      </x:c>
      <x:c r="E551" s="53"/>
    </x:row>
    <x:row r="552" ht="15" hidden="0" customHeight="1">
      <x:c r="A552" s="53" t="str">
        <x:v>Anjoman accounting - refined.xlsx</x:v>
      </x:c>
      <x:c r="B552" s="53" t="str">
        <x:v>تراکنش‌ها</x:v>
      </x:c>
      <x:c r="C552" s="53" t="str">
        <x:v>F28</x:v>
      </x:c>
      <x:c r="D552" s="53" t="str">
        <x:v>120000</x:v>
      </x:c>
      <x:c r="E552" s="53"/>
    </x:row>
    <x:row r="553" ht="15" hidden="0" customHeight="1">
      <x:c r="A553" s="53" t="str">
        <x:v>Anjoman accounting - refined.xlsx</x:v>
      </x:c>
      <x:c r="B553" s="53" t="str">
        <x:v>تراکنش‌ها</x:v>
      </x:c>
      <x:c r="C553" s="53" t="str">
        <x:v>G28</x:v>
      </x:c>
      <x:c r="D553" s="53" t="str">
        <x:v>اردوان شهبازی</x:v>
      </x:c>
      <x:c r="E553" s="53"/>
    </x:row>
    <x:row r="554" ht="15" hidden="0" customHeight="1">
      <x:c r="A554" s="53" t="str">
        <x:v>Anjoman accounting - refined.xlsx</x:v>
      </x:c>
      <x:c r="B554" s="53" t="str">
        <x:v>تراکنش‌ها</x:v>
      </x:c>
      <x:c r="C554" s="53" t="str">
        <x:v>H28</x:v>
      </x:c>
      <x:c r="D554" s="53" t="str">
        <x:v>خرید چسب بادکنک برای جشن ورودی</x:v>
      </x:c>
      <x:c r="E554" s="53"/>
    </x:row>
    <x:row r="555" ht="15" hidden="0" customHeight="1">
      <x:c r="A555" s="53" t="str">
        <x:v>Anjoman accounting - refined.xlsx</x:v>
      </x:c>
      <x:c r="B555" s="53" t="str">
        <x:v>تراکنش‌ها</x:v>
      </x:c>
      <x:c r="C555" s="53" t="str">
        <x:v>I28</x:v>
      </x:c>
      <x:c r="D555" s="53" t="str">
        <x:v>هزینه / عملیاتی</x:v>
      </x:c>
      <x:c r="E555" s="53"/>
    </x:row>
    <x:row r="556" ht="15" hidden="0" customHeight="1">
      <x:c r="A556" s="53" t="str">
        <x:v>Anjoman accounting - refined.xlsx</x:v>
      </x:c>
      <x:c r="B556" s="53" t="str">
        <x:v>تراکنش‌ها</x:v>
      </x:c>
      <x:c r="C556" s="53" t="str">
        <x:v>J28</x:v>
      </x:c>
      <x:c r="D556" s="53" t="str">
        <x:v>تاییدشده</x:v>
      </x:c>
      <x:c r="E556" s="53"/>
    </x:row>
    <x:row r="557" ht="15" hidden="0" customHeight="1">
      <x:c r="A557" s="53" t="str">
        <x:v>Anjoman accounting - refined.xlsx</x:v>
      </x:c>
      <x:c r="B557" s="53" t="str">
        <x:v>تراکنش‌ها</x:v>
      </x:c>
      <x:c r="C557" s="53" t="str">
        <x:v>K28</x:v>
      </x:c>
      <x:c r="D557" s="53" t="str">
        <x:v>دفتر قبلی</x:v>
      </x:c>
      <x:c r="E557" s="53"/>
    </x:row>
    <x:row r="558" ht="15" hidden="0" customHeight="1">
      <x:c r="A558" s="53" t="str">
        <x:v>Anjoman accounting - refined.xlsx</x:v>
      </x:c>
      <x:c r="B558" s="53" t="str">
        <x:v>تراکنش‌ها</x:v>
      </x:c>
      <x:c r="C558" s="53" t="str">
        <x:v>L28</x:v>
      </x:c>
      <x:c r="D558" s="53" t="str">
        <x:v>LEDGER-MAJMOO-026</x:v>
      </x:c>
      <x:c r="E558" s="53"/>
    </x:row>
    <x:row r="559" ht="15" hidden="0" customHeight="1">
      <x:c r="A559" s="53" t="str">
        <x:v>Anjoman accounting - refined.xlsx</x:v>
      </x:c>
      <x:c r="B559" s="53" t="str">
        <x:v>تراکنش‌ها</x:v>
      </x:c>
      <x:c r="C559" s="53" t="str">
        <x:v>M28</x:v>
      </x:c>
      <x:c r="D559" s="53" t="str">
        <x:v>مبلغ از دفتر قبلی خوانده شد؛ نیازمند تطبیق نهایی با شواهد پرداخت.</x:v>
      </x:c>
      <x:c r="E559" s="53"/>
    </x:row>
    <x:row r="560" ht="15" hidden="0" customHeight="1">
      <x:c r="A560" s="53" t="str">
        <x:v>Anjoman accounting - refined.xlsx</x:v>
      </x:c>
      <x:c r="B560" s="53" t="str">
        <x:v>تراکنش‌ها</x:v>
      </x:c>
      <x:c r="C560" s="53" t="str">
        <x:v>A29</x:v>
      </x:c>
      <x:c r="D560" s="53" t="str">
        <x:v>TX-00026</x:v>
      </x:c>
      <x:c r="E560" s="53"/>
    </x:row>
    <x:row r="561" ht="15" hidden="0" customHeight="1">
      <x:c r="A561" s="53" t="str">
        <x:v>Anjoman accounting - refined.xlsx</x:v>
      </x:c>
      <x:c r="B561" s="53" t="str">
        <x:v>تراکنش‌ها</x:v>
      </x:c>
      <x:c r="C561" s="53" t="str">
        <x:v>B29</x:v>
      </x:c>
      <x:c r="D561" s="53" t="str">
        <x:v>هزینه</x:v>
      </x:c>
      <x:c r="E561" s="53"/>
    </x:row>
    <x:row r="562" ht="15" hidden="0" customHeight="1">
      <x:c r="A562" s="53" t="str">
        <x:v>Anjoman accounting - refined.xlsx</x:v>
      </x:c>
      <x:c r="B562" s="53" t="str">
        <x:v>تراکنش‌ها</x:v>
      </x:c>
      <x:c r="C562" s="53" t="str">
        <x:v>C29</x:v>
      </x:c>
      <x:c r="D562" s="53" t="str">
        <x:v>آبان</x:v>
      </x:c>
      <x:c r="E562" s="53"/>
    </x:row>
    <x:row r="563" ht="15" hidden="0" customHeight="1">
      <x:c r="A563" s="53" t="str">
        <x:v>Anjoman accounting - refined.xlsx</x:v>
      </x:c>
      <x:c r="B563" s="53" t="str">
        <x:v>تراکنش‌ها</x:v>
      </x:c>
      <x:c r="C563" s="53" t="str">
        <x:v>D29</x:v>
      </x:c>
      <x:c r="D563" s="53" t="str">
        <x:v>1310000</x:v>
      </x:c>
      <x:c r="E563" s="53"/>
    </x:row>
    <x:row r="564" ht="15" hidden="0" customHeight="1">
      <x:c r="A564" s="53" t="str">
        <x:v>Anjoman accounting - refined.xlsx</x:v>
      </x:c>
      <x:c r="B564" s="53" t="str">
        <x:v>تراکنش‌ها</x:v>
      </x:c>
      <x:c r="C564" s="53" t="str">
        <x:v>E29</x:v>
      </x:c>
      <x:c r="D564" s="53" t="str">
        <x:v>تومان</x:v>
      </x:c>
      <x:c r="E564" s="53"/>
    </x:row>
    <x:row r="565" ht="15" hidden="0" customHeight="1">
      <x:c r="A565" s="53" t="str">
        <x:v>Anjoman accounting - refined.xlsx</x:v>
      </x:c>
      <x:c r="B565" s="53" t="str">
        <x:v>تراکنش‌ها</x:v>
      </x:c>
      <x:c r="C565" s="53" t="str">
        <x:v>F29</x:v>
      </x:c>
      <x:c r="D565" s="53" t="str">
        <x:v>1310000</x:v>
      </x:c>
      <x:c r="E565" s="53"/>
    </x:row>
    <x:row r="566" ht="15" hidden="0" customHeight="1">
      <x:c r="A566" s="53" t="str">
        <x:v>Anjoman accounting - refined.xlsx</x:v>
      </x:c>
      <x:c r="B566" s="53" t="str">
        <x:v>تراکنش‌ها</x:v>
      </x:c>
      <x:c r="C566" s="53" t="str">
        <x:v>G29</x:v>
      </x:c>
      <x:c r="D566" s="53" t="str">
        <x:v>راحله مختاری</x:v>
      </x:c>
      <x:c r="E566" s="53"/>
    </x:row>
    <x:row r="567" ht="15" hidden="0" customHeight="1">
      <x:c r="A567" s="53" t="str">
        <x:v>Anjoman accounting - refined.xlsx</x:v>
      </x:c>
      <x:c r="B567" s="53" t="str">
        <x:v>تراکنش‌ها</x:v>
      </x:c>
      <x:c r="C567" s="53" t="str">
        <x:v>H29</x:v>
      </x:c>
      <x:c r="D567" s="53" t="str">
        <x:v>تزئینات جشن ورودی</x:v>
      </x:c>
      <x:c r="E567" s="53"/>
    </x:row>
    <x:row r="568" ht="15" hidden="0" customHeight="1">
      <x:c r="A568" s="53" t="str">
        <x:v>Anjoman accounting - refined.xlsx</x:v>
      </x:c>
      <x:c r="B568" s="53" t="str">
        <x:v>تراکنش‌ها</x:v>
      </x:c>
      <x:c r="C568" s="53" t="str">
        <x:v>I29</x:v>
      </x:c>
      <x:c r="D568" s="53" t="str">
        <x:v>هزینه / عملیاتی</x:v>
      </x:c>
      <x:c r="E568" s="53"/>
    </x:row>
    <x:row r="569" ht="15" hidden="0" customHeight="1">
      <x:c r="A569" s="53" t="str">
        <x:v>Anjoman accounting - refined.xlsx</x:v>
      </x:c>
      <x:c r="B569" s="53" t="str">
        <x:v>تراکنش‌ها</x:v>
      </x:c>
      <x:c r="C569" s="53" t="str">
        <x:v>J29</x:v>
      </x:c>
      <x:c r="D569" s="53" t="str">
        <x:v>تاییدشده</x:v>
      </x:c>
      <x:c r="E569" s="53"/>
    </x:row>
    <x:row r="570" ht="15" hidden="0" customHeight="1">
      <x:c r="A570" s="53" t="str">
        <x:v>Anjoman accounting - refined.xlsx</x:v>
      </x:c>
      <x:c r="B570" s="53" t="str">
        <x:v>تراکنش‌ها</x:v>
      </x:c>
      <x:c r="C570" s="53" t="str">
        <x:v>K29</x:v>
      </x:c>
      <x:c r="D570" s="53" t="str">
        <x:v>دفتر قبلی</x:v>
      </x:c>
      <x:c r="E570" s="53"/>
    </x:row>
    <x:row r="571" ht="15" hidden="0" customHeight="1">
      <x:c r="A571" s="53" t="str">
        <x:v>Anjoman accounting - refined.xlsx</x:v>
      </x:c>
      <x:c r="B571" s="53" t="str">
        <x:v>تراکنش‌ها</x:v>
      </x:c>
      <x:c r="C571" s="53" t="str">
        <x:v>L29</x:v>
      </x:c>
      <x:c r="D571" s="53" t="str">
        <x:v>LEDGER-MAJMOO-027</x:v>
      </x:c>
      <x:c r="E571" s="53"/>
    </x:row>
    <x:row r="572" ht="15" hidden="0" customHeight="1">
      <x:c r="A572" s="53" t="str">
        <x:v>Anjoman accounting - refined.xlsx</x:v>
      </x:c>
      <x:c r="B572" s="53" t="str">
        <x:v>تراکنش‌ها</x:v>
      </x:c>
      <x:c r="C572" s="53" t="str">
        <x:v>M29</x:v>
      </x:c>
      <x:c r="D572" s="53" t="str">
        <x:v>مبلغ از دفتر قبلی خوانده شد؛ نیازمند تطبیق نهایی با شواهد پرداخت.</x:v>
      </x:c>
      <x:c r="E572" s="53"/>
    </x:row>
    <x:row r="573" ht="15" hidden="0" customHeight="1">
      <x:c r="A573" s="53" t="str">
        <x:v>Anjoman accounting - refined.xlsx</x:v>
      </x:c>
      <x:c r="B573" s="53" t="str">
        <x:v>تراکنش‌ها</x:v>
      </x:c>
      <x:c r="C573" s="53" t="str">
        <x:v>A30</x:v>
      </x:c>
      <x:c r="D573" s="53" t="str">
        <x:v>TX-00027</x:v>
      </x:c>
      <x:c r="E573" s="53"/>
    </x:row>
    <x:row r="574" ht="15" hidden="0" customHeight="1">
      <x:c r="A574" s="53" t="str">
        <x:v>Anjoman accounting - refined.xlsx</x:v>
      </x:c>
      <x:c r="B574" s="53" t="str">
        <x:v>تراکنش‌ها</x:v>
      </x:c>
      <x:c r="C574" s="53" t="str">
        <x:v>B30</x:v>
      </x:c>
      <x:c r="D574" s="53" t="str">
        <x:v>هزینه</x:v>
      </x:c>
      <x:c r="E574" s="53"/>
    </x:row>
    <x:row r="575" ht="15" hidden="0" customHeight="1">
      <x:c r="A575" s="53" t="str">
        <x:v>Anjoman accounting - refined.xlsx</x:v>
      </x:c>
      <x:c r="B575" s="53" t="str">
        <x:v>تراکنش‌ها</x:v>
      </x:c>
      <x:c r="C575" s="53" t="str">
        <x:v>C30</x:v>
      </x:c>
      <x:c r="D575" s="53" t="str">
        <x:v>آبان</x:v>
      </x:c>
      <x:c r="E575" s="53"/>
    </x:row>
    <x:row r="576" ht="15" hidden="0" customHeight="1">
      <x:c r="A576" s="53" t="str">
        <x:v>Anjoman accounting - refined.xlsx</x:v>
      </x:c>
      <x:c r="B576" s="53" t="str">
        <x:v>تراکنش‌ها</x:v>
      </x:c>
      <x:c r="C576" s="53" t="str">
        <x:v>D30</x:v>
      </x:c>
      <x:c r="D576" s="53" t="str">
        <x:v>4344000</x:v>
      </x:c>
      <x:c r="E576" s="53"/>
    </x:row>
    <x:row r="577" ht="15" hidden="0" customHeight="1">
      <x:c r="A577" s="53" t="str">
        <x:v>Anjoman accounting - refined.xlsx</x:v>
      </x:c>
      <x:c r="B577" s="53" t="str">
        <x:v>تراکنش‌ها</x:v>
      </x:c>
      <x:c r="C577" s="53" t="str">
        <x:v>E30</x:v>
      </x:c>
      <x:c r="D577" s="53" t="str">
        <x:v>تومان</x:v>
      </x:c>
      <x:c r="E577" s="53"/>
    </x:row>
    <x:row r="578" ht="15" hidden="0" customHeight="1">
      <x:c r="A578" s="53" t="str">
        <x:v>Anjoman accounting - refined.xlsx</x:v>
      </x:c>
      <x:c r="B578" s="53" t="str">
        <x:v>تراکنش‌ها</x:v>
      </x:c>
      <x:c r="C578" s="53" t="str">
        <x:v>F30</x:v>
      </x:c>
      <x:c r="D578" s="53" t="str">
        <x:v>4344000</x:v>
      </x:c>
      <x:c r="E578" s="53"/>
    </x:row>
    <x:row r="579" ht="15" hidden="0" customHeight="1">
      <x:c r="A579" s="53" t="str">
        <x:v>Anjoman accounting - refined.xlsx</x:v>
      </x:c>
      <x:c r="B579" s="53" t="str">
        <x:v>تراکنش‌ها</x:v>
      </x:c>
      <x:c r="C579" s="53" t="str">
        <x:v>H30</x:v>
      </x:c>
      <x:c r="D579" s="53" t="str">
        <x:v>جایزه های جشن ورودی</x:v>
      </x:c>
      <x:c r="E579" s="53"/>
    </x:row>
    <x:row r="580" ht="15" hidden="0" customHeight="1">
      <x:c r="A580" s="53" t="str">
        <x:v>Anjoman accounting - refined.xlsx</x:v>
      </x:c>
      <x:c r="B580" s="53" t="str">
        <x:v>تراکنش‌ها</x:v>
      </x:c>
      <x:c r="C580" s="53" t="str">
        <x:v>I30</x:v>
      </x:c>
      <x:c r="D580" s="53" t="str">
        <x:v>هزینه / عملیاتی</x:v>
      </x:c>
      <x:c r="E580" s="53"/>
    </x:row>
    <x:row r="581" ht="15" hidden="0" customHeight="1">
      <x:c r="A581" s="53" t="str">
        <x:v>Anjoman accounting - refined.xlsx</x:v>
      </x:c>
      <x:c r="B581" s="53" t="str">
        <x:v>تراکنش‌ها</x:v>
      </x:c>
      <x:c r="C581" s="53" t="str">
        <x:v>J30</x:v>
      </x:c>
      <x:c r="D581" s="53" t="str">
        <x:v>تاییدشده</x:v>
      </x:c>
      <x:c r="E581" s="53"/>
    </x:row>
    <x:row r="582" ht="15" hidden="0" customHeight="1">
      <x:c r="A582" s="53" t="str">
        <x:v>Anjoman accounting - refined.xlsx</x:v>
      </x:c>
      <x:c r="B582" s="53" t="str">
        <x:v>تراکنش‌ها</x:v>
      </x:c>
      <x:c r="C582" s="53" t="str">
        <x:v>K30</x:v>
      </x:c>
      <x:c r="D582" s="53" t="str">
        <x:v>دفتر قبلی</x:v>
      </x:c>
      <x:c r="E582" s="53"/>
    </x:row>
    <x:row r="583" ht="15" hidden="0" customHeight="1">
      <x:c r="A583" s="53" t="str">
        <x:v>Anjoman accounting - refined.xlsx</x:v>
      </x:c>
      <x:c r="B583" s="53" t="str">
        <x:v>تراکنش‌ها</x:v>
      </x:c>
      <x:c r="C583" s="53" t="str">
        <x:v>L30</x:v>
      </x:c>
      <x:c r="D583" s="53" t="str">
        <x:v>LEDGER-MAJMOO-028</x:v>
      </x:c>
      <x:c r="E583" s="53"/>
    </x:row>
    <x:row r="584" ht="15" hidden="0" customHeight="1">
      <x:c r="A584" s="53" t="str">
        <x:v>Anjoman accounting - refined.xlsx</x:v>
      </x:c>
      <x:c r="B584" s="53" t="str">
        <x:v>تراکنش‌ها</x:v>
      </x:c>
      <x:c r="C584" s="53" t="str">
        <x:v>M30</x:v>
      </x:c>
      <x:c r="D584" s="53" t="str">
        <x:v>مبلغ از دفتر قبلی خوانده شد؛ نیازمند تطبیق نهایی با شواهد پرداخت.</x:v>
      </x:c>
      <x:c r="E584" s="53"/>
    </x:row>
    <x:row r="585" ht="15" hidden="0" customHeight="1">
      <x:c r="A585" s="53" t="str">
        <x:v>Anjoman accounting - refined.xlsx</x:v>
      </x:c>
      <x:c r="B585" s="53" t="str">
        <x:v>تراکنش‌ها</x:v>
      </x:c>
      <x:c r="C585" s="53" t="str">
        <x:v>A31</x:v>
      </x:c>
      <x:c r="D585" s="53" t="str">
        <x:v>TX-00028</x:v>
      </x:c>
      <x:c r="E585" s="53"/>
    </x:row>
    <x:row r="586" ht="15" hidden="0" customHeight="1">
      <x:c r="A586" s="53" t="str">
        <x:v>Anjoman accounting - refined.xlsx</x:v>
      </x:c>
      <x:c r="B586" s="53" t="str">
        <x:v>تراکنش‌ها</x:v>
      </x:c>
      <x:c r="C586" s="53" t="str">
        <x:v>B31</x:v>
      </x:c>
      <x:c r="D586" s="53" t="str">
        <x:v>هزینه</x:v>
      </x:c>
      <x:c r="E586" s="53"/>
    </x:row>
    <x:row r="587" ht="15" hidden="0" customHeight="1">
      <x:c r="A587" s="53" t="str">
        <x:v>Anjoman accounting - refined.xlsx</x:v>
      </x:c>
      <x:c r="B587" s="53" t="str">
        <x:v>تراکنش‌ها</x:v>
      </x:c>
      <x:c r="C587" s="53" t="str">
        <x:v>C31</x:v>
      </x:c>
      <x:c r="D587" s="53" t="str">
        <x:v>آبان</x:v>
      </x:c>
      <x:c r="E587" s="53"/>
    </x:row>
    <x:row r="588" ht="15" hidden="0" customHeight="1">
      <x:c r="A588" s="53" t="str">
        <x:v>Anjoman accounting - refined.xlsx</x:v>
      </x:c>
      <x:c r="B588" s="53" t="str">
        <x:v>تراکنش‌ها</x:v>
      </x:c>
      <x:c r="C588" s="53" t="str">
        <x:v>D31</x:v>
      </x:c>
      <x:c r="D588" s="53" t="str">
        <x:v>300000</x:v>
      </x:c>
      <x:c r="E588" s="53"/>
    </x:row>
    <x:row r="589" ht="15" hidden="0" customHeight="1">
      <x:c r="A589" s="53" t="str">
        <x:v>Anjoman accounting - refined.xlsx</x:v>
      </x:c>
      <x:c r="B589" s="53" t="str">
        <x:v>تراکنش‌ها</x:v>
      </x:c>
      <x:c r="C589" s="53" t="str">
        <x:v>E31</x:v>
      </x:c>
      <x:c r="D589" s="53" t="str">
        <x:v>تومان</x:v>
      </x:c>
      <x:c r="E589" s="53"/>
    </x:row>
    <x:row r="590" ht="15" hidden="0" customHeight="1">
      <x:c r="A590" s="53" t="str">
        <x:v>Anjoman accounting - refined.xlsx</x:v>
      </x:c>
      <x:c r="B590" s="53" t="str">
        <x:v>تراکنش‌ها</x:v>
      </x:c>
      <x:c r="C590" s="53" t="str">
        <x:v>F31</x:v>
      </x:c>
      <x:c r="D590" s="53" t="str">
        <x:v>300000</x:v>
      </x:c>
      <x:c r="E590" s="53"/>
    </x:row>
    <x:row r="591" ht="15" hidden="0" customHeight="1">
      <x:c r="A591" s="53" t="str">
        <x:v>Anjoman accounting - refined.xlsx</x:v>
      </x:c>
      <x:c r="B591" s="53" t="str">
        <x:v>تراکنش‌ها</x:v>
      </x:c>
      <x:c r="C591" s="53" t="str">
        <x:v>H31</x:v>
      </x:c>
      <x:c r="D591" s="53" t="str">
        <x:v>شاباش نقدی برای جشن ورودی</x:v>
      </x:c>
      <x:c r="E591" s="53"/>
    </x:row>
    <x:row r="592" ht="15" hidden="0" customHeight="1">
      <x:c r="A592" s="53" t="str">
        <x:v>Anjoman accounting - refined.xlsx</x:v>
      </x:c>
      <x:c r="B592" s="53" t="str">
        <x:v>تراکنش‌ها</x:v>
      </x:c>
      <x:c r="C592" s="53" t="str">
        <x:v>I31</x:v>
      </x:c>
      <x:c r="D592" s="53" t="str">
        <x:v>هزینه / عملیاتی</x:v>
      </x:c>
      <x:c r="E592" s="53"/>
    </x:row>
    <x:row r="593" ht="15" hidden="0" customHeight="1">
      <x:c r="A593" s="53" t="str">
        <x:v>Anjoman accounting - refined.xlsx</x:v>
      </x:c>
      <x:c r="B593" s="53" t="str">
        <x:v>تراکنش‌ها</x:v>
      </x:c>
      <x:c r="C593" s="53" t="str">
        <x:v>J31</x:v>
      </x:c>
      <x:c r="D593" s="53" t="str">
        <x:v>تاییدشده</x:v>
      </x:c>
      <x:c r="E593" s="53"/>
    </x:row>
    <x:row r="594" ht="15" hidden="0" customHeight="1">
      <x:c r="A594" s="53" t="str">
        <x:v>Anjoman accounting - refined.xlsx</x:v>
      </x:c>
      <x:c r="B594" s="53" t="str">
        <x:v>تراکنش‌ها</x:v>
      </x:c>
      <x:c r="C594" s="53" t="str">
        <x:v>K31</x:v>
      </x:c>
      <x:c r="D594" s="53" t="str">
        <x:v>دفتر قبلی</x:v>
      </x:c>
      <x:c r="E594" s="53"/>
    </x:row>
    <x:row r="595" ht="15" hidden="0" customHeight="1">
      <x:c r="A595" s="53" t="str">
        <x:v>Anjoman accounting - refined.xlsx</x:v>
      </x:c>
      <x:c r="B595" s="53" t="str">
        <x:v>تراکنش‌ها</x:v>
      </x:c>
      <x:c r="C595" s="53" t="str">
        <x:v>L31</x:v>
      </x:c>
      <x:c r="D595" s="53" t="str">
        <x:v>LEDGER-MAJMOO-029</x:v>
      </x:c>
      <x:c r="E595" s="53"/>
    </x:row>
    <x:row r="596" ht="15" hidden="0" customHeight="1">
      <x:c r="A596" s="53" t="str">
        <x:v>Anjoman accounting - refined.xlsx</x:v>
      </x:c>
      <x:c r="B596" s="53" t="str">
        <x:v>تراکنش‌ها</x:v>
      </x:c>
      <x:c r="C596" s="53" t="str">
        <x:v>M31</x:v>
      </x:c>
      <x:c r="D596" s="53" t="str">
        <x:v>مبلغ از دفتر قبلی خوانده شد؛ نیازمند تطبیق نهایی با شواهد پرداخت.</x:v>
      </x:c>
      <x:c r="E596" s="53"/>
    </x:row>
    <x:row r="597" ht="15" hidden="0" customHeight="1">
      <x:c r="A597" s="53" t="str">
        <x:v>Anjoman accounting - refined.xlsx</x:v>
      </x:c>
      <x:c r="B597" s="53" t="str">
        <x:v>تراکنش‌ها</x:v>
      </x:c>
      <x:c r="C597" s="53" t="str">
        <x:v>A32</x:v>
      </x:c>
      <x:c r="D597" s="53" t="str">
        <x:v>TX-00029</x:v>
      </x:c>
      <x:c r="E597" s="53"/>
    </x:row>
    <x:row r="598" ht="15" hidden="0" customHeight="1">
      <x:c r="A598" s="53" t="str">
        <x:v>Anjoman accounting - refined.xlsx</x:v>
      </x:c>
      <x:c r="B598" s="53" t="str">
        <x:v>تراکنش‌ها</x:v>
      </x:c>
      <x:c r="C598" s="53" t="str">
        <x:v>B32</x:v>
      </x:c>
      <x:c r="D598" s="53" t="str">
        <x:v>هزینه</x:v>
      </x:c>
      <x:c r="E598" s="53"/>
    </x:row>
    <x:row r="599" ht="15" hidden="0" customHeight="1">
      <x:c r="A599" s="53" t="str">
        <x:v>Anjoman accounting - refined.xlsx</x:v>
      </x:c>
      <x:c r="B599" s="53" t="str">
        <x:v>تراکنش‌ها</x:v>
      </x:c>
      <x:c r="C599" s="53" t="str">
        <x:v>C32</x:v>
      </x:c>
      <x:c r="D599" s="53" t="str">
        <x:v>آبان</x:v>
      </x:c>
      <x:c r="E599" s="53"/>
    </x:row>
    <x:row r="600" ht="15" hidden="0" customHeight="1">
      <x:c r="A600" s="53" t="str">
        <x:v>Anjoman accounting - refined.xlsx</x:v>
      </x:c>
      <x:c r="B600" s="53" t="str">
        <x:v>تراکنش‌ها</x:v>
      </x:c>
      <x:c r="C600" s="53" t="str">
        <x:v>D32</x:v>
      </x:c>
      <x:c r="D600" s="53" t="str">
        <x:v>70000</x:v>
      </x:c>
      <x:c r="E600" s="53"/>
    </x:row>
    <x:row r="601" ht="15" hidden="0" customHeight="1">
      <x:c r="A601" s="53" t="str">
        <x:v>Anjoman accounting - refined.xlsx</x:v>
      </x:c>
      <x:c r="B601" s="53" t="str">
        <x:v>تراکنش‌ها</x:v>
      </x:c>
      <x:c r="C601" s="53" t="str">
        <x:v>E32</x:v>
      </x:c>
      <x:c r="D601" s="53" t="str">
        <x:v>تومان</x:v>
      </x:c>
      <x:c r="E601" s="53"/>
    </x:row>
    <x:row r="602" ht="15" hidden="0" customHeight="1">
      <x:c r="A602" s="53" t="str">
        <x:v>Anjoman accounting - refined.xlsx</x:v>
      </x:c>
      <x:c r="B602" s="53" t="str">
        <x:v>تراکنش‌ها</x:v>
      </x:c>
      <x:c r="C602" s="53" t="str">
        <x:v>F32</x:v>
      </x:c>
      <x:c r="D602" s="53" t="str">
        <x:v>70000</x:v>
      </x:c>
      <x:c r="E602" s="53"/>
    </x:row>
    <x:row r="603" ht="15" hidden="0" customHeight="1">
      <x:c r="A603" s="53" t="str">
        <x:v>Anjoman accounting - refined.xlsx</x:v>
      </x:c>
      <x:c r="B603" s="53" t="str">
        <x:v>تراکنش‌ها</x:v>
      </x:c>
      <x:c r="C603" s="53" t="str">
        <x:v>H32</x:v>
      </x:c>
      <x:c r="D603" s="53" t="str">
        <x:v>دستمال برای اتاق انجمن</x:v>
      </x:c>
      <x:c r="E603" s="53"/>
    </x:row>
    <x:row r="604" ht="15" hidden="0" customHeight="1">
      <x:c r="A604" s="53" t="str">
        <x:v>Anjoman accounting - refined.xlsx</x:v>
      </x:c>
      <x:c r="B604" s="53" t="str">
        <x:v>تراکنش‌ها</x:v>
      </x:c>
      <x:c r="C604" s="53" t="str">
        <x:v>I32</x:v>
      </x:c>
      <x:c r="D604" s="53" t="str">
        <x:v>هزینه / عملیاتی</x:v>
      </x:c>
      <x:c r="E604" s="53"/>
    </x:row>
    <x:row r="605" ht="15" hidden="0" customHeight="1">
      <x:c r="A605" s="53" t="str">
        <x:v>Anjoman accounting - refined.xlsx</x:v>
      </x:c>
      <x:c r="B605" s="53" t="str">
        <x:v>تراکنش‌ها</x:v>
      </x:c>
      <x:c r="C605" s="53" t="str">
        <x:v>J32</x:v>
      </x:c>
      <x:c r="D605" s="53" t="str">
        <x:v>تاییدشده</x:v>
      </x:c>
      <x:c r="E605" s="53"/>
    </x:row>
    <x:row r="606" ht="15" hidden="0" customHeight="1">
      <x:c r="A606" s="53" t="str">
        <x:v>Anjoman accounting - refined.xlsx</x:v>
      </x:c>
      <x:c r="B606" s="53" t="str">
        <x:v>تراکنش‌ها</x:v>
      </x:c>
      <x:c r="C606" s="53" t="str">
        <x:v>K32</x:v>
      </x:c>
      <x:c r="D606" s="53" t="str">
        <x:v>دفتر قبلی</x:v>
      </x:c>
      <x:c r="E606" s="53"/>
    </x:row>
    <x:row r="607" ht="15" hidden="0" customHeight="1">
      <x:c r="A607" s="53" t="str">
        <x:v>Anjoman accounting - refined.xlsx</x:v>
      </x:c>
      <x:c r="B607" s="53" t="str">
        <x:v>تراکنش‌ها</x:v>
      </x:c>
      <x:c r="C607" s="53" t="str">
        <x:v>L32</x:v>
      </x:c>
      <x:c r="D607" s="53" t="str">
        <x:v>LEDGER-MAJMOO-030</x:v>
      </x:c>
      <x:c r="E607" s="53"/>
    </x:row>
    <x:row r="608" ht="15" hidden="0" customHeight="1">
      <x:c r="A608" s="53" t="str">
        <x:v>Anjoman accounting - refined.xlsx</x:v>
      </x:c>
      <x:c r="B608" s="53" t="str">
        <x:v>تراکنش‌ها</x:v>
      </x:c>
      <x:c r="C608" s="53" t="str">
        <x:v>M32</x:v>
      </x:c>
      <x:c r="D608" s="53" t="str">
        <x:v>مبلغ از دفتر قبلی خوانده شد؛ نیازمند تطبیق نهایی با شواهد پرداخت.</x:v>
      </x:c>
      <x:c r="E608" s="53"/>
    </x:row>
    <x:row r="609" ht="15" hidden="0" customHeight="1">
      <x:c r="A609" s="53" t="str">
        <x:v>Anjoman accounting - refined.xlsx</x:v>
      </x:c>
      <x:c r="B609" s="53" t="str">
        <x:v>تراکنش‌ها</x:v>
      </x:c>
      <x:c r="C609" s="53" t="str">
        <x:v>A33</x:v>
      </x:c>
      <x:c r="D609" s="53" t="str">
        <x:v>TX-00030</x:v>
      </x:c>
      <x:c r="E609" s="53"/>
    </x:row>
    <x:row r="610" ht="15" hidden="0" customHeight="1">
      <x:c r="A610" s="53" t="str">
        <x:v>Anjoman accounting - refined.xlsx</x:v>
      </x:c>
      <x:c r="B610" s="53" t="str">
        <x:v>تراکنش‌ها</x:v>
      </x:c>
      <x:c r="C610" s="53" t="str">
        <x:v>B33</x:v>
      </x:c>
      <x:c r="D610" s="53" t="str">
        <x:v>هزینه</x:v>
      </x:c>
      <x:c r="E610" s="53"/>
    </x:row>
    <x:row r="611" ht="15" hidden="0" customHeight="1">
      <x:c r="A611" s="53" t="str">
        <x:v>Anjoman accounting - refined.xlsx</x:v>
      </x:c>
      <x:c r="B611" s="53" t="str">
        <x:v>تراکنش‌ها</x:v>
      </x:c>
      <x:c r="C611" s="53" t="str">
        <x:v>C33</x:v>
      </x:c>
      <x:c r="D611" s="53" t="str">
        <x:v>آبان</x:v>
      </x:c>
      <x:c r="E611" s="53"/>
    </x:row>
    <x:row r="612" ht="15" hidden="0" customHeight="1">
      <x:c r="A612" s="53" t="str">
        <x:v>Anjoman accounting - refined.xlsx</x:v>
      </x:c>
      <x:c r="B612" s="53" t="str">
        <x:v>تراکنش‌ها</x:v>
      </x:c>
      <x:c r="C612" s="53" t="str">
        <x:v>D33</x:v>
      </x:c>
      <x:c r="D612" s="53" t="str">
        <x:v>310000</x:v>
      </x:c>
      <x:c r="E612" s="53"/>
    </x:row>
    <x:row r="613" ht="15" hidden="0" customHeight="1">
      <x:c r="A613" s="53" t="str">
        <x:v>Anjoman accounting - refined.xlsx</x:v>
      </x:c>
      <x:c r="B613" s="53" t="str">
        <x:v>تراکنش‌ها</x:v>
      </x:c>
      <x:c r="C613" s="53" t="str">
        <x:v>E33</x:v>
      </x:c>
      <x:c r="D613" s="53" t="str">
        <x:v>تومان</x:v>
      </x:c>
      <x:c r="E613" s="53"/>
    </x:row>
    <x:row r="614" ht="15" hidden="0" customHeight="1">
      <x:c r="A614" s="53" t="str">
        <x:v>Anjoman accounting - refined.xlsx</x:v>
      </x:c>
      <x:c r="B614" s="53" t="str">
        <x:v>تراکنش‌ها</x:v>
      </x:c>
      <x:c r="C614" s="53" t="str">
        <x:v>F33</x:v>
      </x:c>
      <x:c r="D614" s="53" t="str">
        <x:v>310000</x:v>
      </x:c>
      <x:c r="E614" s="53"/>
    </x:row>
    <x:row r="615" ht="15" hidden="0" customHeight="1">
      <x:c r="A615" s="53" t="str">
        <x:v>Anjoman accounting - refined.xlsx</x:v>
      </x:c>
      <x:c r="B615" s="53" t="str">
        <x:v>تراکنش‌ها</x:v>
      </x:c>
      <x:c r="C615" s="53" t="str">
        <x:v>H33</x:v>
      </x:c>
      <x:c r="D615" s="53" t="str">
        <x:v>خرید اتصالات پروژکتور انجمن</x:v>
      </x:c>
      <x:c r="E615" s="53"/>
    </x:row>
    <x:row r="616" ht="15" hidden="0" customHeight="1">
      <x:c r="A616" s="53" t="str">
        <x:v>Anjoman accounting - refined.xlsx</x:v>
      </x:c>
      <x:c r="B616" s="53" t="str">
        <x:v>تراکنش‌ها</x:v>
      </x:c>
      <x:c r="C616" s="53" t="str">
        <x:v>I33</x:v>
      </x:c>
      <x:c r="D616" s="53" t="str">
        <x:v>هزینه / عملیاتی</x:v>
      </x:c>
      <x:c r="E616" s="53"/>
    </x:row>
    <x:row r="617" ht="15" hidden="0" customHeight="1">
      <x:c r="A617" s="53" t="str">
        <x:v>Anjoman accounting - refined.xlsx</x:v>
      </x:c>
      <x:c r="B617" s="53" t="str">
        <x:v>تراکنش‌ها</x:v>
      </x:c>
      <x:c r="C617" s="53" t="str">
        <x:v>J33</x:v>
      </x:c>
      <x:c r="D617" s="53" t="str">
        <x:v>تاییدشده</x:v>
      </x:c>
      <x:c r="E617" s="53"/>
    </x:row>
    <x:row r="618" ht="15" hidden="0" customHeight="1">
      <x:c r="A618" s="53" t="str">
        <x:v>Anjoman accounting - refined.xlsx</x:v>
      </x:c>
      <x:c r="B618" s="53" t="str">
        <x:v>تراکنش‌ها</x:v>
      </x:c>
      <x:c r="C618" s="53" t="str">
        <x:v>K33</x:v>
      </x:c>
      <x:c r="D618" s="53" t="str">
        <x:v>دفتر قبلی</x:v>
      </x:c>
      <x:c r="E618" s="53"/>
    </x:row>
    <x:row r="619" ht="15" hidden="0" customHeight="1">
      <x:c r="A619" s="53" t="str">
        <x:v>Anjoman accounting - refined.xlsx</x:v>
      </x:c>
      <x:c r="B619" s="53" t="str">
        <x:v>تراکنش‌ها</x:v>
      </x:c>
      <x:c r="C619" s="53" t="str">
        <x:v>L33</x:v>
      </x:c>
      <x:c r="D619" s="53" t="str">
        <x:v>LEDGER-MAJMOO-031</x:v>
      </x:c>
      <x:c r="E619" s="53"/>
    </x:row>
    <x:row r="620" ht="15" hidden="0" customHeight="1">
      <x:c r="A620" s="53" t="str">
        <x:v>Anjoman accounting - refined.xlsx</x:v>
      </x:c>
      <x:c r="B620" s="53" t="str">
        <x:v>تراکنش‌ها</x:v>
      </x:c>
      <x:c r="C620" s="53" t="str">
        <x:v>M33</x:v>
      </x:c>
      <x:c r="D620" s="53" t="str">
        <x:v>مبلغ از دفتر قبلی خوانده شد؛ نیازمند تطبیق نهایی با شواهد پرداخت.</x:v>
      </x:c>
      <x:c r="E620" s="53"/>
    </x:row>
    <x:row r="621" ht="15" hidden="0" customHeight="1">
      <x:c r="A621" s="53" t="str">
        <x:v>Anjoman accounting - refined.xlsx</x:v>
      </x:c>
      <x:c r="B621" s="53" t="str">
        <x:v>تراکنش‌ها</x:v>
      </x:c>
      <x:c r="C621" s="53" t="str">
        <x:v>A34</x:v>
      </x:c>
      <x:c r="D621" s="53" t="str">
        <x:v>TX-00031</x:v>
      </x:c>
      <x:c r="E621" s="53"/>
    </x:row>
    <x:row r="622" ht="15" hidden="0" customHeight="1">
      <x:c r="A622" s="53" t="str">
        <x:v>Anjoman accounting - refined.xlsx</x:v>
      </x:c>
      <x:c r="B622" s="53" t="str">
        <x:v>تراکنش‌ها</x:v>
      </x:c>
      <x:c r="C622" s="53" t="str">
        <x:v>B34</x:v>
      </x:c>
      <x:c r="D622" s="53" t="str">
        <x:v>هزینه</x:v>
      </x:c>
      <x:c r="E622" s="53"/>
    </x:row>
    <x:row r="623" ht="15" hidden="0" customHeight="1">
      <x:c r="A623" s="53" t="str">
        <x:v>Anjoman accounting - refined.xlsx</x:v>
      </x:c>
      <x:c r="B623" s="53" t="str">
        <x:v>تراکنش‌ها</x:v>
      </x:c>
      <x:c r="C623" s="53" t="str">
        <x:v>C34</x:v>
      </x:c>
      <x:c r="D623" s="53" t="str">
        <x:v>آبان</x:v>
      </x:c>
      <x:c r="E623" s="53"/>
    </x:row>
    <x:row r="624" ht="15" hidden="0" customHeight="1">
      <x:c r="A624" s="53" t="str">
        <x:v>Anjoman accounting - refined.xlsx</x:v>
      </x:c>
      <x:c r="B624" s="53" t="str">
        <x:v>تراکنش‌ها</x:v>
      </x:c>
      <x:c r="C624" s="53" t="str">
        <x:v>D34</x:v>
      </x:c>
      <x:c r="D624" s="53" t="str">
        <x:v>1760000</x:v>
      </x:c>
      <x:c r="E624" s="53"/>
    </x:row>
    <x:row r="625" ht="15" hidden="0" customHeight="1">
      <x:c r="A625" s="53" t="str">
        <x:v>Anjoman accounting - refined.xlsx</x:v>
      </x:c>
      <x:c r="B625" s="53" t="str">
        <x:v>تراکنش‌ها</x:v>
      </x:c>
      <x:c r="C625" s="53" t="str">
        <x:v>E34</x:v>
      </x:c>
      <x:c r="D625" s="53" t="str">
        <x:v>تومان</x:v>
      </x:c>
      <x:c r="E625" s="53"/>
    </x:row>
    <x:row r="626" ht="15" hidden="0" customHeight="1">
      <x:c r="A626" s="53" t="str">
        <x:v>Anjoman accounting - refined.xlsx</x:v>
      </x:c>
      <x:c r="B626" s="53" t="str">
        <x:v>تراکنش‌ها</x:v>
      </x:c>
      <x:c r="C626" s="53" t="str">
        <x:v>F34</x:v>
      </x:c>
      <x:c r="D626" s="53" t="str">
        <x:v>1760000</x:v>
      </x:c>
      <x:c r="E626" s="53"/>
    </x:row>
    <x:row r="627" ht="15" hidden="0" customHeight="1">
      <x:c r="A627" s="53" t="str">
        <x:v>Anjoman accounting - refined.xlsx</x:v>
      </x:c>
      <x:c r="B627" s="53" t="str">
        <x:v>تراکنش‌ها</x:v>
      </x:c>
      <x:c r="C627" s="53" t="str">
        <x:v>H34</x:v>
      </x:c>
      <x:c r="D627" s="53" t="str">
        <x:v>خرید حفاظ برق و ابزار برای اتصال پروژکتور در غرفه ها</x:v>
      </x:c>
      <x:c r="E627" s="53"/>
    </x:row>
    <x:row r="628" ht="15" hidden="0" customHeight="1">
      <x:c r="A628" s="53" t="str">
        <x:v>Anjoman accounting - refined.xlsx</x:v>
      </x:c>
      <x:c r="B628" s="53" t="str">
        <x:v>تراکنش‌ها</x:v>
      </x:c>
      <x:c r="C628" s="53" t="str">
        <x:v>I34</x:v>
      </x:c>
      <x:c r="D628" s="53" t="str">
        <x:v>هزینه / عملیاتی</x:v>
      </x:c>
      <x:c r="E628" s="53"/>
    </x:row>
    <x:row r="629" ht="15" hidden="0" customHeight="1">
      <x:c r="A629" s="53" t="str">
        <x:v>Anjoman accounting - refined.xlsx</x:v>
      </x:c>
      <x:c r="B629" s="53" t="str">
        <x:v>تراکنش‌ها</x:v>
      </x:c>
      <x:c r="C629" s="53" t="str">
        <x:v>J34</x:v>
      </x:c>
      <x:c r="D629" s="53" t="str">
        <x:v>تاییدشده</x:v>
      </x:c>
      <x:c r="E629" s="53"/>
    </x:row>
    <x:row r="630" ht="15" hidden="0" customHeight="1">
      <x:c r="A630" s="53" t="str">
        <x:v>Anjoman accounting - refined.xlsx</x:v>
      </x:c>
      <x:c r="B630" s="53" t="str">
        <x:v>تراکنش‌ها</x:v>
      </x:c>
      <x:c r="C630" s="53" t="str">
        <x:v>K34</x:v>
      </x:c>
      <x:c r="D630" s="53" t="str">
        <x:v>دفتر قبلی</x:v>
      </x:c>
      <x:c r="E630" s="53"/>
    </x:row>
    <x:row r="631" ht="15" hidden="0" customHeight="1">
      <x:c r="A631" s="53" t="str">
        <x:v>Anjoman accounting - refined.xlsx</x:v>
      </x:c>
      <x:c r="B631" s="53" t="str">
        <x:v>تراکنش‌ها</x:v>
      </x:c>
      <x:c r="C631" s="53" t="str">
        <x:v>L34</x:v>
      </x:c>
      <x:c r="D631" s="53" t="str">
        <x:v>LEDGER-MAJMOO-032</x:v>
      </x:c>
      <x:c r="E631" s="53"/>
    </x:row>
    <x:row r="632" ht="15" hidden="0" customHeight="1">
      <x:c r="A632" s="53" t="str">
        <x:v>Anjoman accounting - refined.xlsx</x:v>
      </x:c>
      <x:c r="B632" s="53" t="str">
        <x:v>تراکنش‌ها</x:v>
      </x:c>
      <x:c r="C632" s="53" t="str">
        <x:v>M34</x:v>
      </x:c>
      <x:c r="D632" s="53" t="str">
        <x:v>مبلغ از دفتر قبلی خوانده شد؛ نیازمند تطبیق نهایی با شواهد پرداخت.</x:v>
      </x:c>
      <x:c r="E632" s="53"/>
    </x:row>
    <x:row r="633" ht="15" hidden="0" customHeight="1">
      <x:c r="A633" s="53" t="str">
        <x:v>Anjoman accounting - refined.xlsx</x:v>
      </x:c>
      <x:c r="B633" s="53" t="str">
        <x:v>تراکنش‌ها</x:v>
      </x:c>
      <x:c r="C633" s="53" t="str">
        <x:v>A35</x:v>
      </x:c>
      <x:c r="D633" s="53" t="str">
        <x:v>TX-00032</x:v>
      </x:c>
      <x:c r="E633" s="53"/>
    </x:row>
    <x:row r="634" ht="15" hidden="0" customHeight="1">
      <x:c r="A634" s="53" t="str">
        <x:v>Anjoman accounting - refined.xlsx</x:v>
      </x:c>
      <x:c r="B634" s="53" t="str">
        <x:v>تراکنش‌ها</x:v>
      </x:c>
      <x:c r="C634" s="53" t="str">
        <x:v>B35</x:v>
      </x:c>
      <x:c r="D634" s="53" t="str">
        <x:v>هزینه</x:v>
      </x:c>
      <x:c r="E634" s="53"/>
    </x:row>
    <x:row r="635" ht="15" hidden="0" customHeight="1">
      <x:c r="A635" s="53" t="str">
        <x:v>Anjoman accounting - refined.xlsx</x:v>
      </x:c>
      <x:c r="B635" s="53" t="str">
        <x:v>تراکنش‌ها</x:v>
      </x:c>
      <x:c r="C635" s="53" t="str">
        <x:v>C35</x:v>
      </x:c>
      <x:c r="D635" s="53" t="str">
        <x:v>آبان</x:v>
      </x:c>
      <x:c r="E635" s="53"/>
    </x:row>
    <x:row r="636" ht="15" hidden="0" customHeight="1">
      <x:c r="A636" s="53" t="str">
        <x:v>Anjoman accounting - refined.xlsx</x:v>
      </x:c>
      <x:c r="B636" s="53" t="str">
        <x:v>تراکنش‌ها</x:v>
      </x:c>
      <x:c r="C636" s="53" t="str">
        <x:v>D35</x:v>
      </x:c>
      <x:c r="D636" s="53" t="str">
        <x:v>230000</x:v>
      </x:c>
      <x:c r="E636" s="53"/>
    </x:row>
    <x:row r="637" ht="15" hidden="0" customHeight="1">
      <x:c r="A637" s="53" t="str">
        <x:v>Anjoman accounting - refined.xlsx</x:v>
      </x:c>
      <x:c r="B637" s="53" t="str">
        <x:v>تراکنش‌ها</x:v>
      </x:c>
      <x:c r="C637" s="53" t="str">
        <x:v>E35</x:v>
      </x:c>
      <x:c r="D637" s="53" t="str">
        <x:v>تومان</x:v>
      </x:c>
      <x:c r="E637" s="53"/>
    </x:row>
    <x:row r="638" ht="15" hidden="0" customHeight="1">
      <x:c r="A638" s="53" t="str">
        <x:v>Anjoman accounting - refined.xlsx</x:v>
      </x:c>
      <x:c r="B638" s="53" t="str">
        <x:v>تراکنش‌ها</x:v>
      </x:c>
      <x:c r="C638" s="53" t="str">
        <x:v>F35</x:v>
      </x:c>
      <x:c r="D638" s="53" t="str">
        <x:v>230000</x:v>
      </x:c>
      <x:c r="E638" s="53"/>
    </x:row>
    <x:row r="639" ht="15" hidden="0" customHeight="1">
      <x:c r="A639" s="53" t="str">
        <x:v>Anjoman accounting - refined.xlsx</x:v>
      </x:c>
      <x:c r="B639" s="53" t="str">
        <x:v>تراکنش‌ها</x:v>
      </x:c>
      <x:c r="C639" s="53" t="str">
        <x:v>H35</x:v>
      </x:c>
      <x:c r="D639" s="53" t="str">
        <x:v>پذیرایی غرفه انجمن</x:v>
      </x:c>
      <x:c r="E639" s="53"/>
    </x:row>
    <x:row r="640" ht="15" hidden="0" customHeight="1">
      <x:c r="A640" s="53" t="str">
        <x:v>Anjoman accounting - refined.xlsx</x:v>
      </x:c>
      <x:c r="B640" s="53" t="str">
        <x:v>تراکنش‌ها</x:v>
      </x:c>
      <x:c r="C640" s="53" t="str">
        <x:v>I35</x:v>
      </x:c>
      <x:c r="D640" s="53" t="str">
        <x:v>هزینه / عملیاتی</x:v>
      </x:c>
      <x:c r="E640" s="53"/>
    </x:row>
    <x:row r="641" ht="15" hidden="0" customHeight="1">
      <x:c r="A641" s="53" t="str">
        <x:v>Anjoman accounting - refined.xlsx</x:v>
      </x:c>
      <x:c r="B641" s="53" t="str">
        <x:v>تراکنش‌ها</x:v>
      </x:c>
      <x:c r="C641" s="53" t="str">
        <x:v>J35</x:v>
      </x:c>
      <x:c r="D641" s="53" t="str">
        <x:v>تاییدشده</x:v>
      </x:c>
      <x:c r="E641" s="53"/>
    </x:row>
    <x:row r="642" ht="15" hidden="0" customHeight="1">
      <x:c r="A642" s="53" t="str">
        <x:v>Anjoman accounting - refined.xlsx</x:v>
      </x:c>
      <x:c r="B642" s="53" t="str">
        <x:v>تراکنش‌ها</x:v>
      </x:c>
      <x:c r="C642" s="53" t="str">
        <x:v>K35</x:v>
      </x:c>
      <x:c r="D642" s="53" t="str">
        <x:v>دفتر قبلی</x:v>
      </x:c>
      <x:c r="E642" s="53"/>
    </x:row>
    <x:row r="643" ht="15" hidden="0" customHeight="1">
      <x:c r="A643" s="53" t="str">
        <x:v>Anjoman accounting - refined.xlsx</x:v>
      </x:c>
      <x:c r="B643" s="53" t="str">
        <x:v>تراکنش‌ها</x:v>
      </x:c>
      <x:c r="C643" s="53" t="str">
        <x:v>L35</x:v>
      </x:c>
      <x:c r="D643" s="53" t="str">
        <x:v>LEDGER-MAJMOO-033</x:v>
      </x:c>
      <x:c r="E643" s="53"/>
    </x:row>
    <x:row r="644" ht="15" hidden="0" customHeight="1">
      <x:c r="A644" s="53" t="str">
        <x:v>Anjoman accounting - refined.xlsx</x:v>
      </x:c>
      <x:c r="B644" s="53" t="str">
        <x:v>تراکنش‌ها</x:v>
      </x:c>
      <x:c r="C644" s="53" t="str">
        <x:v>M35</x:v>
      </x:c>
      <x:c r="D644" s="53" t="str">
        <x:v>مبلغ از دفتر قبلی خوانده شد؛ نیازمند تطبیق نهایی با شواهد پرداخت.</x:v>
      </x:c>
      <x:c r="E644" s="53"/>
    </x:row>
    <x:row r="645" ht="15" hidden="0" customHeight="1">
      <x:c r="A645" s="53" t="str">
        <x:v>Anjoman accounting - refined.xlsx</x:v>
      </x:c>
      <x:c r="B645" s="53" t="str">
        <x:v>تراکنش‌ها</x:v>
      </x:c>
      <x:c r="C645" s="53" t="str">
        <x:v>A36</x:v>
      </x:c>
      <x:c r="D645" s="53" t="str">
        <x:v>TX-00033</x:v>
      </x:c>
      <x:c r="E645" s="53"/>
    </x:row>
    <x:row r="646" ht="15" hidden="0" customHeight="1">
      <x:c r="A646" s="53" t="str">
        <x:v>Anjoman accounting - refined.xlsx</x:v>
      </x:c>
      <x:c r="B646" s="53" t="str">
        <x:v>تراکنش‌ها</x:v>
      </x:c>
      <x:c r="C646" s="53" t="str">
        <x:v>B36</x:v>
      </x:c>
      <x:c r="D646" s="53" t="str">
        <x:v>هزینه</x:v>
      </x:c>
      <x:c r="E646" s="53"/>
    </x:row>
    <x:row r="647" ht="15" hidden="0" customHeight="1">
      <x:c r="A647" s="53" t="str">
        <x:v>Anjoman accounting - refined.xlsx</x:v>
      </x:c>
      <x:c r="B647" s="53" t="str">
        <x:v>تراکنش‌ها</x:v>
      </x:c>
      <x:c r="C647" s="53" t="str">
        <x:v>C36</x:v>
      </x:c>
      <x:c r="D647" s="53" t="str">
        <x:v>آبان</x:v>
      </x:c>
      <x:c r="E647" s="53"/>
    </x:row>
    <x:row r="648" ht="15" hidden="0" customHeight="1">
      <x:c r="A648" s="53" t="str">
        <x:v>Anjoman accounting - refined.xlsx</x:v>
      </x:c>
      <x:c r="B648" s="53" t="str">
        <x:v>تراکنش‌ها</x:v>
      </x:c>
      <x:c r="C648" s="53" t="str">
        <x:v>D36</x:v>
      </x:c>
      <x:c r="D648" s="53" t="str">
        <x:v>1226100</x:v>
      </x:c>
      <x:c r="E648" s="53"/>
    </x:row>
    <x:row r="649" ht="15" hidden="0" customHeight="1">
      <x:c r="A649" s="53" t="str">
        <x:v>Anjoman accounting - refined.xlsx</x:v>
      </x:c>
      <x:c r="B649" s="53" t="str">
        <x:v>تراکنش‌ها</x:v>
      </x:c>
      <x:c r="C649" s="53" t="str">
        <x:v>E36</x:v>
      </x:c>
      <x:c r="D649" s="53" t="str">
        <x:v>تومان</x:v>
      </x:c>
      <x:c r="E649" s="53"/>
    </x:row>
    <x:row r="650" ht="15" hidden="0" customHeight="1">
      <x:c r="A650" s="53" t="str">
        <x:v>Anjoman accounting - refined.xlsx</x:v>
      </x:c>
      <x:c r="B650" s="53" t="str">
        <x:v>تراکنش‌ها</x:v>
      </x:c>
      <x:c r="C650" s="53" t="str">
        <x:v>F36</x:v>
      </x:c>
      <x:c r="D650" s="53" t="str">
        <x:v>1226100</x:v>
      </x:c>
      <x:c r="E650" s="53"/>
    </x:row>
    <x:row r="651" ht="15" hidden="0" customHeight="1">
      <x:c r="A651" s="53" t="str">
        <x:v>Anjoman accounting - refined.xlsx</x:v>
      </x:c>
      <x:c r="B651" s="53" t="str">
        <x:v>تراکنش‌ها</x:v>
      </x:c>
      <x:c r="C651" s="53" t="str">
        <x:v>H36</x:v>
      </x:c>
      <x:c r="D651" s="53" t="str">
        <x:v>خرید دارو برای کمک های اولیه در انجمن</x:v>
      </x:c>
      <x:c r="E651" s="53"/>
    </x:row>
    <x:row r="652" ht="15" hidden="0" customHeight="1">
      <x:c r="A652" s="53" t="str">
        <x:v>Anjoman accounting - refined.xlsx</x:v>
      </x:c>
      <x:c r="B652" s="53" t="str">
        <x:v>تراکنش‌ها</x:v>
      </x:c>
      <x:c r="C652" s="53" t="str">
        <x:v>I36</x:v>
      </x:c>
      <x:c r="D652" s="53" t="str">
        <x:v>هزینه / عملیاتی</x:v>
      </x:c>
      <x:c r="E652" s="53"/>
    </x:row>
    <x:row r="653" ht="15" hidden="0" customHeight="1">
      <x:c r="A653" s="53" t="str">
        <x:v>Anjoman accounting - refined.xlsx</x:v>
      </x:c>
      <x:c r="B653" s="53" t="str">
        <x:v>تراکنش‌ها</x:v>
      </x:c>
      <x:c r="C653" s="53" t="str">
        <x:v>J36</x:v>
      </x:c>
      <x:c r="D653" s="53" t="str">
        <x:v>تاییدشده</x:v>
      </x:c>
      <x:c r="E653" s="53"/>
    </x:row>
    <x:row r="654" ht="15" hidden="0" customHeight="1">
      <x:c r="A654" s="53" t="str">
        <x:v>Anjoman accounting - refined.xlsx</x:v>
      </x:c>
      <x:c r="B654" s="53" t="str">
        <x:v>تراکنش‌ها</x:v>
      </x:c>
      <x:c r="C654" s="53" t="str">
        <x:v>K36</x:v>
      </x:c>
      <x:c r="D654" s="53" t="str">
        <x:v>دفتر قبلی</x:v>
      </x:c>
      <x:c r="E654" s="53"/>
    </x:row>
    <x:row r="655" ht="15" hidden="0" customHeight="1">
      <x:c r="A655" s="53" t="str">
        <x:v>Anjoman accounting - refined.xlsx</x:v>
      </x:c>
      <x:c r="B655" s="53" t="str">
        <x:v>تراکنش‌ها</x:v>
      </x:c>
      <x:c r="C655" s="53" t="str">
        <x:v>L36</x:v>
      </x:c>
      <x:c r="D655" s="53" t="str">
        <x:v>LEDGER-MAJMOO-034</x:v>
      </x:c>
      <x:c r="E655" s="53"/>
    </x:row>
    <x:row r="656" ht="15" hidden="0" customHeight="1">
      <x:c r="A656" s="53" t="str">
        <x:v>Anjoman accounting - refined.xlsx</x:v>
      </x:c>
      <x:c r="B656" s="53" t="str">
        <x:v>تراکنش‌ها</x:v>
      </x:c>
      <x:c r="C656" s="53" t="str">
        <x:v>M36</x:v>
      </x:c>
      <x:c r="D656" s="53" t="str">
        <x:v>مبلغ از دفتر قبلی خوانده شد؛ نیازمند تطبیق نهایی با شواهد پرداخت.</x:v>
      </x:c>
      <x:c r="E656" s="53"/>
    </x:row>
    <x:row r="657" ht="15" hidden="0" customHeight="1">
      <x:c r="A657" s="53" t="str">
        <x:v>Anjoman accounting - refined.xlsx</x:v>
      </x:c>
      <x:c r="B657" s="53" t="str">
        <x:v>تراکنش‌ها</x:v>
      </x:c>
      <x:c r="C657" s="53" t="str">
        <x:v>A37</x:v>
      </x:c>
      <x:c r="D657" s="53" t="str">
        <x:v>TX-00034</x:v>
      </x:c>
      <x:c r="E657" s="53"/>
    </x:row>
    <x:row r="658" ht="15" hidden="0" customHeight="1">
      <x:c r="A658" s="53" t="str">
        <x:v>Anjoman accounting - refined.xlsx</x:v>
      </x:c>
      <x:c r="B658" s="53" t="str">
        <x:v>تراکنش‌ها</x:v>
      </x:c>
      <x:c r="C658" s="53" t="str">
        <x:v>B37</x:v>
      </x:c>
      <x:c r="D658" s="53" t="str">
        <x:v>هزینه</x:v>
      </x:c>
      <x:c r="E658" s="53"/>
    </x:row>
    <x:row r="659" ht="15" hidden="0" customHeight="1">
      <x:c r="A659" s="53" t="str">
        <x:v>Anjoman accounting - refined.xlsx</x:v>
      </x:c>
      <x:c r="B659" s="53" t="str">
        <x:v>تراکنش‌ها</x:v>
      </x:c>
      <x:c r="C659" s="53" t="str">
        <x:v>C37</x:v>
      </x:c>
      <x:c r="D659" s="53" t="str">
        <x:v>آبان</x:v>
      </x:c>
      <x:c r="E659" s="53"/>
    </x:row>
    <x:row r="660" ht="15" hidden="0" customHeight="1">
      <x:c r="A660" s="53" t="str">
        <x:v>Anjoman accounting - refined.xlsx</x:v>
      </x:c>
      <x:c r="B660" s="53" t="str">
        <x:v>تراکنش‌ها</x:v>
      </x:c>
      <x:c r="C660" s="53" t="str">
        <x:v>D37</x:v>
      </x:c>
      <x:c r="D660" s="53" t="str">
        <x:v>2300</x:v>
      </x:c>
      <x:c r="E660" s="53"/>
    </x:row>
    <x:row r="661" ht="15" hidden="0" customHeight="1">
      <x:c r="A661" s="53" t="str">
        <x:v>Anjoman accounting - refined.xlsx</x:v>
      </x:c>
      <x:c r="B661" s="53" t="str">
        <x:v>تراکنش‌ها</x:v>
      </x:c>
      <x:c r="C661" s="53" t="str">
        <x:v>E37</x:v>
      </x:c>
      <x:c r="D661" s="53" t="str">
        <x:v>تومان</x:v>
      </x:c>
      <x:c r="E661" s="53"/>
    </x:row>
    <x:row r="662" ht="15" hidden="0" customHeight="1">
      <x:c r="A662" s="53" t="str">
        <x:v>Anjoman accounting - refined.xlsx</x:v>
      </x:c>
      <x:c r="B662" s="53" t="str">
        <x:v>تراکنش‌ها</x:v>
      </x:c>
      <x:c r="C662" s="53" t="str">
        <x:v>F37</x:v>
      </x:c>
      <x:c r="D662" s="53" t="str">
        <x:v>2300</x:v>
      </x:c>
      <x:c r="E662" s="53"/>
    </x:row>
    <x:row r="663" ht="15" hidden="0" customHeight="1">
      <x:c r="A663" s="53" t="str">
        <x:v>Anjoman accounting - refined.xlsx</x:v>
      </x:c>
      <x:c r="B663" s="53" t="str">
        <x:v>تراکنش‌ها</x:v>
      </x:c>
      <x:c r="C663" s="53" t="str">
        <x:v>H37</x:v>
      </x:c>
      <x:c r="D663" s="53" t="str">
        <x:v>چاپ قوانین اتاق انجمن</x:v>
      </x:c>
      <x:c r="E663" s="53"/>
    </x:row>
    <x:row r="664" ht="15" hidden="0" customHeight="1">
      <x:c r="A664" s="53" t="str">
        <x:v>Anjoman accounting - refined.xlsx</x:v>
      </x:c>
      <x:c r="B664" s="53" t="str">
        <x:v>تراکنش‌ها</x:v>
      </x:c>
      <x:c r="C664" s="53" t="str">
        <x:v>I37</x:v>
      </x:c>
      <x:c r="D664" s="53" t="str">
        <x:v>هزینه / عملیاتی</x:v>
      </x:c>
      <x:c r="E664" s="53"/>
    </x:row>
    <x:row r="665" ht="15" hidden="0" customHeight="1">
      <x:c r="A665" s="53" t="str">
        <x:v>Anjoman accounting - refined.xlsx</x:v>
      </x:c>
      <x:c r="B665" s="53" t="str">
        <x:v>تراکنش‌ها</x:v>
      </x:c>
      <x:c r="C665" s="53" t="str">
        <x:v>J37</x:v>
      </x:c>
      <x:c r="D665" s="53" t="str">
        <x:v>تاییدشده</x:v>
      </x:c>
      <x:c r="E665" s="53"/>
    </x:row>
    <x:row r="666" ht="15" hidden="0" customHeight="1">
      <x:c r="A666" s="53" t="str">
        <x:v>Anjoman accounting - refined.xlsx</x:v>
      </x:c>
      <x:c r="B666" s="53" t="str">
        <x:v>تراکنش‌ها</x:v>
      </x:c>
      <x:c r="C666" s="53" t="str">
        <x:v>K37</x:v>
      </x:c>
      <x:c r="D666" s="53" t="str">
        <x:v>دفتر قبلی</x:v>
      </x:c>
      <x:c r="E666" s="53"/>
    </x:row>
    <x:row r="667" ht="15" hidden="0" customHeight="1">
      <x:c r="A667" s="53" t="str">
        <x:v>Anjoman accounting - refined.xlsx</x:v>
      </x:c>
      <x:c r="B667" s="53" t="str">
        <x:v>تراکنش‌ها</x:v>
      </x:c>
      <x:c r="C667" s="53" t="str">
        <x:v>L37</x:v>
      </x:c>
      <x:c r="D667" s="53" t="str">
        <x:v>LEDGER-MAJMOO-035</x:v>
      </x:c>
      <x:c r="E667" s="53"/>
    </x:row>
    <x:row r="668" ht="15" hidden="0" customHeight="1">
      <x:c r="A668" s="53" t="str">
        <x:v>Anjoman accounting - refined.xlsx</x:v>
      </x:c>
      <x:c r="B668" s="53" t="str">
        <x:v>تراکنش‌ها</x:v>
      </x:c>
      <x:c r="C668" s="53" t="str">
        <x:v>M37</x:v>
      </x:c>
      <x:c r="D668" s="53" t="str">
        <x:v>مبلغ از دفتر قبلی خوانده شد؛ نیازمند تطبیق نهایی با شواهد پرداخت.</x:v>
      </x:c>
      <x:c r="E668" s="53"/>
    </x:row>
    <x:row r="669" ht="15" hidden="0" customHeight="1">
      <x:c r="A669" s="53" t="str">
        <x:v>Anjoman accounting - refined.xlsx</x:v>
      </x:c>
      <x:c r="B669" s="53" t="str">
        <x:v>تراکنش‌ها</x:v>
      </x:c>
      <x:c r="C669" s="53" t="str">
        <x:v>A38</x:v>
      </x:c>
      <x:c r="D669" s="53" t="str">
        <x:v>TX-00035</x:v>
      </x:c>
      <x:c r="E669" s="53"/>
    </x:row>
    <x:row r="670" ht="15" hidden="0" customHeight="1">
      <x:c r="A670" s="53" t="str">
        <x:v>Anjoman accounting - refined.xlsx</x:v>
      </x:c>
      <x:c r="B670" s="53" t="str">
        <x:v>تراکنش‌ها</x:v>
      </x:c>
      <x:c r="C670" s="53" t="str">
        <x:v>B38</x:v>
      </x:c>
      <x:c r="D670" s="53" t="str">
        <x:v>هزینه</x:v>
      </x:c>
      <x:c r="E670" s="53"/>
    </x:row>
    <x:row r="671" ht="15" hidden="0" customHeight="1">
      <x:c r="A671" s="53" t="str">
        <x:v>Anjoman accounting - refined.xlsx</x:v>
      </x:c>
      <x:c r="B671" s="53" t="str">
        <x:v>تراکنش‌ها</x:v>
      </x:c>
      <x:c r="C671" s="53" t="str">
        <x:v>C38</x:v>
      </x:c>
      <x:c r="D671" s="53" t="str">
        <x:v>آبان</x:v>
      </x:c>
      <x:c r="E671" s="53"/>
    </x:row>
    <x:row r="672" ht="15" hidden="0" customHeight="1">
      <x:c r="A672" s="53" t="str">
        <x:v>Anjoman accounting - refined.xlsx</x:v>
      </x:c>
      <x:c r="B672" s="53" t="str">
        <x:v>تراکنش‌ها</x:v>
      </x:c>
      <x:c r="C672" s="53" t="str">
        <x:v>D38</x:v>
      </x:c>
      <x:c r="D672" s="53" t="str">
        <x:v>1300</x:v>
      </x:c>
      <x:c r="E672" s="53"/>
    </x:row>
    <x:row r="673" ht="15" hidden="0" customHeight="1">
      <x:c r="A673" s="53" t="str">
        <x:v>Anjoman accounting - refined.xlsx</x:v>
      </x:c>
      <x:c r="B673" s="53" t="str">
        <x:v>تراکنش‌ها</x:v>
      </x:c>
      <x:c r="C673" s="53" t="str">
        <x:v>E38</x:v>
      </x:c>
      <x:c r="D673" s="53" t="str">
        <x:v>تومان</x:v>
      </x:c>
      <x:c r="E673" s="53"/>
    </x:row>
    <x:row r="674" ht="15" hidden="0" customHeight="1">
      <x:c r="A674" s="53" t="str">
        <x:v>Anjoman accounting - refined.xlsx</x:v>
      </x:c>
      <x:c r="B674" s="53" t="str">
        <x:v>تراکنش‌ها</x:v>
      </x:c>
      <x:c r="C674" s="53" t="str">
        <x:v>F38</x:v>
      </x:c>
      <x:c r="D674" s="53" t="str">
        <x:v>1300</x:v>
      </x:c>
      <x:c r="E674" s="53"/>
    </x:row>
    <x:row r="675" ht="15" hidden="0" customHeight="1">
      <x:c r="A675" s="53" t="str">
        <x:v>Anjoman accounting - refined.xlsx</x:v>
      </x:c>
      <x:c r="B675" s="53" t="str">
        <x:v>تراکنش‌ها</x:v>
      </x:c>
      <x:c r="C675" s="53" t="str">
        <x:v>H38</x:v>
      </x:c>
      <x:c r="D675" s="53" t="str">
        <x:v>چاپ قوانین اتاق انجمن</x:v>
      </x:c>
      <x:c r="E675" s="53"/>
    </x:row>
    <x:row r="676" ht="15" hidden="0" customHeight="1">
      <x:c r="A676" s="53" t="str">
        <x:v>Anjoman accounting - refined.xlsx</x:v>
      </x:c>
      <x:c r="B676" s="53" t="str">
        <x:v>تراکنش‌ها</x:v>
      </x:c>
      <x:c r="C676" s="53" t="str">
        <x:v>I38</x:v>
      </x:c>
      <x:c r="D676" s="53" t="str">
        <x:v>هزینه / عملیاتی</x:v>
      </x:c>
      <x:c r="E676" s="53"/>
    </x:row>
    <x:row r="677" ht="15" hidden="0" customHeight="1">
      <x:c r="A677" s="53" t="str">
        <x:v>Anjoman accounting - refined.xlsx</x:v>
      </x:c>
      <x:c r="B677" s="53" t="str">
        <x:v>تراکنش‌ها</x:v>
      </x:c>
      <x:c r="C677" s="53" t="str">
        <x:v>J38</x:v>
      </x:c>
      <x:c r="D677" s="53" t="str">
        <x:v>تاییدشده</x:v>
      </x:c>
      <x:c r="E677" s="53"/>
    </x:row>
    <x:row r="678" ht="15" hidden="0" customHeight="1">
      <x:c r="A678" s="53" t="str">
        <x:v>Anjoman accounting - refined.xlsx</x:v>
      </x:c>
      <x:c r="B678" s="53" t="str">
        <x:v>تراکنش‌ها</x:v>
      </x:c>
      <x:c r="C678" s="53" t="str">
        <x:v>K38</x:v>
      </x:c>
      <x:c r="D678" s="53" t="str">
        <x:v>دفتر قبلی</x:v>
      </x:c>
      <x:c r="E678" s="53"/>
    </x:row>
    <x:row r="679" ht="15" hidden="0" customHeight="1">
      <x:c r="A679" s="53" t="str">
        <x:v>Anjoman accounting - refined.xlsx</x:v>
      </x:c>
      <x:c r="B679" s="53" t="str">
        <x:v>تراکنش‌ها</x:v>
      </x:c>
      <x:c r="C679" s="53" t="str">
        <x:v>L38</x:v>
      </x:c>
      <x:c r="D679" s="53" t="str">
        <x:v>LEDGER-MAJMOO-036</x:v>
      </x:c>
      <x:c r="E679" s="53"/>
    </x:row>
    <x:row r="680" ht="15" hidden="0" customHeight="1">
      <x:c r="A680" s="53" t="str">
        <x:v>Anjoman accounting - refined.xlsx</x:v>
      </x:c>
      <x:c r="B680" s="53" t="str">
        <x:v>تراکنش‌ها</x:v>
      </x:c>
      <x:c r="C680" s="53" t="str">
        <x:v>M38</x:v>
      </x:c>
      <x:c r="D680" s="53" t="str">
        <x:v>مبلغ از دفتر قبلی خوانده شد؛ نیازمند تطبیق نهایی با شواهد پرداخت.</x:v>
      </x:c>
      <x:c r="E680" s="53"/>
    </x:row>
    <x:row r="681" ht="15" hidden="0" customHeight="1">
      <x:c r="A681" s="53" t="str">
        <x:v>Anjoman accounting - refined.xlsx</x:v>
      </x:c>
      <x:c r="B681" s="53" t="str">
        <x:v>تراکنش‌ها</x:v>
      </x:c>
      <x:c r="C681" s="53" t="str">
        <x:v>A39</x:v>
      </x:c>
      <x:c r="D681" s="53" t="str">
        <x:v>TX-00036</x:v>
      </x:c>
      <x:c r="E681" s="53"/>
    </x:row>
    <x:row r="682" ht="15" hidden="0" customHeight="1">
      <x:c r="A682" s="53" t="str">
        <x:v>Anjoman accounting - refined.xlsx</x:v>
      </x:c>
      <x:c r="B682" s="53" t="str">
        <x:v>تراکنش‌ها</x:v>
      </x:c>
      <x:c r="C682" s="53" t="str">
        <x:v>B39</x:v>
      </x:c>
      <x:c r="D682" s="53" t="str">
        <x:v>درآمد</x:v>
      </x:c>
      <x:c r="E682" s="53"/>
    </x:row>
    <x:row r="683" ht="15" hidden="0" customHeight="1">
      <x:c r="A683" s="53" t="str">
        <x:v>Anjoman accounting - refined.xlsx</x:v>
      </x:c>
      <x:c r="B683" s="53" t="str">
        <x:v>تراکنش‌ها</x:v>
      </x:c>
      <x:c r="C683" s="53" t="str">
        <x:v>C39</x:v>
      </x:c>
      <x:c r="D683" s="53" t="str">
        <x:v>آذر</x:v>
      </x:c>
      <x:c r="E683" s="53"/>
    </x:row>
    <x:row r="684" ht="15" hidden="0" customHeight="1">
      <x:c r="A684" s="53" t="str">
        <x:v>Anjoman accounting - refined.xlsx</x:v>
      </x:c>
      <x:c r="B684" s="53" t="str">
        <x:v>تراکنش‌ها</x:v>
      </x:c>
      <x:c r="C684" s="53" t="str">
        <x:v>D39</x:v>
      </x:c>
      <x:c r="D684" s="53" t="str">
        <x:v>10000000</x:v>
      </x:c>
      <x:c r="E684" s="53"/>
    </x:row>
    <x:row r="685" ht="15" hidden="0" customHeight="1">
      <x:c r="A685" s="53" t="str">
        <x:v>Anjoman accounting - refined.xlsx</x:v>
      </x:c>
      <x:c r="B685" s="53" t="str">
        <x:v>تراکنش‌ها</x:v>
      </x:c>
      <x:c r="C685" s="53" t="str">
        <x:v>E39</x:v>
      </x:c>
      <x:c r="D685" s="53" t="str">
        <x:v>تومان</x:v>
      </x:c>
      <x:c r="E685" s="53"/>
    </x:row>
    <x:row r="686" ht="15" hidden="0" customHeight="1">
      <x:c r="A686" s="53" t="str">
        <x:v>Anjoman accounting - refined.xlsx</x:v>
      </x:c>
      <x:c r="B686" s="53" t="str">
        <x:v>تراکنش‌ها</x:v>
      </x:c>
      <x:c r="C686" s="53" t="str">
        <x:v>F39</x:v>
      </x:c>
      <x:c r="D686" s="53" t="str">
        <x:v>10000000</x:v>
      </x:c>
      <x:c r="E686" s="53"/>
    </x:row>
    <x:row r="687" ht="15" hidden="0" customHeight="1">
      <x:c r="A687" s="53" t="str">
        <x:v>Anjoman accounting - refined.xlsx</x:v>
      </x:c>
      <x:c r="B687" s="53" t="str">
        <x:v>تراکنش‌ها</x:v>
      </x:c>
      <x:c r="C687" s="53" t="str">
        <x:v>H39</x:v>
      </x:c>
      <x:c r="D687" s="53" t="str">
        <x:v>واریزی دکتر مقیمی جهت کمک به انجمن</x:v>
      </x:c>
      <x:c r="E687" s="53"/>
    </x:row>
    <x:row r="688" ht="15" hidden="0" customHeight="1">
      <x:c r="A688" s="53" t="str">
        <x:v>Anjoman accounting - refined.xlsx</x:v>
      </x:c>
      <x:c r="B688" s="53" t="str">
        <x:v>تراکنش‌ها</x:v>
      </x:c>
      <x:c r="C688" s="53" t="str">
        <x:v>I39</x:v>
      </x:c>
      <x:c r="D688" s="53" t="str">
        <x:v>درآمد / کمک / رویداد</x:v>
      </x:c>
      <x:c r="E688" s="53"/>
    </x:row>
    <x:row r="689" ht="15" hidden="0" customHeight="1">
      <x:c r="A689" s="53" t="str">
        <x:v>Anjoman accounting - refined.xlsx</x:v>
      </x:c>
      <x:c r="B689" s="53" t="str">
        <x:v>تراکنش‌ها</x:v>
      </x:c>
      <x:c r="C689" s="53" t="str">
        <x:v>J39</x:v>
      </x:c>
      <x:c r="D689" s="53" t="str">
        <x:v>تاییدشده</x:v>
      </x:c>
      <x:c r="E689" s="53"/>
    </x:row>
    <x:row r="690" ht="15" hidden="0" customHeight="1">
      <x:c r="A690" s="53" t="str">
        <x:v>Anjoman accounting - refined.xlsx</x:v>
      </x:c>
      <x:c r="B690" s="53" t="str">
        <x:v>تراکنش‌ها</x:v>
      </x:c>
      <x:c r="C690" s="53" t="str">
        <x:v>K39</x:v>
      </x:c>
      <x:c r="D690" s="53" t="str">
        <x:v>دفتر قبلی</x:v>
      </x:c>
      <x:c r="E690" s="53"/>
    </x:row>
    <x:row r="691" ht="15" hidden="0" customHeight="1">
      <x:c r="A691" s="53" t="str">
        <x:v>Anjoman accounting - refined.xlsx</x:v>
      </x:c>
      <x:c r="B691" s="53" t="str">
        <x:v>تراکنش‌ها</x:v>
      </x:c>
      <x:c r="C691" s="53" t="str">
        <x:v>L39</x:v>
      </x:c>
      <x:c r="D691" s="53" t="str">
        <x:v>LEDGER-MAJMOO-038</x:v>
      </x:c>
      <x:c r="E691" s="53"/>
    </x:row>
    <x:row r="692" ht="15" hidden="0" customHeight="1">
      <x:c r="A692" s="53" t="str">
        <x:v>Anjoman accounting - refined.xlsx</x:v>
      </x:c>
      <x:c r="B692" s="53" t="str">
        <x:v>تراکنش‌ها</x:v>
      </x:c>
      <x:c r="C692" s="53" t="str">
        <x:v>M39</x:v>
      </x:c>
      <x:c r="D692" s="53" t="str">
        <x:v>مبلغ از دفتر قبلی خوانده شد؛ نیازمند تطبیق نهایی با شواهد بانکی/رسید.</x:v>
      </x:c>
      <x:c r="E692" s="53"/>
    </x:row>
    <x:row r="693" ht="15" hidden="0" customHeight="1">
      <x:c r="A693" s="53" t="str">
        <x:v>Anjoman accounting - refined.xlsx</x:v>
      </x:c>
      <x:c r="B693" s="53" t="str">
        <x:v>تراکنش‌ها</x:v>
      </x:c>
      <x:c r="C693" s="53" t="str">
        <x:v>A40</x:v>
      </x:c>
      <x:c r="D693" s="53" t="str">
        <x:v>TX-00037</x:v>
      </x:c>
      <x:c r="E693" s="53"/>
    </x:row>
    <x:row r="694" ht="15" hidden="0" customHeight="1">
      <x:c r="A694" s="53" t="str">
        <x:v>Anjoman accounting - refined.xlsx</x:v>
      </x:c>
      <x:c r="B694" s="53" t="str">
        <x:v>تراکنش‌ها</x:v>
      </x:c>
      <x:c r="C694" s="53" t="str">
        <x:v>B40</x:v>
      </x:c>
      <x:c r="D694" s="53" t="str">
        <x:v>درآمد</x:v>
      </x:c>
      <x:c r="E694" s="53"/>
    </x:row>
    <x:row r="695" ht="15" hidden="0" customHeight="1">
      <x:c r="A695" s="53" t="str">
        <x:v>Anjoman accounting - refined.xlsx</x:v>
      </x:c>
      <x:c r="B695" s="53" t="str">
        <x:v>تراکنش‌ها</x:v>
      </x:c>
      <x:c r="C695" s="53" t="str">
        <x:v>C40</x:v>
      </x:c>
      <x:c r="D695" s="53" t="str">
        <x:v>آذر</x:v>
      </x:c>
      <x:c r="E695" s="53"/>
    </x:row>
    <x:row r="696" ht="15" hidden="0" customHeight="1">
      <x:c r="A696" s="53" t="str">
        <x:v>Anjoman accounting - refined.xlsx</x:v>
      </x:c>
      <x:c r="B696" s="53" t="str">
        <x:v>تراکنش‌ها</x:v>
      </x:c>
      <x:c r="C696" s="53" t="str">
        <x:v>D40</x:v>
      </x:c>
      <x:c r="D696" s="53" t="str">
        <x:v>7000000</x:v>
      </x:c>
      <x:c r="E696" s="53"/>
    </x:row>
    <x:row r="697" ht="15" hidden="0" customHeight="1">
      <x:c r="A697" s="53" t="str">
        <x:v>Anjoman accounting - refined.xlsx</x:v>
      </x:c>
      <x:c r="B697" s="53" t="str">
        <x:v>تراکنش‌ها</x:v>
      </x:c>
      <x:c r="C697" s="53" t="str">
        <x:v>E40</x:v>
      </x:c>
      <x:c r="D697" s="53" t="str">
        <x:v>تومان</x:v>
      </x:c>
      <x:c r="E697" s="53"/>
    </x:row>
    <x:row r="698" ht="15" hidden="0" customHeight="1">
      <x:c r="A698" s="53" t="str">
        <x:v>Anjoman accounting - refined.xlsx</x:v>
      </x:c>
      <x:c r="B698" s="53" t="str">
        <x:v>تراکنش‌ها</x:v>
      </x:c>
      <x:c r="C698" s="53" t="str">
        <x:v>F40</x:v>
      </x:c>
      <x:c r="D698" s="53" t="str">
        <x:v>7000000</x:v>
      </x:c>
      <x:c r="E698" s="53"/>
    </x:row>
    <x:row r="699" ht="15" hidden="0" customHeight="1">
      <x:c r="A699" s="53" t="str">
        <x:v>Anjoman accounting - refined.xlsx</x:v>
      </x:c>
      <x:c r="B699" s="53" t="str">
        <x:v>تراکنش‌ها</x:v>
      </x:c>
      <x:c r="C699" s="53" t="str">
        <x:v>H40</x:v>
      </x:c>
      <x:c r="D699" s="53" t="str">
        <x:v>واریزی دکتر مقیمی جهت کمک به انجمن</x:v>
      </x:c>
      <x:c r="E699" s="53"/>
    </x:row>
    <x:row r="700" ht="15" hidden="0" customHeight="1">
      <x:c r="A700" s="53" t="str">
        <x:v>Anjoman accounting - refined.xlsx</x:v>
      </x:c>
      <x:c r="B700" s="53" t="str">
        <x:v>تراکنش‌ها</x:v>
      </x:c>
      <x:c r="C700" s="53" t="str">
        <x:v>I40</x:v>
      </x:c>
      <x:c r="D700" s="53" t="str">
        <x:v>درآمد / کمک / رویداد</x:v>
      </x:c>
      <x:c r="E700" s="53"/>
    </x:row>
    <x:row r="701" ht="15" hidden="0" customHeight="1">
      <x:c r="A701" s="53" t="str">
        <x:v>Anjoman accounting - refined.xlsx</x:v>
      </x:c>
      <x:c r="B701" s="53" t="str">
        <x:v>تراکنش‌ها</x:v>
      </x:c>
      <x:c r="C701" s="53" t="str">
        <x:v>J40</x:v>
      </x:c>
      <x:c r="D701" s="53" t="str">
        <x:v>تاییدشده</x:v>
      </x:c>
      <x:c r="E701" s="53"/>
    </x:row>
    <x:row r="702" ht="15" hidden="0" customHeight="1">
      <x:c r="A702" s="53" t="str">
        <x:v>Anjoman accounting - refined.xlsx</x:v>
      </x:c>
      <x:c r="B702" s="53" t="str">
        <x:v>تراکنش‌ها</x:v>
      </x:c>
      <x:c r="C702" s="53" t="str">
        <x:v>K40</x:v>
      </x:c>
      <x:c r="D702" s="53" t="str">
        <x:v>دفتر قبلی</x:v>
      </x:c>
      <x:c r="E702" s="53"/>
    </x:row>
    <x:row r="703" ht="15" hidden="0" customHeight="1">
      <x:c r="A703" s="53" t="str">
        <x:v>Anjoman accounting - refined.xlsx</x:v>
      </x:c>
      <x:c r="B703" s="53" t="str">
        <x:v>تراکنش‌ها</x:v>
      </x:c>
      <x:c r="C703" s="53" t="str">
        <x:v>L40</x:v>
      </x:c>
      <x:c r="D703" s="53" t="str">
        <x:v>LEDGER-MAJMOO-039</x:v>
      </x:c>
      <x:c r="E703" s="53"/>
    </x:row>
    <x:row r="704" ht="15" hidden="0" customHeight="1">
      <x:c r="A704" s="53" t="str">
        <x:v>Anjoman accounting - refined.xlsx</x:v>
      </x:c>
      <x:c r="B704" s="53" t="str">
        <x:v>تراکنش‌ها</x:v>
      </x:c>
      <x:c r="C704" s="53" t="str">
        <x:v>M40</x:v>
      </x:c>
      <x:c r="D704" s="53" t="str">
        <x:v>مبلغ از دفتر قبلی خوانده شد؛ نیازمند تطبیق نهایی با شواهد بانکی/رسید.</x:v>
      </x:c>
      <x:c r="E704" s="53"/>
    </x:row>
    <x:row r="705" ht="15" hidden="0" customHeight="1">
      <x:c r="A705" s="53" t="str">
        <x:v>Anjoman accounting - refined.xlsx</x:v>
      </x:c>
      <x:c r="B705" s="53" t="str">
        <x:v>تراکنش‌ها</x:v>
      </x:c>
      <x:c r="C705" s="53" t="str">
        <x:v>A41</x:v>
      </x:c>
      <x:c r="D705" s="53" t="str">
        <x:v>TX-00038</x:v>
      </x:c>
      <x:c r="E705" s="53"/>
    </x:row>
    <x:row r="706" ht="15" hidden="0" customHeight="1">
      <x:c r="A706" s="53" t="str">
        <x:v>Anjoman accounting - refined.xlsx</x:v>
      </x:c>
      <x:c r="B706" s="53" t="str">
        <x:v>تراکنش‌ها</x:v>
      </x:c>
      <x:c r="C706" s="53" t="str">
        <x:v>B41</x:v>
      </x:c>
      <x:c r="D706" s="53" t="str">
        <x:v>درآمد</x:v>
      </x:c>
      <x:c r="E706" s="53"/>
    </x:row>
    <x:row r="707" ht="15" hidden="0" customHeight="1">
      <x:c r="A707" s="53" t="str">
        <x:v>Anjoman accounting - refined.xlsx</x:v>
      </x:c>
      <x:c r="B707" s="53" t="str">
        <x:v>تراکنش‌ها</x:v>
      </x:c>
      <x:c r="C707" s="53" t="str">
        <x:v>C41</x:v>
      </x:c>
      <x:c r="D707" s="53" t="str">
        <x:v>آذر</x:v>
      </x:c>
      <x:c r="E707" s="53"/>
    </x:row>
    <x:row r="708" ht="15" hidden="0" customHeight="1">
      <x:c r="A708" s="53" t="str">
        <x:v>Anjoman accounting - refined.xlsx</x:v>
      </x:c>
      <x:c r="B708" s="53" t="str">
        <x:v>تراکنش‌ها</x:v>
      </x:c>
      <x:c r="C708" s="53" t="str">
        <x:v>D41</x:v>
      </x:c>
      <x:c r="D708" s="53" t="str">
        <x:v>6000000</x:v>
      </x:c>
      <x:c r="E708" s="53"/>
    </x:row>
    <x:row r="709" ht="15" hidden="0" customHeight="1">
      <x:c r="A709" s="53" t="str">
        <x:v>Anjoman accounting - refined.xlsx</x:v>
      </x:c>
      <x:c r="B709" s="53" t="str">
        <x:v>تراکنش‌ها</x:v>
      </x:c>
      <x:c r="C709" s="53" t="str">
        <x:v>E41</x:v>
      </x:c>
      <x:c r="D709" s="53" t="str">
        <x:v>تومان</x:v>
      </x:c>
      <x:c r="E709" s="53"/>
    </x:row>
    <x:row r="710" ht="15" hidden="0" customHeight="1">
      <x:c r="A710" s="53" t="str">
        <x:v>Anjoman accounting - refined.xlsx</x:v>
      </x:c>
      <x:c r="B710" s="53" t="str">
        <x:v>تراکنش‌ها</x:v>
      </x:c>
      <x:c r="C710" s="53" t="str">
        <x:v>F41</x:v>
      </x:c>
      <x:c r="D710" s="53" t="str">
        <x:v>6000000</x:v>
      </x:c>
      <x:c r="E710" s="53"/>
    </x:row>
    <x:row r="711" ht="15" hidden="0" customHeight="1">
      <x:c r="A711" s="53" t="str">
        <x:v>Anjoman accounting - refined.xlsx</x:v>
      </x:c>
      <x:c r="B711" s="53" t="str">
        <x:v>تراکنش‌ها</x:v>
      </x:c>
      <x:c r="C711" s="53" t="str">
        <x:v>H41</x:v>
      </x:c>
      <x:c r="D711" s="53" t="str">
        <x:v>واریزی دکتر مقیمی جهت کمک به انجمن</x:v>
      </x:c>
      <x:c r="E711" s="53"/>
    </x:row>
    <x:row r="712" ht="15" hidden="0" customHeight="1">
      <x:c r="A712" s="53" t="str">
        <x:v>Anjoman accounting - refined.xlsx</x:v>
      </x:c>
      <x:c r="B712" s="53" t="str">
        <x:v>تراکنش‌ها</x:v>
      </x:c>
      <x:c r="C712" s="53" t="str">
        <x:v>I41</x:v>
      </x:c>
      <x:c r="D712" s="53" t="str">
        <x:v>درآمد / کمک / رویداد</x:v>
      </x:c>
      <x:c r="E712" s="53"/>
    </x:row>
    <x:row r="713" ht="15" hidden="0" customHeight="1">
      <x:c r="A713" s="53" t="str">
        <x:v>Anjoman accounting - refined.xlsx</x:v>
      </x:c>
      <x:c r="B713" s="53" t="str">
        <x:v>تراکنش‌ها</x:v>
      </x:c>
      <x:c r="C713" s="53" t="str">
        <x:v>J41</x:v>
      </x:c>
      <x:c r="D713" s="53" t="str">
        <x:v>تاییدشده</x:v>
      </x:c>
      <x:c r="E713" s="53"/>
    </x:row>
    <x:row r="714" ht="15" hidden="0" customHeight="1">
      <x:c r="A714" s="53" t="str">
        <x:v>Anjoman accounting - refined.xlsx</x:v>
      </x:c>
      <x:c r="B714" s="53" t="str">
        <x:v>تراکنش‌ها</x:v>
      </x:c>
      <x:c r="C714" s="53" t="str">
        <x:v>K41</x:v>
      </x:c>
      <x:c r="D714" s="53" t="str">
        <x:v>دفتر قبلی</x:v>
      </x:c>
      <x:c r="E714" s="53"/>
    </x:row>
    <x:row r="715" ht="15" hidden="0" customHeight="1">
      <x:c r="A715" s="53" t="str">
        <x:v>Anjoman accounting - refined.xlsx</x:v>
      </x:c>
      <x:c r="B715" s="53" t="str">
        <x:v>تراکنش‌ها</x:v>
      </x:c>
      <x:c r="C715" s="53" t="str">
        <x:v>L41</x:v>
      </x:c>
      <x:c r="D715" s="53" t="str">
        <x:v>LEDGER-MAJMOO-040</x:v>
      </x:c>
      <x:c r="E715" s="53"/>
    </x:row>
    <x:row r="716" ht="15" hidden="0" customHeight="1">
      <x:c r="A716" s="53" t="str">
        <x:v>Anjoman accounting - refined.xlsx</x:v>
      </x:c>
      <x:c r="B716" s="53" t="str">
        <x:v>تراکنش‌ها</x:v>
      </x:c>
      <x:c r="C716" s="53" t="str">
        <x:v>M41</x:v>
      </x:c>
      <x:c r="D716" s="53" t="str">
        <x:v>مبلغ از دفتر قبلی خوانده شد؛ نیازمند تطبیق نهایی با شواهد بانکی/رسید.</x:v>
      </x:c>
      <x:c r="E716" s="53"/>
    </x:row>
    <x:row r="717" ht="15" hidden="0" customHeight="1">
      <x:c r="A717" s="53" t="str">
        <x:v>Anjoman accounting - refined.xlsx</x:v>
      </x:c>
      <x:c r="B717" s="53" t="str">
        <x:v>تراکنش‌ها</x:v>
      </x:c>
      <x:c r="C717" s="53" t="str">
        <x:v>A42</x:v>
      </x:c>
      <x:c r="D717" s="53" t="str">
        <x:v>TX-00039</x:v>
      </x:c>
      <x:c r="E717" s="53"/>
    </x:row>
    <x:row r="718" ht="15" hidden="0" customHeight="1">
      <x:c r="A718" s="53" t="str">
        <x:v>Anjoman accounting - refined.xlsx</x:v>
      </x:c>
      <x:c r="B718" s="53" t="str">
        <x:v>تراکنش‌ها</x:v>
      </x:c>
      <x:c r="C718" s="53" t="str">
        <x:v>B42</x:v>
      </x:c>
      <x:c r="D718" s="53" t="str">
        <x:v>درآمد</x:v>
      </x:c>
      <x:c r="E718" s="53"/>
    </x:row>
    <x:row r="719" ht="15" hidden="0" customHeight="1">
      <x:c r="A719" s="53" t="str">
        <x:v>Anjoman accounting - refined.xlsx</x:v>
      </x:c>
      <x:c r="B719" s="53" t="str">
        <x:v>تراکنش‌ها</x:v>
      </x:c>
      <x:c r="C719" s="53" t="str">
        <x:v>C42</x:v>
      </x:c>
      <x:c r="D719" s="53" t="str">
        <x:v>دی</x:v>
      </x:c>
      <x:c r="E719" s="53"/>
    </x:row>
    <x:row r="720" ht="15" hidden="0" customHeight="1">
      <x:c r="A720" s="53" t="str">
        <x:v>Anjoman accounting - refined.xlsx</x:v>
      </x:c>
      <x:c r="B720" s="53" t="str">
        <x:v>تراکنش‌ها</x:v>
      </x:c>
      <x:c r="C720" s="53" t="str">
        <x:v>D42</x:v>
      </x:c>
      <x:c r="D720" s="53" t="str">
        <x:v>15790000</x:v>
      </x:c>
      <x:c r="E720" s="53"/>
    </x:row>
    <x:row r="721" ht="15" hidden="0" customHeight="1">
      <x:c r="A721" s="53" t="str">
        <x:v>Anjoman accounting - refined.xlsx</x:v>
      </x:c>
      <x:c r="B721" s="53" t="str">
        <x:v>تراکنش‌ها</x:v>
      </x:c>
      <x:c r="C721" s="53" t="str">
        <x:v>E42</x:v>
      </x:c>
      <x:c r="D721" s="53" t="str">
        <x:v>تومان</x:v>
      </x:c>
      <x:c r="E721" s="53"/>
    </x:row>
    <x:row r="722" ht="15" hidden="0" customHeight="1">
      <x:c r="A722" s="53" t="str">
        <x:v>Anjoman accounting - refined.xlsx</x:v>
      </x:c>
      <x:c r="B722" s="53" t="str">
        <x:v>تراکنش‌ها</x:v>
      </x:c>
      <x:c r="C722" s="53" t="str">
        <x:v>F42</x:v>
      </x:c>
      <x:c r="D722" s="53" t="str">
        <x:v>15790000</x:v>
      </x:c>
      <x:c r="E722" s="53"/>
    </x:row>
    <x:row r="723" ht="15" hidden="0" customHeight="1">
      <x:c r="A723" s="53" t="str">
        <x:v>Anjoman accounting - refined.xlsx</x:v>
      </x:c>
      <x:c r="B723" s="53" t="str">
        <x:v>تراکنش‌ها</x:v>
      </x:c>
      <x:c r="C723" s="53" t="str">
        <x:v>H42</x:v>
      </x:c>
      <x:c r="D723" s="53" t="str">
        <x:v>دونیشن برای جشن یلدا در حساب</x:v>
      </x:c>
      <x:c r="E723" s="53"/>
    </x:row>
    <x:row r="724" ht="15" hidden="0" customHeight="1">
      <x:c r="A724" s="53" t="str">
        <x:v>Anjoman accounting - refined.xlsx</x:v>
      </x:c>
      <x:c r="B724" s="53" t="str">
        <x:v>تراکنش‌ها</x:v>
      </x:c>
      <x:c r="C724" s="53" t="str">
        <x:v>I42</x:v>
      </x:c>
      <x:c r="D724" s="53" t="str">
        <x:v>درآمد / کمک / رویداد</x:v>
      </x:c>
      <x:c r="E724" s="53"/>
    </x:row>
    <x:row r="725" ht="15" hidden="0" customHeight="1">
      <x:c r="A725" s="53" t="str">
        <x:v>Anjoman accounting - refined.xlsx</x:v>
      </x:c>
      <x:c r="B725" s="53" t="str">
        <x:v>تراکنش‌ها</x:v>
      </x:c>
      <x:c r="C725" s="53" t="str">
        <x:v>J42</x:v>
      </x:c>
      <x:c r="D725" s="53" t="str">
        <x:v>تاییدشده</x:v>
      </x:c>
      <x:c r="E725" s="53"/>
    </x:row>
    <x:row r="726" ht="15" hidden="0" customHeight="1">
      <x:c r="A726" s="53" t="str">
        <x:v>Anjoman accounting - refined.xlsx</x:v>
      </x:c>
      <x:c r="B726" s="53" t="str">
        <x:v>تراکنش‌ها</x:v>
      </x:c>
      <x:c r="C726" s="53" t="str">
        <x:v>K42</x:v>
      </x:c>
      <x:c r="D726" s="53" t="str">
        <x:v>دفتر قبلی</x:v>
      </x:c>
      <x:c r="E726" s="53"/>
    </x:row>
    <x:row r="727" ht="15" hidden="0" customHeight="1">
      <x:c r="A727" s="53" t="str">
        <x:v>Anjoman accounting - refined.xlsx</x:v>
      </x:c>
      <x:c r="B727" s="53" t="str">
        <x:v>تراکنش‌ها</x:v>
      </x:c>
      <x:c r="C727" s="53" t="str">
        <x:v>L42</x:v>
      </x:c>
      <x:c r="D727" s="53" t="str">
        <x:v>LEDGER-MAJMOO-042</x:v>
      </x:c>
      <x:c r="E727" s="53"/>
    </x:row>
    <x:row r="728" ht="15" hidden="0" customHeight="1">
      <x:c r="A728" s="53" t="str">
        <x:v>Anjoman accounting - refined.xlsx</x:v>
      </x:c>
      <x:c r="B728" s="53" t="str">
        <x:v>تراکنش‌ها</x:v>
      </x:c>
      <x:c r="C728" s="53" t="str">
        <x:v>M42</x:v>
      </x:c>
      <x:c r="D728" s="53" t="str">
        <x:v>مبلغ از دفتر قبلی خوانده شد؛ نیازمند تطبیق نهایی با شواهد بانکی/رسید.</x:v>
      </x:c>
      <x:c r="E728" s="53"/>
    </x:row>
    <x:row r="729" ht="15" hidden="0" customHeight="1">
      <x:c r="A729" s="53" t="str">
        <x:v>Anjoman accounting - refined.xlsx</x:v>
      </x:c>
      <x:c r="B729" s="53" t="str">
        <x:v>تراکنش‌ها</x:v>
      </x:c>
      <x:c r="C729" s="53" t="str">
        <x:v>A43</x:v>
      </x:c>
      <x:c r="D729" s="53" t="str">
        <x:v>TX-00040</x:v>
      </x:c>
      <x:c r="E729" s="53"/>
    </x:row>
    <x:row r="730" ht="15" hidden="0" customHeight="1">
      <x:c r="A730" s="53" t="str">
        <x:v>Anjoman accounting - refined.xlsx</x:v>
      </x:c>
      <x:c r="B730" s="53" t="str">
        <x:v>تراکنش‌ها</x:v>
      </x:c>
      <x:c r="C730" s="53" t="str">
        <x:v>B43</x:v>
      </x:c>
      <x:c r="D730" s="53" t="str">
        <x:v>هزینه</x:v>
      </x:c>
      <x:c r="E730" s="53"/>
    </x:row>
    <x:row r="731" ht="15" hidden="0" customHeight="1">
      <x:c r="A731" s="53" t="str">
        <x:v>Anjoman accounting - refined.xlsx</x:v>
      </x:c>
      <x:c r="B731" s="53" t="str">
        <x:v>تراکنش‌ها</x:v>
      </x:c>
      <x:c r="C731" s="53" t="str">
        <x:v>C43</x:v>
      </x:c>
      <x:c r="D731" s="53" t="str">
        <x:v>دی</x:v>
      </x:c>
      <x:c r="E731" s="53"/>
    </x:row>
    <x:row r="732" ht="15" hidden="0" customHeight="1">
      <x:c r="A732" s="53" t="str">
        <x:v>Anjoman accounting - refined.xlsx</x:v>
      </x:c>
      <x:c r="B732" s="53" t="str">
        <x:v>تراکنش‌ها</x:v>
      </x:c>
      <x:c r="C732" s="53" t="str">
        <x:v>D43</x:v>
      </x:c>
      <x:c r="D732" s="53" t="str">
        <x:v>2137000</x:v>
      </x:c>
      <x:c r="E732" s="53"/>
    </x:row>
    <x:row r="733" ht="15" hidden="0" customHeight="1">
      <x:c r="A733" s="53" t="str">
        <x:v>Anjoman accounting - refined.xlsx</x:v>
      </x:c>
      <x:c r="B733" s="53" t="str">
        <x:v>تراکنش‌ها</x:v>
      </x:c>
      <x:c r="C733" s="53" t="str">
        <x:v>E43</x:v>
      </x:c>
      <x:c r="D733" s="53" t="str">
        <x:v>تومان</x:v>
      </x:c>
      <x:c r="E733" s="53"/>
    </x:row>
    <x:row r="734" ht="15" hidden="0" customHeight="1">
      <x:c r="A734" s="53" t="str">
        <x:v>Anjoman accounting - refined.xlsx</x:v>
      </x:c>
      <x:c r="B734" s="53" t="str">
        <x:v>تراکنش‌ها</x:v>
      </x:c>
      <x:c r="C734" s="53" t="str">
        <x:v>F43</x:v>
      </x:c>
      <x:c r="D734" s="53" t="str">
        <x:v>2137000</x:v>
      </x:c>
      <x:c r="E734" s="53"/>
    </x:row>
    <x:row r="735" ht="15" hidden="0" customHeight="1">
      <x:c r="A735" s="53" t="str">
        <x:v>Anjoman accounting - refined.xlsx</x:v>
      </x:c>
      <x:c r="B735" s="53" t="str">
        <x:v>تراکنش‌ها</x:v>
      </x:c>
      <x:c r="C735" s="53" t="str">
        <x:v>H43</x:v>
      </x:c>
      <x:c r="D735" s="53" t="str">
        <x:v>جایزه و پذیرایی جشن یلدا</x:v>
      </x:c>
      <x:c r="E735" s="53"/>
    </x:row>
    <x:row r="736" ht="15" hidden="0" customHeight="1">
      <x:c r="A736" s="53" t="str">
        <x:v>Anjoman accounting - refined.xlsx</x:v>
      </x:c>
      <x:c r="B736" s="53" t="str">
        <x:v>تراکنش‌ها</x:v>
      </x:c>
      <x:c r="C736" s="53" t="str">
        <x:v>I43</x:v>
      </x:c>
      <x:c r="D736" s="53" t="str">
        <x:v>هزینه / عملیاتی</x:v>
      </x:c>
      <x:c r="E736" s="53"/>
    </x:row>
    <x:row r="737" ht="15" hidden="0" customHeight="1">
      <x:c r="A737" s="53" t="str">
        <x:v>Anjoman accounting - refined.xlsx</x:v>
      </x:c>
      <x:c r="B737" s="53" t="str">
        <x:v>تراکنش‌ها</x:v>
      </x:c>
      <x:c r="C737" s="53" t="str">
        <x:v>J43</x:v>
      </x:c>
      <x:c r="D737" s="53" t="str">
        <x:v>تاییدشده</x:v>
      </x:c>
      <x:c r="E737" s="53"/>
    </x:row>
    <x:row r="738" ht="15" hidden="0" customHeight="1">
      <x:c r="A738" s="53" t="str">
        <x:v>Anjoman accounting - refined.xlsx</x:v>
      </x:c>
      <x:c r="B738" s="53" t="str">
        <x:v>تراکنش‌ها</x:v>
      </x:c>
      <x:c r="C738" s="53" t="str">
        <x:v>K43</x:v>
      </x:c>
      <x:c r="D738" s="53" t="str">
        <x:v>دفتر قبلی</x:v>
      </x:c>
      <x:c r="E738" s="53"/>
    </x:row>
    <x:row r="739" ht="15" hidden="0" customHeight="1">
      <x:c r="A739" s="53" t="str">
        <x:v>Anjoman accounting - refined.xlsx</x:v>
      </x:c>
      <x:c r="B739" s="53" t="str">
        <x:v>تراکنش‌ها</x:v>
      </x:c>
      <x:c r="C739" s="53" t="str">
        <x:v>L43</x:v>
      </x:c>
      <x:c r="D739" s="53" t="str">
        <x:v>LEDGER-MAJMOO-042</x:v>
      </x:c>
      <x:c r="E739" s="53"/>
    </x:row>
    <x:row r="740" ht="15" hidden="0" customHeight="1">
      <x:c r="A740" s="53" t="str">
        <x:v>Anjoman accounting - refined.xlsx</x:v>
      </x:c>
      <x:c r="B740" s="53" t="str">
        <x:v>تراکنش‌ها</x:v>
      </x:c>
      <x:c r="C740" s="53" t="str">
        <x:v>M43</x:v>
      </x:c>
      <x:c r="D740" s="53" t="str">
        <x:v>مبلغ از دفتر قبلی خوانده شد؛ نیازمند تطبیق نهایی با شواهد پرداخت.</x:v>
      </x:c>
      <x:c r="E740" s="53"/>
    </x:row>
    <x:row r="741" ht="15" hidden="0" customHeight="1">
      <x:c r="A741" s="53" t="str">
        <x:v>Anjoman accounting - refined.xlsx</x:v>
      </x:c>
      <x:c r="B741" s="53" t="str">
        <x:v>تراکنش‌ها</x:v>
      </x:c>
      <x:c r="C741" s="53" t="str">
        <x:v>A44</x:v>
      </x:c>
      <x:c r="D741" s="53" t="str">
        <x:v>TX-00041</x:v>
      </x:c>
      <x:c r="E741" s="53"/>
    </x:row>
    <x:row r="742" ht="15" hidden="0" customHeight="1">
      <x:c r="A742" s="53" t="str">
        <x:v>Anjoman accounting - refined.xlsx</x:v>
      </x:c>
      <x:c r="B742" s="53" t="str">
        <x:v>تراکنش‌ها</x:v>
      </x:c>
      <x:c r="C742" s="53" t="str">
        <x:v>B44</x:v>
      </x:c>
      <x:c r="D742" s="53" t="str">
        <x:v>درآمد</x:v>
      </x:c>
      <x:c r="E742" s="53"/>
    </x:row>
    <x:row r="743" ht="15" hidden="0" customHeight="1">
      <x:c r="A743" s="53" t="str">
        <x:v>Anjoman accounting - refined.xlsx</x:v>
      </x:c>
      <x:c r="B743" s="53" t="str">
        <x:v>تراکنش‌ها</x:v>
      </x:c>
      <x:c r="C743" s="53" t="str">
        <x:v>C44</x:v>
      </x:c>
      <x:c r="D743" s="53" t="str">
        <x:v>دی</x:v>
      </x:c>
      <x:c r="E743" s="53"/>
    </x:row>
    <x:row r="744" ht="15" hidden="0" customHeight="1">
      <x:c r="A744" s="53" t="str">
        <x:v>Anjoman accounting - refined.xlsx</x:v>
      </x:c>
      <x:c r="B744" s="53" t="str">
        <x:v>تراکنش‌ها</x:v>
      </x:c>
      <x:c r="C744" s="53" t="str">
        <x:v>D44</x:v>
      </x:c>
      <x:c r="D744" s="53" t="str">
        <x:v>700000</x:v>
      </x:c>
      <x:c r="E744" s="53"/>
    </x:row>
    <x:row r="745" ht="15" hidden="0" customHeight="1">
      <x:c r="A745" s="53" t="str">
        <x:v>Anjoman accounting - refined.xlsx</x:v>
      </x:c>
      <x:c r="B745" s="53" t="str">
        <x:v>تراکنش‌ها</x:v>
      </x:c>
      <x:c r="C745" s="53" t="str">
        <x:v>E44</x:v>
      </x:c>
      <x:c r="D745" s="53" t="str">
        <x:v>تومان</x:v>
      </x:c>
      <x:c r="E745" s="53"/>
    </x:row>
    <x:row r="746" ht="15" hidden="0" customHeight="1">
      <x:c r="A746" s="53" t="str">
        <x:v>Anjoman accounting - refined.xlsx</x:v>
      </x:c>
      <x:c r="B746" s="53" t="str">
        <x:v>تراکنش‌ها</x:v>
      </x:c>
      <x:c r="C746" s="53" t="str">
        <x:v>F44</x:v>
      </x:c>
      <x:c r="D746" s="53" t="str">
        <x:v>700000</x:v>
      </x:c>
      <x:c r="E746" s="53"/>
    </x:row>
    <x:row r="747" ht="15" hidden="0" customHeight="1">
      <x:c r="A747" s="53" t="str">
        <x:v>Anjoman accounting - refined.xlsx</x:v>
      </x:c>
      <x:c r="B747" s="53" t="str">
        <x:v>تراکنش‌ها</x:v>
      </x:c>
      <x:c r="C747" s="53" t="str">
        <x:v>H44</x:v>
      </x:c>
      <x:c r="D747" s="53" t="str">
        <x:v>دونیشن وجه نقد برای جشن یلدا</x:v>
      </x:c>
      <x:c r="E747" s="53"/>
    </x:row>
    <x:row r="748" ht="15" hidden="0" customHeight="1">
      <x:c r="A748" s="53" t="str">
        <x:v>Anjoman accounting - refined.xlsx</x:v>
      </x:c>
      <x:c r="B748" s="53" t="str">
        <x:v>تراکنش‌ها</x:v>
      </x:c>
      <x:c r="C748" s="53" t="str">
        <x:v>I44</x:v>
      </x:c>
      <x:c r="D748" s="53" t="str">
        <x:v>درآمد / کمک / رویداد</x:v>
      </x:c>
      <x:c r="E748" s="53"/>
    </x:row>
    <x:row r="749" ht="15" hidden="0" customHeight="1">
      <x:c r="A749" s="53" t="str">
        <x:v>Anjoman accounting - refined.xlsx</x:v>
      </x:c>
      <x:c r="B749" s="53" t="str">
        <x:v>تراکنش‌ها</x:v>
      </x:c>
      <x:c r="C749" s="53" t="str">
        <x:v>J44</x:v>
      </x:c>
      <x:c r="D749" s="53" t="str">
        <x:v>تاییدشده</x:v>
      </x:c>
      <x:c r="E749" s="53"/>
    </x:row>
    <x:row r="750" ht="15" hidden="0" customHeight="1">
      <x:c r="A750" s="53" t="str">
        <x:v>Anjoman accounting - refined.xlsx</x:v>
      </x:c>
      <x:c r="B750" s="53" t="str">
        <x:v>تراکنش‌ها</x:v>
      </x:c>
      <x:c r="C750" s="53" t="str">
        <x:v>K44</x:v>
      </x:c>
      <x:c r="D750" s="53" t="str">
        <x:v>دفتر قبلی</x:v>
      </x:c>
      <x:c r="E750" s="53"/>
    </x:row>
    <x:row r="751" ht="15" hidden="0" customHeight="1">
      <x:c r="A751" s="53" t="str">
        <x:v>Anjoman accounting - refined.xlsx</x:v>
      </x:c>
      <x:c r="B751" s="53" t="str">
        <x:v>تراکنش‌ها</x:v>
      </x:c>
      <x:c r="C751" s="53" t="str">
        <x:v>L44</x:v>
      </x:c>
      <x:c r="D751" s="53" t="str">
        <x:v>LEDGER-MAJMOO-043</x:v>
      </x:c>
      <x:c r="E751" s="53"/>
    </x:row>
    <x:row r="752" ht="15" hidden="0" customHeight="1">
      <x:c r="A752" s="53" t="str">
        <x:v>Anjoman accounting - refined.xlsx</x:v>
      </x:c>
      <x:c r="B752" s="53" t="str">
        <x:v>تراکنش‌ها</x:v>
      </x:c>
      <x:c r="C752" s="53" t="str">
        <x:v>M44</x:v>
      </x:c>
      <x:c r="D752" s="53" t="str">
        <x:v>مبلغ از دفتر قبلی خوانده شد؛ نیازمند تطبیق نهایی با شواهد بانکی/رسید.</x:v>
      </x:c>
      <x:c r="E752" s="53"/>
    </x:row>
    <x:row r="753" ht="15" hidden="0" customHeight="1">
      <x:c r="A753" s="53" t="str">
        <x:v>Anjoman accounting - refined.xlsx</x:v>
      </x:c>
      <x:c r="B753" s="53" t="str">
        <x:v>تراکنش‌ها</x:v>
      </x:c>
      <x:c r="C753" s="53" t="str">
        <x:v>A45</x:v>
      </x:c>
      <x:c r="D753" s="53" t="str">
        <x:v>TX-00042</x:v>
      </x:c>
      <x:c r="E753" s="53"/>
    </x:row>
    <x:row r="754" ht="15" hidden="0" customHeight="1">
      <x:c r="A754" s="53" t="str">
        <x:v>Anjoman accounting - refined.xlsx</x:v>
      </x:c>
      <x:c r="B754" s="53" t="str">
        <x:v>تراکنش‌ها</x:v>
      </x:c>
      <x:c r="C754" s="53" t="str">
        <x:v>B45</x:v>
      </x:c>
      <x:c r="D754" s="53" t="str">
        <x:v>درآمد</x:v>
      </x:c>
      <x:c r="E754" s="53"/>
    </x:row>
    <x:row r="755" ht="15" hidden="0" customHeight="1">
      <x:c r="A755" s="53" t="str">
        <x:v>Anjoman accounting - refined.xlsx</x:v>
      </x:c>
      <x:c r="B755" s="53" t="str">
        <x:v>تراکنش‌ها</x:v>
      </x:c>
      <x:c r="C755" s="53" t="str">
        <x:v>C45</x:v>
      </x:c>
      <x:c r="D755" s="53" t="str">
        <x:v>مهر 05</x:v>
      </x:c>
      <x:c r="E755" s="53"/>
    </x:row>
    <x:row r="756" ht="15" hidden="0" customHeight="1">
      <x:c r="A756" s="53" t="str">
        <x:v>Anjoman accounting - refined.xlsx</x:v>
      </x:c>
      <x:c r="B756" s="53" t="str">
        <x:v>تراکنش‌ها</x:v>
      </x:c>
      <x:c r="C756" s="53" t="str">
        <x:v>D45</x:v>
      </x:c>
      <x:c r="D756" s="53" t="str">
        <x:v>23000000</x:v>
      </x:c>
      <x:c r="E756" s="53"/>
    </x:row>
    <x:row r="757" ht="15" hidden="0" customHeight="1">
      <x:c r="A757" s="53" t="str">
        <x:v>Anjoman accounting - refined.xlsx</x:v>
      </x:c>
      <x:c r="B757" s="53" t="str">
        <x:v>تراکنش‌ها</x:v>
      </x:c>
      <x:c r="C757" s="53" t="str">
        <x:v>E45</x:v>
      </x:c>
      <x:c r="D757" s="53" t="str">
        <x:v>تومان</x:v>
      </x:c>
      <x:c r="E757" s="53"/>
    </x:row>
    <x:row r="758" ht="15" hidden="0" customHeight="1">
      <x:c r="A758" s="53" t="str">
        <x:v>Anjoman accounting - refined.xlsx</x:v>
      </x:c>
      <x:c r="B758" s="53" t="str">
        <x:v>تراکنش‌ها</x:v>
      </x:c>
      <x:c r="C758" s="53" t="str">
        <x:v>F45</x:v>
      </x:c>
      <x:c r="D758" s="53" t="str">
        <x:v>23000000</x:v>
      </x:c>
      <x:c r="E758" s="53"/>
    </x:row>
    <x:row r="759" ht="15" hidden="0" customHeight="1">
      <x:c r="A759" s="53" t="str">
        <x:v>Anjoman accounting - refined.xlsx</x:v>
      </x:c>
      <x:c r="B759" s="53" t="str">
        <x:v>تراکنش‌ها</x:v>
      </x:c>
      <x:c r="C759" s="53" t="str">
        <x:v>H45</x:v>
      </x:c>
      <x:c r="D759" s="53" t="str">
        <x:v>معرفی رشته</x:v>
      </x:c>
      <x:c r="E759" s="53"/>
    </x:row>
    <x:row r="760" ht="15" hidden="0" customHeight="1">
      <x:c r="A760" s="53" t="str">
        <x:v>Anjoman accounting - refined.xlsx</x:v>
      </x:c>
      <x:c r="B760" s="53" t="str">
        <x:v>تراکنش‌ها</x:v>
      </x:c>
      <x:c r="C760" s="53" t="str">
        <x:v>I45</x:v>
      </x:c>
      <x:c r="D760" s="53" t="str">
        <x:v>درآمد / کمک / رویداد</x:v>
      </x:c>
      <x:c r="E760" s="53"/>
    </x:row>
    <x:row r="761" ht="15" hidden="0" customHeight="1">
      <x:c r="A761" s="53" t="str">
        <x:v>Anjoman accounting - refined.xlsx</x:v>
      </x:c>
      <x:c r="B761" s="53" t="str">
        <x:v>تراکنش‌ها</x:v>
      </x:c>
      <x:c r="C761" s="53" t="str">
        <x:v>J45</x:v>
      </x:c>
      <x:c r="D761" s="53" t="str">
        <x:v>تاییدشده</x:v>
      </x:c>
      <x:c r="E761" s="53"/>
    </x:row>
    <x:row r="762" ht="15" hidden="0" customHeight="1">
      <x:c r="A762" s="53" t="str">
        <x:v>Anjoman accounting - refined.xlsx</x:v>
      </x:c>
      <x:c r="B762" s="53" t="str">
        <x:v>تراکنش‌ها</x:v>
      </x:c>
      <x:c r="C762" s="53" t="str">
        <x:v>K45</x:v>
      </x:c>
      <x:c r="D762" s="53" t="str">
        <x:v>دفتر قبلی</x:v>
      </x:c>
      <x:c r="E762" s="53"/>
    </x:row>
    <x:row r="763" ht="15" hidden="0" customHeight="1">
      <x:c r="A763" s="53" t="str">
        <x:v>Anjoman accounting - refined.xlsx</x:v>
      </x:c>
      <x:c r="B763" s="53" t="str">
        <x:v>تراکنش‌ها</x:v>
      </x:c>
      <x:c r="C763" s="53" t="str">
        <x:v>L45</x:v>
      </x:c>
      <x:c r="D763" s="53" t="str">
        <x:v>LEDGER-MAJMOO-045</x:v>
      </x:c>
      <x:c r="E763" s="53"/>
    </x:row>
    <x:row r="764" ht="15" hidden="0" customHeight="1">
      <x:c r="A764" s="53" t="str">
        <x:v>Anjoman accounting - refined.xlsx</x:v>
      </x:c>
      <x:c r="B764" s="53" t="str">
        <x:v>تراکنش‌ها</x:v>
      </x:c>
      <x:c r="C764" s="53" t="str">
        <x:v>M45</x:v>
      </x:c>
      <x:c r="D764" s="53" t="str">
        <x:v>مبلغ از دفتر قبلی خوانده شد؛ نیازمند تطبیق نهایی با شواهد بانکی/رسید.</x:v>
      </x:c>
      <x:c r="E764" s="53"/>
    </x:row>
    <x:row r="765" ht="15" hidden="0" customHeight="1">
      <x:c r="A765" s="53" t="str">
        <x:v>Anjoman accounting - refined.xlsx</x:v>
      </x:c>
      <x:c r="B765" s="53" t="str">
        <x:v>تراکنش‌ها</x:v>
      </x:c>
      <x:c r="C765" s="53" t="str">
        <x:v>A46</x:v>
      </x:c>
      <x:c r="D765" s="53" t="str">
        <x:v>TX-00043</x:v>
      </x:c>
      <x:c r="E765" s="53"/>
    </x:row>
    <x:row r="766" ht="15" hidden="0" customHeight="1">
      <x:c r="A766" s="53" t="str">
        <x:v>Anjoman accounting - refined.xlsx</x:v>
      </x:c>
      <x:c r="B766" s="53" t="str">
        <x:v>تراکنش‌ها</x:v>
      </x:c>
      <x:c r="C766" s="53" t="str">
        <x:v>B46</x:v>
      </x:c>
      <x:c r="D766" s="53" t="str">
        <x:v>هزینه</x:v>
      </x:c>
      <x:c r="E766" s="53"/>
    </x:row>
    <x:row r="767" ht="15" hidden="0" customHeight="1">
      <x:c r="A767" s="53" t="str">
        <x:v>Anjoman accounting - refined.xlsx</x:v>
      </x:c>
      <x:c r="B767" s="53" t="str">
        <x:v>تراکنش‌ها</x:v>
      </x:c>
      <x:c r="C767" s="53" t="str">
        <x:v>C46</x:v>
      </x:c>
      <x:c r="D767" s="53" t="str">
        <x:v>مهر 05</x:v>
      </x:c>
      <x:c r="E767" s="53"/>
    </x:row>
    <x:row r="768" ht="15" hidden="0" customHeight="1">
      <x:c r="A768" s="53" t="str">
        <x:v>Anjoman accounting - refined.xlsx</x:v>
      </x:c>
      <x:c r="B768" s="53" t="str">
        <x:v>تراکنش‌ها</x:v>
      </x:c>
      <x:c r="C768" s="53" t="str">
        <x:v>D46</x:v>
      </x:c>
      <x:c r="D768" s="53" t="str">
        <x:v>5000000</x:v>
      </x:c>
      <x:c r="E768" s="53"/>
    </x:row>
    <x:row r="769" ht="15" hidden="0" customHeight="1">
      <x:c r="A769" s="53" t="str">
        <x:v>Anjoman accounting - refined.xlsx</x:v>
      </x:c>
      <x:c r="B769" s="53" t="str">
        <x:v>تراکنش‌ها</x:v>
      </x:c>
      <x:c r="C769" s="53" t="str">
        <x:v>E46</x:v>
      </x:c>
      <x:c r="D769" s="53" t="str">
        <x:v>تومان</x:v>
      </x:c>
      <x:c r="E769" s="53"/>
    </x:row>
    <x:row r="770" ht="15" hidden="0" customHeight="1">
      <x:c r="A770" s="53" t="str">
        <x:v>Anjoman accounting - refined.xlsx</x:v>
      </x:c>
      <x:c r="B770" s="53" t="str">
        <x:v>تراکنش‌ها</x:v>
      </x:c>
      <x:c r="C770" s="53" t="str">
        <x:v>F46</x:v>
      </x:c>
      <x:c r="D770" s="53" t="str">
        <x:v>5000000</x:v>
      </x:c>
      <x:c r="E770" s="53"/>
    </x:row>
    <x:row r="771" ht="15" hidden="0" customHeight="1">
      <x:c r="A771" s="53" t="str">
        <x:v>Anjoman accounting - refined.xlsx</x:v>
      </x:c>
      <x:c r="B771" s="53" t="str">
        <x:v>تراکنش‌ها</x:v>
      </x:c>
      <x:c r="C771" s="53" t="str">
        <x:v>H46</x:v>
      </x:c>
      <x:c r="D771" s="53" t="str">
        <x:v>دورهمی بعد از رویداد معرفی رشته</x:v>
      </x:c>
      <x:c r="E771" s="53"/>
    </x:row>
    <x:row r="772" ht="15" hidden="0" customHeight="1">
      <x:c r="A772" s="53" t="str">
        <x:v>Anjoman accounting - refined.xlsx</x:v>
      </x:c>
      <x:c r="B772" s="53" t="str">
        <x:v>تراکنش‌ها</x:v>
      </x:c>
      <x:c r="C772" s="53" t="str">
        <x:v>I46</x:v>
      </x:c>
      <x:c r="D772" s="53" t="str">
        <x:v>هزینه / عملیاتی</x:v>
      </x:c>
      <x:c r="E772" s="53"/>
    </x:row>
    <x:row r="773" ht="15" hidden="0" customHeight="1">
      <x:c r="A773" s="53" t="str">
        <x:v>Anjoman accounting - refined.xlsx</x:v>
      </x:c>
      <x:c r="B773" s="53" t="str">
        <x:v>تراکنش‌ها</x:v>
      </x:c>
      <x:c r="C773" s="53" t="str">
        <x:v>J46</x:v>
      </x:c>
      <x:c r="D773" s="53" t="str">
        <x:v>تاییدشده</x:v>
      </x:c>
      <x:c r="E773" s="53"/>
    </x:row>
    <x:row r="774" ht="15" hidden="0" customHeight="1">
      <x:c r="A774" s="53" t="str">
        <x:v>Anjoman accounting - refined.xlsx</x:v>
      </x:c>
      <x:c r="B774" s="53" t="str">
        <x:v>تراکنش‌ها</x:v>
      </x:c>
      <x:c r="C774" s="53" t="str">
        <x:v>K46</x:v>
      </x:c>
      <x:c r="D774" s="53" t="str">
        <x:v>دفتر قبلی</x:v>
      </x:c>
      <x:c r="E774" s="53"/>
    </x:row>
    <x:row r="775" ht="15" hidden="0" customHeight="1">
      <x:c r="A775" s="53" t="str">
        <x:v>Anjoman accounting - refined.xlsx</x:v>
      </x:c>
      <x:c r="B775" s="53" t="str">
        <x:v>تراکنش‌ها</x:v>
      </x:c>
      <x:c r="C775" s="53" t="str">
        <x:v>L46</x:v>
      </x:c>
      <x:c r="D775" s="53" t="str">
        <x:v>LEDGER-MAJMOO-045</x:v>
      </x:c>
      <x:c r="E775" s="53"/>
    </x:row>
    <x:row r="776" ht="15" hidden="0" customHeight="1">
      <x:c r="A776" s="53" t="str">
        <x:v>Anjoman accounting - refined.xlsx</x:v>
      </x:c>
      <x:c r="B776" s="53" t="str">
        <x:v>تراکنش‌ها</x:v>
      </x:c>
      <x:c r="C776" s="53" t="str">
        <x:v>M46</x:v>
      </x:c>
      <x:c r="D776" s="53" t="str">
        <x:v>مبلغ از دفتر قبلی خوانده شد؛ نیازمند تطبیق نهایی با شواهد پرداخت.</x:v>
      </x:c>
      <x:c r="E776" s="53"/>
    </x:row>
    <x:row r="777" ht="15" hidden="0" customHeight="1">
      <x:c r="A777" s="53" t="str">
        <x:v>Anjoman accounting - refined.xlsx</x:v>
      </x:c>
      <x:c r="B777" s="53" t="str">
        <x:v>تراکنش‌ها</x:v>
      </x:c>
      <x:c r="C777" s="53" t="str">
        <x:v>A47</x:v>
      </x:c>
      <x:c r="D777" s="53" t="str">
        <x:v>TX-00044</x:v>
      </x:c>
      <x:c r="E777" s="53"/>
    </x:row>
    <x:row r="778" ht="15" hidden="0" customHeight="1">
      <x:c r="A778" s="53" t="str">
        <x:v>Anjoman accounting - refined.xlsx</x:v>
      </x:c>
      <x:c r="B778" s="53" t="str">
        <x:v>تراکنش‌ها</x:v>
      </x:c>
      <x:c r="C778" s="53" t="str">
        <x:v>B47</x:v>
      </x:c>
      <x:c r="D778" s="53" t="str">
        <x:v>هزینه</x:v>
      </x:c>
      <x:c r="E778" s="53"/>
    </x:row>
    <x:row r="779" ht="15" hidden="0" customHeight="1">
      <x:c r="A779" s="53" t="str">
        <x:v>Anjoman accounting - refined.xlsx</x:v>
      </x:c>
      <x:c r="B779" s="53" t="str">
        <x:v>تراکنش‌ها</x:v>
      </x:c>
      <x:c r="C779" s="53" t="str">
        <x:v>C47</x:v>
      </x:c>
      <x:c r="D779" s="53" t="str">
        <x:v>1405/06/07</x:v>
      </x:c>
      <x:c r="E779" s="53"/>
    </x:row>
    <x:row r="780" ht="15" hidden="0" customHeight="1">
      <x:c r="A780" s="53" t="str">
        <x:v>Anjoman accounting - refined.xlsx</x:v>
      </x:c>
      <x:c r="B780" s="53" t="str">
        <x:v>تراکنش‌ها</x:v>
      </x:c>
      <x:c r="C780" s="53" t="str">
        <x:v>D47</x:v>
      </x:c>
      <x:c r="D780" s="53" t="str">
        <x:v>42570000</x:v>
      </x:c>
      <x:c r="E780" s="53"/>
    </x:row>
    <x:row r="781" ht="15" hidden="0" customHeight="1">
      <x:c r="A781" s="53" t="str">
        <x:v>Anjoman accounting - refined.xlsx</x:v>
      </x:c>
      <x:c r="B781" s="53" t="str">
        <x:v>تراکنش‌ها</x:v>
      </x:c>
      <x:c r="C781" s="53" t="str">
        <x:v>E47</x:v>
      </x:c>
      <x:c r="D781" s="53" t="str">
        <x:v>ریال</x:v>
      </x:c>
      <x:c r="E781" s="53"/>
    </x:row>
    <x:row r="782" ht="15" hidden="0" customHeight="1">
      <x:c r="A782" s="53" t="str">
        <x:v>Anjoman accounting - refined.xlsx</x:v>
      </x:c>
      <x:c r="B782" s="53" t="str">
        <x:v>تراکنش‌ها</x:v>
      </x:c>
      <x:c r="C782" s="53" t="str">
        <x:v>F47</x:v>
      </x:c>
      <x:c r="D782" s="53" t="str">
        <x:v>4257000</x:v>
      </x:c>
      <x:c r="E782" s="53"/>
    </x:row>
    <x:row r="783" ht="15" hidden="0" customHeight="1">
      <x:c r="A783" s="53" t="str">
        <x:v>Anjoman accounting - refined.xlsx</x:v>
      </x:c>
      <x:c r="B783" s="53" t="str">
        <x:v>تراکنش‌ها</x:v>
      </x:c>
      <x:c r="C783" s="53" t="str">
        <x:v>G47</x:v>
      </x:c>
      <x:c r="D783" s="53" t="str">
        <x:v>شرکت مه بانگ فناوری های پارس</x:v>
      </x:c>
      <x:c r="E783" s="53"/>
    </x:row>
    <x:row r="784" ht="15" hidden="0" customHeight="1">
      <x:c r="A784" s="53" t="str">
        <x:v>Anjoman accounting - refined.xlsx</x:v>
      </x:c>
      <x:c r="B784" s="53" t="str">
        <x:v>تراکنش‌ها</x:v>
      </x:c>
      <x:c r="C784" s="53" t="str">
        <x:v>H47</x:v>
      </x:c>
      <x:c r="D784" s="53" t="str">
        <x:v>خرید اپلیکیشن اسکای روم و بسته ضبط رویداد</x:v>
      </x:c>
      <x:c r="E784" s="53"/>
    </x:row>
    <x:row r="785" ht="15" hidden="0" customHeight="1">
      <x:c r="A785" s="53" t="str">
        <x:v>Anjoman accounting - refined.xlsx</x:v>
      </x:c>
      <x:c r="B785" s="53" t="str">
        <x:v>تراکنش‌ها</x:v>
      </x:c>
      <x:c r="C785" s="53" t="str">
        <x:v>I47</x:v>
      </x:c>
      <x:c r="D785" s="53" t="str">
        <x:v>هزینه / فناوری و رویداد</x:v>
      </x:c>
      <x:c r="E785" s="53"/>
    </x:row>
    <x:row r="786" ht="15" hidden="0" customHeight="1">
      <x:c r="A786" s="53" t="str">
        <x:v>Anjoman accounting - refined.xlsx</x:v>
      </x:c>
      <x:c r="B786" s="53" t="str">
        <x:v>تراکنش‌ها</x:v>
      </x:c>
      <x:c r="C786" s="53" t="str">
        <x:v>J47</x:v>
      </x:c>
      <x:c r="D786" s="53" t="str">
        <x:v>تاییدشده</x:v>
      </x:c>
      <x:c r="E786" s="53"/>
    </x:row>
    <x:row r="787" ht="15" hidden="0" customHeight="1">
      <x:c r="A787" s="53" t="str">
        <x:v>Anjoman accounting - refined.xlsx</x:v>
      </x:c>
      <x:c r="B787" s="53" t="str">
        <x:v>تراکنش‌ها</x:v>
      </x:c>
      <x:c r="C787" s="53" t="str">
        <x:v>K47</x:v>
      </x:c>
      <x:c r="D787" s="53" t="str">
        <x:v>فاکتور PDF</x:v>
      </x:c>
      <x:c r="E787" s="53"/>
    </x:row>
    <x:row r="788" ht="15" hidden="0" customHeight="1">
      <x:c r="A788" s="53" t="str">
        <x:v>Anjoman accounting - refined.xlsx</x:v>
      </x:c>
      <x:c r="B788" s="53" t="str">
        <x:v>تراکنش‌ها</x:v>
      </x:c>
      <x:c r="C788" s="53" t="str">
        <x:v>L47</x:v>
      </x:c>
      <x:c r="D788" s="53" t="str">
        <x:v>PDF-INVOICE-61150</x:v>
      </x:c>
      <x:c r="E788" s="53"/>
    </x:row>
    <x:row r="789" ht="15" hidden="0" customHeight="1">
      <x:c r="A789" s="53" t="str">
        <x:v>Anjoman accounting - refined.xlsx</x:v>
      </x:c>
      <x:c r="B789" s="53" t="str">
        <x:v>تراکنش‌ها</x:v>
      </x:c>
      <x:c r="C789" s="53" t="str">
        <x:v>M47</x:v>
      </x:c>
      <x:c r="D789" s="53" t="str">
        <x:v>اصل فاکتور 42,570,000 ریال است؛ در گزارش به تومان تبدیل شده. مالیات 387,000 تومان در مبلغ کل لحاظ شده.</x:v>
      </x:c>
      <x:c r="E789" s="53"/>
    </x:row>
    <x:row r="790" ht="15" hidden="0" customHeight="1">
      <x:c r="A790" s="53" t="str">
        <x:v>Anjoman accounting - refined.xlsx</x:v>
      </x:c>
      <x:c r="B790" s="53" t="str">
        <x:v>تراکنش‌ها</x:v>
      </x:c>
      <x:c r="C790" s="53" t="str">
        <x:v>A48</x:v>
      </x:c>
      <x:c r="D790" s="53" t="str">
        <x:v>TX-00045</x:v>
      </x:c>
      <x:c r="E790" s="53"/>
    </x:row>
    <x:row r="791" ht="15" hidden="0" customHeight="1">
      <x:c r="A791" s="53" t="str">
        <x:v>Anjoman accounting - refined.xlsx</x:v>
      </x:c>
      <x:c r="B791" s="53" t="str">
        <x:v>تراکنش‌ها</x:v>
      </x:c>
      <x:c r="C791" s="53" t="str">
        <x:v>B48</x:v>
      </x:c>
      <x:c r="D791" s="53" t="str">
        <x:v>درآمد</x:v>
      </x:c>
      <x:c r="E791" s="53"/>
    </x:row>
    <x:row r="792" ht="15" hidden="0" customHeight="1">
      <x:c r="A792" s="53" t="str">
        <x:v>Anjoman accounting - refined.xlsx</x:v>
      </x:c>
      <x:c r="B792" s="53" t="str">
        <x:v>تراکنش‌ها</x:v>
      </x:c>
      <x:c r="C792" s="53" t="str">
        <x:v>C48</x:v>
      </x:c>
      <x:c r="D792" s="53" t="str">
        <x:v>1405/07</x:v>
      </x:c>
      <x:c r="E792" s="53"/>
    </x:row>
    <x:row r="793" ht="15" hidden="0" customHeight="1">
      <x:c r="A793" s="53" t="str">
        <x:v>Anjoman accounting - refined.xlsx</x:v>
      </x:c>
      <x:c r="B793" s="53" t="str">
        <x:v>تراکنش‌ها</x:v>
      </x:c>
      <x:c r="C793" s="53" t="str">
        <x:v>D48</x:v>
      </x:c>
      <x:c r="D793" s="53" t="str">
        <x:v>27235000</x:v>
      </x:c>
      <x:c r="E793" s="53"/>
    </x:row>
    <x:row r="794" ht="15" hidden="0" customHeight="1">
      <x:c r="A794" s="53" t="str">
        <x:v>Anjoman accounting - refined.xlsx</x:v>
      </x:c>
      <x:c r="B794" s="53" t="str">
        <x:v>تراکنش‌ها</x:v>
      </x:c>
      <x:c r="C794" s="53" t="str">
        <x:v>E48</x:v>
      </x:c>
      <x:c r="D794" s="53" t="str">
        <x:v>تومان</x:v>
      </x:c>
      <x:c r="E794" s="53"/>
    </x:row>
    <x:row r="795" ht="15" hidden="0" customHeight="1">
      <x:c r="A795" s="53" t="str">
        <x:v>Anjoman accounting - refined.xlsx</x:v>
      </x:c>
      <x:c r="B795" s="53" t="str">
        <x:v>تراکنش‌ها</x:v>
      </x:c>
      <x:c r="C795" s="53" t="str">
        <x:v>F48</x:v>
      </x:c>
      <x:c r="D795" s="53" t="str">
        <x:v>27235000</x:v>
      </x:c>
      <x:c r="E795" s="53"/>
    </x:row>
    <x:row r="796" ht="15" hidden="0" customHeight="1">
      <x:c r="A796" s="53" t="str">
        <x:v>Anjoman accounting - refined.xlsx</x:v>
      </x:c>
      <x:c r="B796" s="53" t="str">
        <x:v>تراکنش‌ها</x:v>
      </x:c>
      <x:c r="C796" s="53" t="str">
        <x:v>H48</x:v>
      </x:c>
      <x:c r="D796" s="53" t="str">
        <x:v>درآمد گزارش‌شده رویداد معرفی رشته فیزیک</x:v>
      </x:c>
      <x:c r="E796" s="53"/>
    </x:row>
    <x:row r="797" ht="15" hidden="0" customHeight="1">
      <x:c r="A797" s="53" t="str">
        <x:v>Anjoman accounting - refined.xlsx</x:v>
      </x:c>
      <x:c r="B797" s="53" t="str">
        <x:v>تراکنش‌ها</x:v>
      </x:c>
      <x:c r="C797" s="53" t="str">
        <x:v>I48</x:v>
      </x:c>
      <x:c r="D797" s="53" t="str">
        <x:v>درآمد رویداد / فیزیک</x:v>
      </x:c>
      <x:c r="E797" s="53"/>
    </x:row>
    <x:row r="798" ht="15" hidden="0" customHeight="1">
      <x:c r="A798" s="53" t="str">
        <x:v>Anjoman accounting - refined.xlsx</x:v>
      </x:c>
      <x:c r="B798" s="53" t="str">
        <x:v>تراکنش‌ها</x:v>
      </x:c>
      <x:c r="C798" s="53" t="str">
        <x:v>J48</x:v>
      </x:c>
      <x:c r="D798" s="53" t="str">
        <x:v>پیشنهادی - نیازمند بررسی</x:v>
      </x:c>
      <x:c r="E798" s="53"/>
    </x:row>
    <x:row r="799" ht="15" hidden="0" customHeight="1">
      <x:c r="A799" s="53" t="str">
        <x:v>Anjoman accounting - refined.xlsx</x:v>
      </x:c>
      <x:c r="B799" s="53" t="str">
        <x:v>تراکنش‌ها</x:v>
      </x:c>
      <x:c r="C799" s="53" t="str">
        <x:v>K48</x:v>
      </x:c>
      <x:c r="D799" s="53" t="str">
        <x:v>گزارش رویداد PDF</x:v>
      </x:c>
      <x:c r="E799" s="53"/>
    </x:row>
    <x:row r="800" ht="15" hidden="0" customHeight="1">
      <x:c r="A800" s="53" t="str">
        <x:v>Anjoman accounting - refined.xlsx</x:v>
      </x:c>
      <x:c r="B800" s="53" t="str">
        <x:v>تراکنش‌ها</x:v>
      </x:c>
      <x:c r="C800" s="53" t="str">
        <x:v>L48</x:v>
      </x:c>
      <x:c r="D800" s="53" t="str">
        <x:v>PDF-PHYSICS-INTRO</x:v>
      </x:c>
      <x:c r="E800" s="53"/>
    </x:row>
    <x:row r="801" ht="15" hidden="0" customHeight="1">
      <x:c r="A801" s="53" t="str">
        <x:v>Anjoman accounting - refined.xlsx</x:v>
      </x:c>
      <x:c r="B801" s="53" t="str">
        <x:v>تراکنش‌ها</x:v>
      </x:c>
      <x:c r="C801" s="53" t="str">
        <x:v>M48</x:v>
      </x:c>
      <x:c r="D801" s="53" t="str">
        <x:v>مبلغ از گزارش رویداد استخراج شده و تا تطبیق با فروش بلیت/واریز بانکی در درآمد تاییدشده منظور نمی‌شود.</x:v>
      </x:c>
      <x:c r="E801" s="53"/>
    </x:row>
    <x:row r="802" ht="15" hidden="0" customHeight="1">
      <x:c r="A802" s="53" t="str">
        <x:v>Anjoman accounting - refined.xlsx</x:v>
      </x:c>
      <x:c r="B802" s="53" t="str">
        <x:v>تراکنش‌ها</x:v>
      </x:c>
      <x:c r="C802" s="53" t="str">
        <x:v>A49</x:v>
      </x:c>
      <x:c r="D802" s="53" t="str">
        <x:v>TX-00046</x:v>
      </x:c>
      <x:c r="E802" s="53"/>
    </x:row>
    <x:row r="803" ht="15" hidden="0" customHeight="1">
      <x:c r="A803" s="53" t="str">
        <x:v>Anjoman accounting - refined.xlsx</x:v>
      </x:c>
      <x:c r="B803" s="53" t="str">
        <x:v>تراکنش‌ها</x:v>
      </x:c>
      <x:c r="C803" s="53" t="str">
        <x:v>B49</x:v>
      </x:c>
      <x:c r="D803" s="53" t="str">
        <x:v>درآمد</x:v>
      </x:c>
      <x:c r="E803" s="53"/>
    </x:row>
    <x:row r="804" ht="15" hidden="0" customHeight="1">
      <x:c r="A804" s="53" t="str">
        <x:v>Anjoman accounting - refined.xlsx</x:v>
      </x:c>
      <x:c r="B804" s="53" t="str">
        <x:v>تراکنش‌ها</x:v>
      </x:c>
      <x:c r="C804" s="53" t="str">
        <x:v>C49</x:v>
      </x:c>
      <x:c r="D804" s="53" t="str">
        <x:v>نامشخص</x:v>
      </x:c>
      <x:c r="E804" s="53"/>
    </x:row>
    <x:row r="805" ht="15" hidden="0" customHeight="1">
      <x:c r="A805" s="53" t="str">
        <x:v>Anjoman accounting - refined.xlsx</x:v>
      </x:c>
      <x:c r="B805" s="53" t="str">
        <x:v>تراکنش‌ها</x:v>
      </x:c>
      <x:c r="C805" s="53" t="str">
        <x:v>D49</x:v>
      </x:c>
      <x:c r="D805" s="53" t="str">
        <x:v>11601</x:v>
      </x:c>
      <x:c r="E805" s="53"/>
    </x:row>
    <x:row r="806" ht="15" hidden="0" customHeight="1">
      <x:c r="A806" s="53" t="str">
        <x:v>Anjoman accounting - refined.xlsx</x:v>
      </x:c>
      <x:c r="B806" s="53" t="str">
        <x:v>تراکنش‌ها</x:v>
      </x:c>
      <x:c r="C806" s="53" t="str">
        <x:v>E49</x:v>
      </x:c>
      <x:c r="D806" s="53" t="str">
        <x:v>تومان</x:v>
      </x:c>
      <x:c r="E806" s="53"/>
    </x:row>
    <x:row r="807" ht="15" hidden="0" customHeight="1">
      <x:c r="A807" s="53" t="str">
        <x:v>Anjoman accounting - refined.xlsx</x:v>
      </x:c>
      <x:c r="B807" s="53" t="str">
        <x:v>تراکنش‌ها</x:v>
      </x:c>
      <x:c r="C807" s="53" t="str">
        <x:v>F49</x:v>
      </x:c>
      <x:c r="D807" s="53" t="str">
        <x:v>11601</x:v>
      </x:c>
      <x:c r="E807" s="53"/>
    </x:row>
    <x:row r="808" ht="15" hidden="0" customHeight="1">
      <x:c r="A808" s="53" t="str">
        <x:v>Anjoman accounting - refined.xlsx</x:v>
      </x:c>
      <x:c r="B808" s="53" t="str">
        <x:v>تراکنش‌ها</x:v>
      </x:c>
      <x:c r="C808" s="53" t="str">
        <x:v>H49</x:v>
      </x:c>
      <x:c r="D808" s="53" t="str">
        <x:v>درآمد گزارش‌شده دوره Python</x:v>
      </x:c>
      <x:c r="E808" s="53"/>
    </x:row>
    <x:row r="809" ht="15" hidden="0" customHeight="1">
      <x:c r="A809" s="53" t="str">
        <x:v>Anjoman accounting - refined.xlsx</x:v>
      </x:c>
      <x:c r="B809" s="53" t="str">
        <x:v>تراکنش‌ها</x:v>
      </x:c>
      <x:c r="C809" s="53" t="str">
        <x:v>I49</x:v>
      </x:c>
      <x:c r="D809" s="53" t="str">
        <x:v>درآمد دوره / Python</x:v>
      </x:c>
      <x:c r="E809" s="53"/>
    </x:row>
    <x:row r="810" ht="15" hidden="0" customHeight="1">
      <x:c r="A810" s="53" t="str">
        <x:v>Anjoman accounting - refined.xlsx</x:v>
      </x:c>
      <x:c r="B810" s="53" t="str">
        <x:v>تراکنش‌ها</x:v>
      </x:c>
      <x:c r="C810" s="53" t="str">
        <x:v>J49</x:v>
      </x:c>
      <x:c r="D810" s="53" t="str">
        <x:v>پیشنهادی - نیازمند بررسی</x:v>
      </x:c>
      <x:c r="E810" s="53"/>
    </x:row>
    <x:row r="811" ht="15" hidden="0" customHeight="1">
      <x:c r="A811" s="53" t="str">
        <x:v>Anjoman accounting - refined.xlsx</x:v>
      </x:c>
      <x:c r="B811" s="53" t="str">
        <x:v>تراکنش‌ها</x:v>
      </x:c>
      <x:c r="C811" s="53" t="str">
        <x:v>K49</x:v>
      </x:c>
      <x:c r="D811" s="53" t="str">
        <x:v>گزارش تلگرام</x:v>
      </x:c>
      <x:c r="E811" s="53"/>
    </x:row>
    <x:row r="812" ht="15" hidden="0" customHeight="1">
      <x:c r="A812" s="53" t="str">
        <x:v>Anjoman accounting - refined.xlsx</x:v>
      </x:c>
      <x:c r="B812" s="53" t="str">
        <x:v>تراکنش‌ها</x:v>
      </x:c>
      <x:c r="C812" s="53" t="str">
        <x:v>L49</x:v>
      </x:c>
      <x:c r="D812" s="53" t="str">
        <x:v>TG-REPORT-PYTHON</x:v>
      </x:c>
      <x:c r="E812" s="53"/>
    </x:row>
    <x:row r="813" ht="15" hidden="0" customHeight="1">
      <x:c r="A813" s="53" t="str">
        <x:v>Anjoman accounting - refined.xlsx</x:v>
      </x:c>
      <x:c r="B813" s="53" t="str">
        <x:v>تراکنش‌ها</x:v>
      </x:c>
      <x:c r="C813" s="53" t="str">
        <x:v>M49</x:v>
      </x:c>
      <x:c r="D813" s="53" t="str">
        <x:v>گزارش 81 دانشجو دارد؛ واحد مبلغ و ارتباط با واریز مستقل باید تایید شود.</x:v>
      </x:c>
      <x:c r="E813" s="53"/>
    </x:row>
    <x:row r="814" ht="15" hidden="0" customHeight="1">
      <x:c r="A814" s="53" t="str">
        <x:v>Anjoman accounting - refined.xlsx</x:v>
      </x:c>
      <x:c r="B814" s="53" t="str">
        <x:v>تراکنش‌ها</x:v>
      </x:c>
      <x:c r="C814" s="53" t="str">
        <x:v>A50</x:v>
      </x:c>
      <x:c r="D814" s="53" t="str">
        <x:v>TX-00047</x:v>
      </x:c>
      <x:c r="E814" s="53"/>
    </x:row>
    <x:row r="815" ht="15" hidden="0" customHeight="1">
      <x:c r="A815" s="53" t="str">
        <x:v>Anjoman accounting - refined.xlsx</x:v>
      </x:c>
      <x:c r="B815" s="53" t="str">
        <x:v>تراکنش‌ها</x:v>
      </x:c>
      <x:c r="C815" s="53" t="str">
        <x:v>B50</x:v>
      </x:c>
      <x:c r="D815" s="53" t="str">
        <x:v>درآمد</x:v>
      </x:c>
      <x:c r="E815" s="53"/>
    </x:row>
    <x:row r="816" ht="15" hidden="0" customHeight="1">
      <x:c r="A816" s="53" t="str">
        <x:v>Anjoman accounting - refined.xlsx</x:v>
      </x:c>
      <x:c r="B816" s="53" t="str">
        <x:v>تراکنش‌ها</x:v>
      </x:c>
      <x:c r="C816" s="53" t="str">
        <x:v>C50</x:v>
      </x:c>
      <x:c r="D816" s="53" t="str">
        <x:v>نامشخص</x:v>
      </x:c>
      <x:c r="E816" s="53"/>
    </x:row>
    <x:row r="817" ht="15" hidden="0" customHeight="1">
      <x:c r="A817" s="53" t="str">
        <x:v>Anjoman accounting - refined.xlsx</x:v>
      </x:c>
      <x:c r="B817" s="53" t="str">
        <x:v>تراکنش‌ها</x:v>
      </x:c>
      <x:c r="C817" s="53" t="str">
        <x:v>D50</x:v>
      </x:c>
      <x:c r="D817" s="53" t="str">
        <x:v>12261</x:v>
      </x:c>
      <x:c r="E817" s="53"/>
    </x:row>
    <x:row r="818" ht="15" hidden="0" customHeight="1">
      <x:c r="A818" s="53" t="str">
        <x:v>Anjoman accounting - refined.xlsx</x:v>
      </x:c>
      <x:c r="B818" s="53" t="str">
        <x:v>تراکنش‌ها</x:v>
      </x:c>
      <x:c r="C818" s="53" t="str">
        <x:v>E50</x:v>
      </x:c>
      <x:c r="D818" s="53" t="str">
        <x:v>تومان</x:v>
      </x:c>
      <x:c r="E818" s="53"/>
    </x:row>
    <x:row r="819" ht="15" hidden="0" customHeight="1">
      <x:c r="A819" s="53" t="str">
        <x:v>Anjoman accounting - refined.xlsx</x:v>
      </x:c>
      <x:c r="B819" s="53" t="str">
        <x:v>تراکنش‌ها</x:v>
      </x:c>
      <x:c r="C819" s="53" t="str">
        <x:v>F50</x:v>
      </x:c>
      <x:c r="D819" s="53" t="str">
        <x:v>12261</x:v>
      </x:c>
      <x:c r="E819" s="53"/>
    </x:row>
    <x:row r="820" ht="15" hidden="0" customHeight="1">
      <x:c r="A820" s="53" t="str">
        <x:v>Anjoman accounting - refined.xlsx</x:v>
      </x:c>
      <x:c r="B820" s="53" t="str">
        <x:v>تراکنش‌ها</x:v>
      </x:c>
      <x:c r="C820" s="53" t="str">
        <x:v>H50</x:v>
      </x:c>
      <x:c r="D820" s="53" t="str">
        <x:v>درآمد گزارش‌شده دوره LaTeX</x:v>
      </x:c>
      <x:c r="E820" s="53"/>
    </x:row>
    <x:row r="821" ht="15" hidden="0" customHeight="1">
      <x:c r="A821" s="53" t="str">
        <x:v>Anjoman accounting - refined.xlsx</x:v>
      </x:c>
      <x:c r="B821" s="53" t="str">
        <x:v>تراکنش‌ها</x:v>
      </x:c>
      <x:c r="C821" s="53" t="str">
        <x:v>I50</x:v>
      </x:c>
      <x:c r="D821" s="53" t="str">
        <x:v>درآمد دوره / LaTeX</x:v>
      </x:c>
      <x:c r="E821" s="53"/>
    </x:row>
    <x:row r="822" ht="15" hidden="0" customHeight="1">
      <x:c r="A822" s="53" t="str">
        <x:v>Anjoman accounting - refined.xlsx</x:v>
      </x:c>
      <x:c r="B822" s="53" t="str">
        <x:v>تراکنش‌ها</x:v>
      </x:c>
      <x:c r="C822" s="53" t="str">
        <x:v>J50</x:v>
      </x:c>
      <x:c r="D822" s="53" t="str">
        <x:v>پیشنهادی - نیازمند بررسی</x:v>
      </x:c>
      <x:c r="E822" s="53"/>
    </x:row>
    <x:row r="823" ht="15" hidden="0" customHeight="1">
      <x:c r="A823" s="53" t="str">
        <x:v>Anjoman accounting - refined.xlsx</x:v>
      </x:c>
      <x:c r="B823" s="53" t="str">
        <x:v>تراکنش‌ها</x:v>
      </x:c>
      <x:c r="C823" s="53" t="str">
        <x:v>K50</x:v>
      </x:c>
      <x:c r="D823" s="53" t="str">
        <x:v>گزارش تلگرام</x:v>
      </x:c>
      <x:c r="E823" s="53"/>
    </x:row>
    <x:row r="824" ht="15" hidden="0" customHeight="1">
      <x:c r="A824" s="53" t="str">
        <x:v>Anjoman accounting - refined.xlsx</x:v>
      </x:c>
      <x:c r="B824" s="53" t="str">
        <x:v>تراکنش‌ها</x:v>
      </x:c>
      <x:c r="C824" s="53" t="str">
        <x:v>L50</x:v>
      </x:c>
      <x:c r="D824" s="53" t="str">
        <x:v>TG-REPORT-LATEX</x:v>
      </x:c>
      <x:c r="E824" s="53"/>
    </x:row>
    <x:row r="825" ht="15" hidden="0" customHeight="1">
      <x:c r="A825" s="53" t="str">
        <x:v>Anjoman accounting - refined.xlsx</x:v>
      </x:c>
      <x:c r="B825" s="53" t="str">
        <x:v>تراکنش‌ها</x:v>
      </x:c>
      <x:c r="C825" s="53" t="str">
        <x:v>M50</x:v>
      </x:c>
      <x:c r="D825" s="53" t="str">
        <x:v>گزارش 89 دانشجو دارد؛ واحد مبلغ و ارتباط با واریز مستقل باید تایید شود.</x:v>
      </x:c>
      <x:c r="E825" s="53"/>
    </x:row>
    <x:row r="826" ht="15" hidden="0" customHeight="1">
      <x:c r="A826" s="53" t="str">
        <x:v>Anjoman accounting - refined.xlsx</x:v>
      </x:c>
      <x:c r="B826" s="53" t="str">
        <x:v>تراکنش‌ها</x:v>
      </x:c>
      <x:c r="C826" s="53" t="str">
        <x:v>A51</x:v>
      </x:c>
      <x:c r="D826" s="53" t="str">
        <x:v>TX-00048</x:v>
      </x:c>
      <x:c r="E826" s="53"/>
    </x:row>
    <x:row r="827" ht="15" hidden="0" customHeight="1">
      <x:c r="A827" s="53" t="str">
        <x:v>Anjoman accounting - refined.xlsx</x:v>
      </x:c>
      <x:c r="B827" s="53" t="str">
        <x:v>تراکنش‌ها</x:v>
      </x:c>
      <x:c r="C827" s="53" t="str">
        <x:v>B51</x:v>
      </x:c>
      <x:c r="D827" s="53" t="str">
        <x:v>درآمد</x:v>
      </x:c>
      <x:c r="E827" s="53"/>
    </x:row>
    <x:row r="828" ht="15" hidden="0" customHeight="1">
      <x:c r="A828" s="53" t="str">
        <x:v>Anjoman accounting - refined.xlsx</x:v>
      </x:c>
      <x:c r="B828" s="53" t="str">
        <x:v>تراکنش‌ها</x:v>
      </x:c>
      <x:c r="C828" s="53" t="str">
        <x:v>C51</x:v>
      </x:c>
      <x:c r="D828" s="53" t="str">
        <x:v>نامشخص</x:v>
      </x:c>
      <x:c r="E828" s="53"/>
    </x:row>
    <x:row r="829" ht="15" hidden="0" customHeight="1">
      <x:c r="A829" s="53" t="str">
        <x:v>Anjoman accounting - refined.xlsx</x:v>
      </x:c>
      <x:c r="B829" s="53" t="str">
        <x:v>تراکنش‌ها</x:v>
      </x:c>
      <x:c r="C829" s="53" t="str">
        <x:v>D51</x:v>
      </x:c>
      <x:c r="D829" s="53" t="str">
        <x:v>9781</x:v>
      </x:c>
      <x:c r="E829" s="53"/>
    </x:row>
    <x:row r="830" ht="15" hidden="0" customHeight="1">
      <x:c r="A830" s="53" t="str">
        <x:v>Anjoman accounting - refined.xlsx</x:v>
      </x:c>
      <x:c r="B830" s="53" t="str">
        <x:v>تراکنش‌ها</x:v>
      </x:c>
      <x:c r="C830" s="53" t="str">
        <x:v>E51</x:v>
      </x:c>
      <x:c r="D830" s="53" t="str">
        <x:v>تومان</x:v>
      </x:c>
      <x:c r="E830" s="53"/>
    </x:row>
    <x:row r="831" ht="15" hidden="0" customHeight="1">
      <x:c r="A831" s="53" t="str">
        <x:v>Anjoman accounting - refined.xlsx</x:v>
      </x:c>
      <x:c r="B831" s="53" t="str">
        <x:v>تراکنش‌ها</x:v>
      </x:c>
      <x:c r="C831" s="53" t="str">
        <x:v>F51</x:v>
      </x:c>
      <x:c r="D831" s="53" t="str">
        <x:v>9781</x:v>
      </x:c>
      <x:c r="E831" s="53"/>
    </x:row>
    <x:row r="832" ht="15" hidden="0" customHeight="1">
      <x:c r="A832" s="53" t="str">
        <x:v>Anjoman accounting - refined.xlsx</x:v>
      </x:c>
      <x:c r="B832" s="53" t="str">
        <x:v>تراکنش‌ها</x:v>
      </x:c>
      <x:c r="C832" s="53" t="str">
        <x:v>H51</x:v>
      </x:c>
      <x:c r="D832" s="53" t="str">
        <x:v>درآمد گزارش‌شده دوره Mathematica</x:v>
      </x:c>
      <x:c r="E832" s="53"/>
    </x:row>
    <x:row r="833" ht="15" hidden="0" customHeight="1">
      <x:c r="A833" s="53" t="str">
        <x:v>Anjoman accounting - refined.xlsx</x:v>
      </x:c>
      <x:c r="B833" s="53" t="str">
        <x:v>تراکنش‌ها</x:v>
      </x:c>
      <x:c r="C833" s="53" t="str">
        <x:v>I51</x:v>
      </x:c>
      <x:c r="D833" s="53" t="str">
        <x:v>درآمد دوره / Mathematica</x:v>
      </x:c>
      <x:c r="E833" s="53"/>
    </x:row>
    <x:row r="834" ht="15" hidden="0" customHeight="1">
      <x:c r="A834" s="53" t="str">
        <x:v>Anjoman accounting - refined.xlsx</x:v>
      </x:c>
      <x:c r="B834" s="53" t="str">
        <x:v>تراکنش‌ها</x:v>
      </x:c>
      <x:c r="C834" s="53" t="str">
        <x:v>J51</x:v>
      </x:c>
      <x:c r="D834" s="53" t="str">
        <x:v>پیشنهادی - نیازمند بررسی</x:v>
      </x:c>
      <x:c r="E834" s="53"/>
    </x:row>
    <x:row r="835" ht="15" hidden="0" customHeight="1">
      <x:c r="A835" s="53" t="str">
        <x:v>Anjoman accounting - refined.xlsx</x:v>
      </x:c>
      <x:c r="B835" s="53" t="str">
        <x:v>تراکنش‌ها</x:v>
      </x:c>
      <x:c r="C835" s="53" t="str">
        <x:v>K51</x:v>
      </x:c>
      <x:c r="D835" s="53" t="str">
        <x:v>گزارش تلگرام</x:v>
      </x:c>
      <x:c r="E835" s="53"/>
    </x:row>
    <x:row r="836" ht="15" hidden="0" customHeight="1">
      <x:c r="A836" s="53" t="str">
        <x:v>Anjoman accounting - refined.xlsx</x:v>
      </x:c>
      <x:c r="B836" s="53" t="str">
        <x:v>تراکنش‌ها</x:v>
      </x:c>
      <x:c r="C836" s="53" t="str">
        <x:v>L51</x:v>
      </x:c>
      <x:c r="D836" s="53" t="str">
        <x:v>TG-REPORT-MATHEMATICA</x:v>
      </x:c>
      <x:c r="E836" s="53"/>
    </x:row>
    <x:row r="837" ht="15" hidden="0" customHeight="1">
      <x:c r="A837" s="53" t="str">
        <x:v>Anjoman accounting - refined.xlsx</x:v>
      </x:c>
      <x:c r="B837" s="53" t="str">
        <x:v>تراکنش‌ها</x:v>
      </x:c>
      <x:c r="C837" s="53" t="str">
        <x:v>M51</x:v>
      </x:c>
      <x:c r="D837" s="53" t="str">
        <x:v>گزارش 73 دانشجو دارد؛ واحد مبلغ و ارتباط با واریز مستقل باید تایید شود.</x:v>
      </x:c>
      <x:c r="E837" s="53"/>
    </x:row>
    <x:row r="838" ht="15" hidden="0" customHeight="1">
      <x:c r="A838" s="53" t="str">
        <x:v>Anjoman accounting - refined.xlsx</x:v>
      </x:c>
      <x:c r="B838" s="53" t="str">
        <x:v>اسناد و شواهد</x:v>
      </x:c>
      <x:c r="C838" s="53" t="str">
        <x:v>A1</x:v>
      </x:c>
      <x:c r="D838" s="53" t="str">
        <x:v>فهرست اسناد و شواهد</x:v>
      </x:c>
      <x:c r="E838" s="53"/>
    </x:row>
    <x:row r="839" ht="15" hidden="0" customHeight="1">
      <x:c r="A839" s="53" t="str">
        <x:v>Anjoman accounting - refined.xlsx</x:v>
      </x:c>
      <x:c r="B839" s="53" t="str">
        <x:v>اسناد و شواهد</x:v>
      </x:c>
      <x:c r="C839" s="53" t="str">
        <x:v>A2</x:v>
      </x:c>
      <x:c r="D839" s="53" t="str">
        <x:v>نسخه refined | واحد گزارش: تومان | مبالغ نامطمئن در صف بررسی از جمع تاییدشده حذف می‌شوند.</x:v>
      </x:c>
      <x:c r="E839" s="53"/>
    </x:row>
    <x:row r="840" ht="15" hidden="0" customHeight="1">
      <x:c r="A840" s="53" t="str">
        <x:v>Anjoman accounting - refined.xlsx</x:v>
      </x:c>
      <x:c r="B840" s="53" t="str">
        <x:v>اسناد و شواهد</x:v>
      </x:c>
      <x:c r="C840" s="53" t="str">
        <x:v>A3</x:v>
      </x:c>
      <x:c r="D840" s="53" t="str">
        <x:v>شناسه مدرک</x:v>
      </x:c>
      <x:c r="E840" s="53"/>
    </x:row>
    <x:row r="841" ht="15" hidden="0" customHeight="1">
      <x:c r="A841" s="53" t="str">
        <x:v>Anjoman accounting - refined.xlsx</x:v>
      </x:c>
      <x:c r="B841" s="53" t="str">
        <x:v>اسناد و شواهد</x:v>
      </x:c>
      <x:c r="C841" s="53" t="str">
        <x:v>B3</x:v>
      </x:c>
      <x:c r="D841" s="53" t="str">
        <x:v>مسیر نسبی</x:v>
      </x:c>
      <x:c r="E841" s="53"/>
    </x:row>
    <x:row r="842" ht="15" hidden="0" customHeight="1">
      <x:c r="A842" s="53" t="str">
        <x:v>Anjoman accounting - refined.xlsx</x:v>
      </x:c>
      <x:c r="B842" s="53" t="str">
        <x:v>اسناد و شواهد</x:v>
      </x:c>
      <x:c r="C842" s="53" t="str">
        <x:v>C3</x:v>
      </x:c>
      <x:c r="D842" s="53" t="str">
        <x:v>نوع</x:v>
      </x:c>
      <x:c r="E842" s="53"/>
    </x:row>
    <x:row r="843" ht="15" hidden="0" customHeight="1">
      <x:c r="A843" s="53" t="str">
        <x:v>Anjoman accounting - refined.xlsx</x:v>
      </x:c>
      <x:c r="B843" s="53" t="str">
        <x:v>اسناد و شواهد</x:v>
      </x:c>
      <x:c r="C843" s="53" t="str">
        <x:v>D3</x:v>
      </x:c>
      <x:c r="D843" s="53" t="str">
        <x:v>حجم بایت</x:v>
      </x:c>
      <x:c r="E843" s="53"/>
    </x:row>
    <x:row r="844" ht="15" hidden="0" customHeight="1">
      <x:c r="A844" s="53" t="str">
        <x:v>Anjoman accounting - refined.xlsx</x:v>
      </x:c>
      <x:c r="B844" s="53" t="str">
        <x:v>اسناد و شواهد</x:v>
      </x:c>
      <x:c r="C844" s="53" t="str">
        <x:v>E3</x:v>
      </x:c>
      <x:c r="D844" s="53" t="str">
        <x:v>SHA-256</x:v>
      </x:c>
      <x:c r="E844" s="53"/>
    </x:row>
    <x:row r="845" ht="15" hidden="0" customHeight="1">
      <x:c r="A845" s="53" t="str">
        <x:v>Anjoman accounting - refined.xlsx</x:v>
      </x:c>
      <x:c r="B845" s="53" t="str">
        <x:v>اسناد و شواهد</x:v>
      </x:c>
      <x:c r="C845" s="53" t="str">
        <x:v>F3</x:v>
      </x:c>
      <x:c r="D845" s="53" t="str">
        <x:v>توضیح</x:v>
      </x:c>
      <x:c r="E845" s="53"/>
    </x:row>
    <x:row r="846" ht="15" hidden="0" customHeight="1">
      <x:c r="A846" s="53" t="str">
        <x:v>Anjoman accounting - refined.xlsx</x:v>
      </x:c>
      <x:c r="B846" s="53" t="str">
        <x:v>اسناد و شواهد</x:v>
      </x:c>
      <x:c r="C846" s="53" t="str">
        <x:v>A4</x:v>
      </x:c>
      <x:c r="D846" s="53" t="str">
        <x:v>E-0001</x:v>
      </x:c>
      <x:c r="E846" s="53"/>
    </x:row>
    <x:row r="847" ht="15" hidden="0" customHeight="1">
      <x:c r="A847" s="53" t="str">
        <x:v>Anjoman accounting - refined.xlsx</x:v>
      </x:c>
      <x:c r="B847" s="53" t="str">
        <x:v>اسناد و شواهد</x:v>
      </x:c>
      <x:c r="C847" s="53" t="str">
        <x:v>B4</x:v>
      </x:c>
      <x:c r="D847" s="53" t="str">
        <x:v>Anjoman accounting.xlsx</x:v>
      </x:c>
      <x:c r="E847" s="53"/>
    </x:row>
    <x:row r="848" ht="15" hidden="0" customHeight="1">
      <x:c r="A848" s="53" t="str">
        <x:v>Anjoman accounting - refined.xlsx</x:v>
      </x:c>
      <x:c r="B848" s="53" t="str">
        <x:v>اسناد و شواهد</x:v>
      </x:c>
      <x:c r="C848" s="53" t="str">
        <x:v>C4</x:v>
      </x:c>
      <x:c r="D848" s="53" t="str">
        <x:v>xlsx</x:v>
      </x:c>
      <x:c r="E848" s="53"/>
    </x:row>
    <x:row r="849" ht="15" hidden="0" customHeight="1">
      <x:c r="A849" s="53" t="str">
        <x:v>Anjoman accounting - refined.xlsx</x:v>
      </x:c>
      <x:c r="B849" s="53" t="str">
        <x:v>اسناد و شواهد</x:v>
      </x:c>
      <x:c r="C849" s="53" t="str">
        <x:v>D4</x:v>
      </x:c>
      <x:c r="D849" s="53" t="str">
        <x:v>130028</x:v>
      </x:c>
      <x:c r="E849" s="53"/>
    </x:row>
    <x:row r="850" ht="15" hidden="0" customHeight="1">
      <x:c r="A850" s="53" t="str">
        <x:v>Anjoman accounting - refined.xlsx</x:v>
      </x:c>
      <x:c r="B850" s="53" t="str">
        <x:v>اسناد و شواهد</x:v>
      </x:c>
      <x:c r="C850" s="53" t="str">
        <x:v>E4</x:v>
      </x:c>
      <x:c r="D850" s="53" t="str">
        <x:v>5701b246ebee5bd5db7fc022de097f47c34354e420bb59f08f4f2fc74a0bfcf0</x:v>
      </x:c>
      <x:c r="E850" s="53"/>
    </x:row>
    <x:row r="851" ht="15" hidden="0" customHeight="1">
      <x:c r="A851" s="53" t="str">
        <x:v>Anjoman accounting - refined.xlsx</x:v>
      </x:c>
      <x:c r="B851" s="53" t="str">
        <x:v>اسناد و شواهد</x:v>
      </x:c>
      <x:c r="C851" s="53" t="str">
        <x:v>A5</x:v>
      </x:c>
      <x:c r="D851" s="53" t="str">
        <x:v>E-0002</x:v>
      </x:c>
      <x:c r="E851" s="53"/>
    </x:row>
    <x:row r="852" ht="15" hidden="0" customHeight="1">
      <x:c r="A852" s="53" t="str">
        <x:v>Anjoman accounting - refined.xlsx</x:v>
      </x:c>
      <x:c r="B852" s="53" t="str">
        <x:v>اسناد و شواهد</x:v>
      </x:c>
      <x:c r="C852" s="53" t="str">
        <x:v>B5</x:v>
      </x:c>
      <x:c r="D852" s="53" t="str">
        <x:v>invoice-61150.pdf</x:v>
      </x:c>
      <x:c r="E852" s="53"/>
    </x:row>
    <x:row r="853" ht="15" hidden="0" customHeight="1">
      <x:c r="A853" s="53" t="str">
        <x:v>Anjoman accounting - refined.xlsx</x:v>
      </x:c>
      <x:c r="B853" s="53" t="str">
        <x:v>اسناد و شواهد</x:v>
      </x:c>
      <x:c r="C853" s="53" t="str">
        <x:v>C5</x:v>
      </x:c>
      <x:c r="D853" s="53" t="str">
        <x:v>pdf</x:v>
      </x:c>
      <x:c r="E853" s="53"/>
    </x:row>
    <x:row r="854" ht="15" hidden="0" customHeight="1">
      <x:c r="A854" s="53" t="str">
        <x:v>Anjoman accounting - refined.xlsx</x:v>
      </x:c>
      <x:c r="B854" s="53" t="str">
        <x:v>اسناد و شواهد</x:v>
      </x:c>
      <x:c r="C854" s="53" t="str">
        <x:v>D5</x:v>
      </x:c>
      <x:c r="D854" s="53" t="str">
        <x:v>153863</x:v>
      </x:c>
      <x:c r="E854" s="53"/>
    </x:row>
    <x:row r="855" ht="15" hidden="0" customHeight="1">
      <x:c r="A855" s="53" t="str">
        <x:v>Anjoman accounting - refined.xlsx</x:v>
      </x:c>
      <x:c r="B855" s="53" t="str">
        <x:v>اسناد و شواهد</x:v>
      </x:c>
      <x:c r="C855" s="53" t="str">
        <x:v>E5</x:v>
      </x:c>
      <x:c r="D855" s="53" t="str">
        <x:v>06626a709e2a23bc59d3a5185c64e0a85b64e59ccf244cbb3b0867344bc07b57</x:v>
      </x:c>
      <x:c r="E855" s="53"/>
    </x:row>
    <x:row r="856" ht="15" hidden="0" customHeight="1">
      <x:c r="A856" s="53" t="str">
        <x:v>Anjoman accounting - refined.xlsx</x:v>
      </x:c>
      <x:c r="B856" s="53" t="str">
        <x:v>اسناد و شواهد</x:v>
      </x:c>
      <x:c r="C856" s="53" t="str">
        <x:v>F5</x:v>
      </x:c>
      <x:c r="D856" s="53" t="str">
        <x:v>PDF؛ متن استخراج‌شده در خام_اسناد نگهداری شده است.</x:v>
      </x:c>
      <x:c r="E856" s="53"/>
    </x:row>
    <x:row r="857" ht="15" hidden="0" customHeight="1">
      <x:c r="A857" s="53" t="str">
        <x:v>Anjoman accounting - refined.xlsx</x:v>
      </x:c>
      <x:c r="B857" s="53" t="str">
        <x:v>اسناد و شواهد</x:v>
      </x:c>
      <x:c r="C857" s="53" t="str">
        <x:v>A6</x:v>
      </x:c>
      <x:c r="D857" s="53" t="str">
        <x:v>E-0003</x:v>
      </x:c>
      <x:c r="E857" s="53"/>
    </x:row>
    <x:row r="858" ht="15" hidden="0" customHeight="1">
      <x:c r="A858" s="53" t="str">
        <x:v>Anjoman accounting - refined.xlsx</x:v>
      </x:c>
      <x:c r="B858" s="53" t="str">
        <x:v>اسناد و شواهد</x:v>
      </x:c>
      <x:c r="C858" s="53" t="str">
        <x:v>B6</x:v>
      </x:c>
      <x:c r="D858" s="53" t="str">
        <x:v>physics_intro full report.pdf</x:v>
      </x:c>
      <x:c r="E858" s="53"/>
    </x:row>
    <x:row r="859" ht="15" hidden="0" customHeight="1">
      <x:c r="A859" s="53" t="str">
        <x:v>Anjoman accounting - refined.xlsx</x:v>
      </x:c>
      <x:c r="B859" s="53" t="str">
        <x:v>اسناد و شواهد</x:v>
      </x:c>
      <x:c r="C859" s="53" t="str">
        <x:v>C6</x:v>
      </x:c>
      <x:c r="D859" s="53" t="str">
        <x:v>pdf</x:v>
      </x:c>
      <x:c r="E859" s="53"/>
    </x:row>
    <x:row r="860" ht="15" hidden="0" customHeight="1">
      <x:c r="A860" s="53" t="str">
        <x:v>Anjoman accounting - refined.xlsx</x:v>
      </x:c>
      <x:c r="B860" s="53" t="str">
        <x:v>اسناد و شواهد</x:v>
      </x:c>
      <x:c r="C860" s="53" t="str">
        <x:v>D6</x:v>
      </x:c>
      <x:c r="D860" s="53" t="str">
        <x:v>52198</x:v>
      </x:c>
      <x:c r="E860" s="53"/>
    </x:row>
    <x:row r="861" ht="15" hidden="0" customHeight="1">
      <x:c r="A861" s="53" t="str">
        <x:v>Anjoman accounting - refined.xlsx</x:v>
      </x:c>
      <x:c r="B861" s="53" t="str">
        <x:v>اسناد و شواهد</x:v>
      </x:c>
      <x:c r="C861" s="53" t="str">
        <x:v>E6</x:v>
      </x:c>
      <x:c r="D861" s="53" t="str">
        <x:v>993061f6f022016308bbd6585c6ae0e8a2b67575c39f21e740659cc25da7dc70</x:v>
      </x:c>
      <x:c r="E861" s="53"/>
    </x:row>
    <x:row r="862" ht="15" hidden="0" customHeight="1">
      <x:c r="A862" s="53" t="str">
        <x:v>Anjoman accounting - refined.xlsx</x:v>
      </x:c>
      <x:c r="B862" s="53" t="str">
        <x:v>اسناد و شواهد</x:v>
      </x:c>
      <x:c r="C862" s="53" t="str">
        <x:v>F6</x:v>
      </x:c>
      <x:c r="D862" s="53" t="str">
        <x:v>PDF؛ متن استخراج‌شده در خام_اسناد نگهداری شده است.</x:v>
      </x:c>
      <x:c r="E862" s="53"/>
    </x:row>
    <x:row r="863" ht="15" hidden="0" customHeight="1">
      <x:c r="A863" s="53" t="str">
        <x:v>Anjoman accounting - refined.xlsx</x:v>
      </x:c>
      <x:c r="B863" s="53" t="str">
        <x:v>اسناد و شواهد</x:v>
      </x:c>
      <x:c r="C863" s="53" t="str">
        <x:v>A7</x:v>
      </x:c>
      <x:c r="D863" s="53" t="str">
        <x:v>E-0004</x:v>
      </x:c>
      <x:c r="E863" s="53"/>
    </x:row>
    <x:row r="864" ht="15" hidden="0" customHeight="1">
      <x:c r="A864" s="53" t="str">
        <x:v>Anjoman accounting - refined.xlsx</x:v>
      </x:c>
      <x:c r="B864" s="53" t="str">
        <x:v>اسناد و شواهد</x:v>
      </x:c>
      <x:c r="C864" s="53" t="str">
        <x:v>B7</x:v>
      </x:c>
      <x:c r="D864" s="53" t="str">
        <x:v>recipts\photo_10_2026-10-10_11-09-04.jpg</x:v>
      </x:c>
      <x:c r="E864" s="53"/>
    </x:row>
    <x:row r="865" ht="15" hidden="0" customHeight="1">
      <x:c r="A865" s="53" t="str">
        <x:v>Anjoman accounting - refined.xlsx</x:v>
      </x:c>
      <x:c r="B865" s="53" t="str">
        <x:v>اسناد و شواهد</x:v>
      </x:c>
      <x:c r="C865" s="53" t="str">
        <x:v>C7</x:v>
      </x:c>
      <x:c r="D865" s="53" t="str">
        <x:v>jpg</x:v>
      </x:c>
      <x:c r="E865" s="53"/>
    </x:row>
    <x:row r="866" ht="15" hidden="0" customHeight="1">
      <x:c r="A866" s="53" t="str">
        <x:v>Anjoman accounting - refined.xlsx</x:v>
      </x:c>
      <x:c r="B866" s="53" t="str">
        <x:v>اسناد و شواهد</x:v>
      </x:c>
      <x:c r="C866" s="53" t="str">
        <x:v>D7</x:v>
      </x:c>
      <x:c r="D866" s="53" t="str">
        <x:v>49752</x:v>
      </x:c>
      <x:c r="E866" s="53"/>
    </x:row>
    <x:row r="867" ht="15" hidden="0" customHeight="1">
      <x:c r="A867" s="53" t="str">
        <x:v>Anjoman accounting - refined.xlsx</x:v>
      </x:c>
      <x:c r="B867" s="53" t="str">
        <x:v>اسناد و شواهد</x:v>
      </x:c>
      <x:c r="C867" s="53" t="str">
        <x:v>E7</x:v>
      </x:c>
      <x:c r="D867" s="53" t="str">
        <x:v>b424f88e66186c7fdfcd19043e65ade1aef245c80f81328c53bd4c1354047ea3</x:v>
      </x:c>
      <x:c r="E867" s="53"/>
    </x:row>
    <x:row r="868" ht="15" hidden="0" customHeight="1">
      <x:c r="A868" s="53" t="str">
        <x:v>Anjoman accounting - refined.xlsx</x:v>
      </x:c>
      <x:c r="B868" s="53" t="str">
        <x:v>اسناد و شواهد</x:v>
      </x:c>
      <x:c r="C868" s="53" t="str">
        <x:v>F7</x:v>
      </x:c>
      <x:c r="D868" s="53" t="str">
        <x:v>تصویر 1200x1224; OCR محلی در دسترس نیست؛ ورود دستی لازم است.</x:v>
      </x:c>
      <x:c r="E868" s="53"/>
    </x:row>
    <x:row r="869" ht="15" hidden="0" customHeight="1">
      <x:c r="A869" s="53" t="str">
        <x:v>Anjoman accounting - refined.xlsx</x:v>
      </x:c>
      <x:c r="B869" s="53" t="str">
        <x:v>اسناد و شواهد</x:v>
      </x:c>
      <x:c r="C869" s="53" t="str">
        <x:v>A8</x:v>
      </x:c>
      <x:c r="D869" s="53" t="str">
        <x:v>E-0005</x:v>
      </x:c>
      <x:c r="E869" s="53"/>
    </x:row>
    <x:row r="870" ht="15" hidden="0" customHeight="1">
      <x:c r="A870" s="53" t="str">
        <x:v>Anjoman accounting - refined.xlsx</x:v>
      </x:c>
      <x:c r="B870" s="53" t="str">
        <x:v>اسناد و شواهد</x:v>
      </x:c>
      <x:c r="C870" s="53" t="str">
        <x:v>B8</x:v>
      </x:c>
      <x:c r="D870" s="53" t="str">
        <x:v>recipts\photo_11_2026-10-10_11-09-04.jpg</x:v>
      </x:c>
      <x:c r="E870" s="53"/>
    </x:row>
    <x:row r="871" ht="15" hidden="0" customHeight="1">
      <x:c r="A871" s="53" t="str">
        <x:v>Anjoman accounting - refined.xlsx</x:v>
      </x:c>
      <x:c r="B871" s="53" t="str">
        <x:v>اسناد و شواهد</x:v>
      </x:c>
      <x:c r="C871" s="53" t="str">
        <x:v>C8</x:v>
      </x:c>
      <x:c r="D871" s="53" t="str">
        <x:v>jpg</x:v>
      </x:c>
      <x:c r="E871" s="53"/>
    </x:row>
    <x:row r="872" ht="15" hidden="0" customHeight="1">
      <x:c r="A872" s="53" t="str">
        <x:v>Anjoman accounting - refined.xlsx</x:v>
      </x:c>
      <x:c r="B872" s="53" t="str">
        <x:v>اسناد و شواهد</x:v>
      </x:c>
      <x:c r="C872" s="53" t="str">
        <x:v>D8</x:v>
      </x:c>
      <x:c r="D872" s="53" t="str">
        <x:v>31986</x:v>
      </x:c>
      <x:c r="E872" s="53"/>
    </x:row>
    <x:row r="873" ht="15" hidden="0" customHeight="1">
      <x:c r="A873" s="53" t="str">
        <x:v>Anjoman accounting - refined.xlsx</x:v>
      </x:c>
      <x:c r="B873" s="53" t="str">
        <x:v>اسناد و شواهد</x:v>
      </x:c>
      <x:c r="C873" s="53" t="str">
        <x:v>E8</x:v>
      </x:c>
      <x:c r="D873" s="53" t="str">
        <x:v>4b6a665eaaa0ff0a14e2f665cd7ef1480d78c90efa576fa0f1cf910698baacc6</x:v>
      </x:c>
      <x:c r="E873" s="53"/>
    </x:row>
    <x:row r="874" ht="15" hidden="0" customHeight="1">
      <x:c r="A874" s="53" t="str">
        <x:v>Anjoman accounting - refined.xlsx</x:v>
      </x:c>
      <x:c r="B874" s="53" t="str">
        <x:v>اسناد و شواهد</x:v>
      </x:c>
      <x:c r="C874" s="53" t="str">
        <x:v>F8</x:v>
      </x:c>
      <x:c r="D874" s="53" t="str">
        <x:v>تصویر 768x1280; OCR محلی در دسترس نیست؛ ورود دستی لازم است.</x:v>
      </x:c>
      <x:c r="E874" s="53"/>
    </x:row>
    <x:row r="875" ht="15" hidden="0" customHeight="1">
      <x:c r="A875" s="53" t="str">
        <x:v>Anjoman accounting - refined.xlsx</x:v>
      </x:c>
      <x:c r="B875" s="53" t="str">
        <x:v>اسناد و شواهد</x:v>
      </x:c>
      <x:c r="C875" s="53" t="str">
        <x:v>A9</x:v>
      </x:c>
      <x:c r="D875" s="53" t="str">
        <x:v>E-0006</x:v>
      </x:c>
      <x:c r="E875" s="53"/>
    </x:row>
    <x:row r="876" ht="15" hidden="0" customHeight="1">
      <x:c r="A876" s="53" t="str">
        <x:v>Anjoman accounting - refined.xlsx</x:v>
      </x:c>
      <x:c r="B876" s="53" t="str">
        <x:v>اسناد و شواهد</x:v>
      </x:c>
      <x:c r="C876" s="53" t="str">
        <x:v>B9</x:v>
      </x:c>
      <x:c r="D876" s="53" t="str">
        <x:v>recipts\photo_12_2026-10-10_11-09-04.jpg</x:v>
      </x:c>
      <x:c r="E876" s="53"/>
    </x:row>
    <x:row r="877" ht="15" hidden="0" customHeight="1">
      <x:c r="A877" s="53" t="str">
        <x:v>Anjoman accounting - refined.xlsx</x:v>
      </x:c>
      <x:c r="B877" s="53" t="str">
        <x:v>اسناد و شواهد</x:v>
      </x:c>
      <x:c r="C877" s="53" t="str">
        <x:v>C9</x:v>
      </x:c>
      <x:c r="D877" s="53" t="str">
        <x:v>jpg</x:v>
      </x:c>
      <x:c r="E877" s="53"/>
    </x:row>
    <x:row r="878" ht="15" hidden="0" customHeight="1">
      <x:c r="A878" s="53" t="str">
        <x:v>Anjoman accounting - refined.xlsx</x:v>
      </x:c>
      <x:c r="B878" s="53" t="str">
        <x:v>اسناد و شواهد</x:v>
      </x:c>
      <x:c r="C878" s="53" t="str">
        <x:v>D9</x:v>
      </x:c>
      <x:c r="D878" s="53" t="str">
        <x:v>50026</x:v>
      </x:c>
      <x:c r="E878" s="53"/>
    </x:row>
    <x:row r="879" ht="15" hidden="0" customHeight="1">
      <x:c r="A879" s="53" t="str">
        <x:v>Anjoman accounting - refined.xlsx</x:v>
      </x:c>
      <x:c r="B879" s="53" t="str">
        <x:v>اسناد و شواهد</x:v>
      </x:c>
      <x:c r="C879" s="53" t="str">
        <x:v>E9</x:v>
      </x:c>
      <x:c r="D879" s="53" t="str">
        <x:v>77e952d643e05bc03bdd136daa677561a5610e8049fb8d8aedfc24280909d917</x:v>
      </x:c>
      <x:c r="E879" s="53"/>
    </x:row>
    <x:row r="880" ht="15" hidden="0" customHeight="1">
      <x:c r="A880" s="53" t="str">
        <x:v>Anjoman accounting - refined.xlsx</x:v>
      </x:c>
      <x:c r="B880" s="53" t="str">
        <x:v>اسناد و شواهد</x:v>
      </x:c>
      <x:c r="C880" s="53" t="str">
        <x:v>F9</x:v>
      </x:c>
      <x:c r="D880" s="53" t="str">
        <x:v>تصویر 1200x1224; OCR محلی در دسترس نیست؛ ورود دستی لازم است.</x:v>
      </x:c>
      <x:c r="E880" s="53"/>
    </x:row>
    <x:row r="881" ht="15" hidden="0" customHeight="1">
      <x:c r="A881" s="53" t="str">
        <x:v>Anjoman accounting - refined.xlsx</x:v>
      </x:c>
      <x:c r="B881" s="53" t="str">
        <x:v>اسناد و شواهد</x:v>
      </x:c>
      <x:c r="C881" s="53" t="str">
        <x:v>A10</x:v>
      </x:c>
      <x:c r="D881" s="53" t="str">
        <x:v>E-0007</x:v>
      </x:c>
      <x:c r="E881" s="53"/>
    </x:row>
    <x:row r="882" ht="15" hidden="0" customHeight="1">
      <x:c r="A882" s="53" t="str">
        <x:v>Anjoman accounting - refined.xlsx</x:v>
      </x:c>
      <x:c r="B882" s="53" t="str">
        <x:v>اسناد و شواهد</x:v>
      </x:c>
      <x:c r="C882" s="53" t="str">
        <x:v>B10</x:v>
      </x:c>
      <x:c r="D882" s="53" t="str">
        <x:v>recipts\photo_1_2026-10-10_11-09-04.jpg</x:v>
      </x:c>
      <x:c r="E882" s="53"/>
    </x:row>
    <x:row r="883" ht="15" hidden="0" customHeight="1">
      <x:c r="A883" s="53" t="str">
        <x:v>Anjoman accounting - refined.xlsx</x:v>
      </x:c>
      <x:c r="B883" s="53" t="str">
        <x:v>اسناد و شواهد</x:v>
      </x:c>
      <x:c r="C883" s="53" t="str">
        <x:v>C10</x:v>
      </x:c>
      <x:c r="D883" s="53" t="str">
        <x:v>jpg</x:v>
      </x:c>
      <x:c r="E883" s="53"/>
    </x:row>
    <x:row r="884" ht="15" hidden="0" customHeight="1">
      <x:c r="A884" s="53" t="str">
        <x:v>Anjoman accounting - refined.xlsx</x:v>
      </x:c>
      <x:c r="B884" s="53" t="str">
        <x:v>اسناد و شواهد</x:v>
      </x:c>
      <x:c r="C884" s="53" t="str">
        <x:v>D10</x:v>
      </x:c>
      <x:c r="D884" s="53" t="str">
        <x:v>58923</x:v>
      </x:c>
      <x:c r="E884" s="53"/>
    </x:row>
    <x:row r="885" ht="15" hidden="0" customHeight="1">
      <x:c r="A885" s="53" t="str">
        <x:v>Anjoman accounting - refined.xlsx</x:v>
      </x:c>
      <x:c r="B885" s="53" t="str">
        <x:v>اسناد و شواهد</x:v>
      </x:c>
      <x:c r="C885" s="53" t="str">
        <x:v>E10</x:v>
      </x:c>
      <x:c r="D885" s="53" t="str">
        <x:v>9b398cb3fd79cacf08994828e10209d3739b9ec072ff9dbdb29e456ad1a29262</x:v>
      </x:c>
      <x:c r="E885" s="53"/>
    </x:row>
    <x:row r="886" ht="15" hidden="0" customHeight="1">
      <x:c r="A886" s="53" t="str">
        <x:v>Anjoman accounting - refined.xlsx</x:v>
      </x:c>
      <x:c r="B886" s="53" t="str">
        <x:v>اسناد و شواهد</x:v>
      </x:c>
      <x:c r="C886" s="53" t="str">
        <x:v>F10</x:v>
      </x:c>
      <x:c r="D886" s="53" t="str">
        <x:v>تصویر 1200x1163; OCR محلی در دسترس نیست؛ ورود دستی لازم است.</x:v>
      </x:c>
      <x:c r="E886" s="53"/>
    </x:row>
    <x:row r="887" ht="15" hidden="0" customHeight="1">
      <x:c r="A887" s="53" t="str">
        <x:v>Anjoman accounting - refined.xlsx</x:v>
      </x:c>
      <x:c r="B887" s="53" t="str">
        <x:v>اسناد و شواهد</x:v>
      </x:c>
      <x:c r="C887" s="53" t="str">
        <x:v>A11</x:v>
      </x:c>
      <x:c r="D887" s="53" t="str">
        <x:v>E-0008</x:v>
      </x:c>
      <x:c r="E887" s="53"/>
    </x:row>
    <x:row r="888" ht="15" hidden="0" customHeight="1">
      <x:c r="A888" s="53" t="str">
        <x:v>Anjoman accounting - refined.xlsx</x:v>
      </x:c>
      <x:c r="B888" s="53" t="str">
        <x:v>اسناد و شواهد</x:v>
      </x:c>
      <x:c r="C888" s="53" t="str">
        <x:v>B11</x:v>
      </x:c>
      <x:c r="D888" s="53" t="str">
        <x:v>recipts\photo_1_2026-10-10_14-07-27.jpg</x:v>
      </x:c>
      <x:c r="E888" s="53"/>
    </x:row>
    <x:row r="889" ht="15" hidden="0" customHeight="1">
      <x:c r="A889" s="53" t="str">
        <x:v>Anjoman accounting - refined.xlsx</x:v>
      </x:c>
      <x:c r="B889" s="53" t="str">
        <x:v>اسناد و شواهد</x:v>
      </x:c>
      <x:c r="C889" s="53" t="str">
        <x:v>C11</x:v>
      </x:c>
      <x:c r="D889" s="53" t="str">
        <x:v>jpg</x:v>
      </x:c>
      <x:c r="E889" s="53"/>
    </x:row>
    <x:row r="890" ht="15" hidden="0" customHeight="1">
      <x:c r="A890" s="53" t="str">
        <x:v>Anjoman accounting - refined.xlsx</x:v>
      </x:c>
      <x:c r="B890" s="53" t="str">
        <x:v>اسناد و شواهد</x:v>
      </x:c>
      <x:c r="C890" s="53" t="str">
        <x:v>D11</x:v>
      </x:c>
      <x:c r="D890" s="53" t="str">
        <x:v>44693</x:v>
      </x:c>
      <x:c r="E890" s="53"/>
    </x:row>
    <x:row r="891" ht="15" hidden="0" customHeight="1">
      <x:c r="A891" s="53" t="str">
        <x:v>Anjoman accounting - refined.xlsx</x:v>
      </x:c>
      <x:c r="B891" s="53" t="str">
        <x:v>اسناد و شواهد</x:v>
      </x:c>
      <x:c r="C891" s="53" t="str">
        <x:v>E11</x:v>
      </x:c>
      <x:c r="D891" s="53" t="str">
        <x:v>a50d13d6abcf5b4aacd05fa7fa773b5c01a6d2739577691d719c1bf334433b52</x:v>
      </x:c>
      <x:c r="E891" s="53"/>
    </x:row>
    <x:row r="892" ht="15" hidden="0" customHeight="1">
      <x:c r="A892" s="53" t="str">
        <x:v>Anjoman accounting - refined.xlsx</x:v>
      </x:c>
      <x:c r="B892" s="53" t="str">
        <x:v>اسناد و شواهد</x:v>
      </x:c>
      <x:c r="C892" s="53" t="str">
        <x:v>F11</x:v>
      </x:c>
      <x:c r="D892" s="53" t="str">
        <x:v>تصویر 1280x714; OCR محلی در دسترس نیست؛ ورود دستی لازم است.</x:v>
      </x:c>
      <x:c r="E892" s="53"/>
    </x:row>
    <x:row r="893" ht="15" hidden="0" customHeight="1">
      <x:c r="A893" s="53" t="str">
        <x:v>Anjoman accounting - refined.xlsx</x:v>
      </x:c>
      <x:c r="B893" s="53" t="str">
        <x:v>اسناد و شواهد</x:v>
      </x:c>
      <x:c r="C893" s="53" t="str">
        <x:v>A12</x:v>
      </x:c>
      <x:c r="D893" s="53" t="str">
        <x:v>E-0009</x:v>
      </x:c>
      <x:c r="E893" s="53"/>
    </x:row>
    <x:row r="894" ht="15" hidden="0" customHeight="1">
      <x:c r="A894" s="53" t="str">
        <x:v>Anjoman accounting - refined.xlsx</x:v>
      </x:c>
      <x:c r="B894" s="53" t="str">
        <x:v>اسناد و شواهد</x:v>
      </x:c>
      <x:c r="C894" s="53" t="str">
        <x:v>B12</x:v>
      </x:c>
      <x:c r="D894" s="53" t="str">
        <x:v>recipts\photo_2026-10-10_12-16-28.jpg</x:v>
      </x:c>
      <x:c r="E894" s="53"/>
    </x:row>
    <x:row r="895" ht="15" hidden="0" customHeight="1">
      <x:c r="A895" s="53" t="str">
        <x:v>Anjoman accounting - refined.xlsx</x:v>
      </x:c>
      <x:c r="B895" s="53" t="str">
        <x:v>اسناد و شواهد</x:v>
      </x:c>
      <x:c r="C895" s="53" t="str">
        <x:v>C12</x:v>
      </x:c>
      <x:c r="D895" s="53" t="str">
        <x:v>jpg</x:v>
      </x:c>
      <x:c r="E895" s="53"/>
    </x:row>
    <x:row r="896" ht="15" hidden="0" customHeight="1">
      <x:c r="A896" s="53" t="str">
        <x:v>Anjoman accounting - refined.xlsx</x:v>
      </x:c>
      <x:c r="B896" s="53" t="str">
        <x:v>اسناد و شواهد</x:v>
      </x:c>
      <x:c r="C896" s="53" t="str">
        <x:v>D12</x:v>
      </x:c>
      <x:c r="D896" s="53" t="str">
        <x:v>160143</x:v>
      </x:c>
      <x:c r="E896" s="53"/>
    </x:row>
    <x:row r="897" ht="15" hidden="0" customHeight="1">
      <x:c r="A897" s="53" t="str">
        <x:v>Anjoman accounting - refined.xlsx</x:v>
      </x:c>
      <x:c r="B897" s="53" t="str">
        <x:v>اسناد و شواهد</x:v>
      </x:c>
      <x:c r="C897" s="53" t="str">
        <x:v>E12</x:v>
      </x:c>
      <x:c r="D897" s="53" t="str">
        <x:v>99a77eab001c2f3c72a639a7ec75b0a97bb90c5e5e244a8cf575d61107bedcc9</x:v>
      </x:c>
      <x:c r="E897" s="53"/>
    </x:row>
    <x:row r="898" ht="15" hidden="0" customHeight="1">
      <x:c r="A898" s="53" t="str">
        <x:v>Anjoman accounting - refined.xlsx</x:v>
      </x:c>
      <x:c r="B898" s="53" t="str">
        <x:v>اسناد و شواهد</x:v>
      </x:c>
      <x:c r="C898" s="53" t="str">
        <x:v>F12</x:v>
      </x:c>
      <x:c r="D898" s="53" t="str">
        <x:v>تصویر 578x1280; OCR محلی در دسترس نیست؛ ورود دستی لازم است.</x:v>
      </x:c>
      <x:c r="E898" s="53"/>
    </x:row>
    <x:row r="899" ht="15" hidden="0" customHeight="1">
      <x:c r="A899" s="53" t="str">
        <x:v>Anjoman accounting - refined.xlsx</x:v>
      </x:c>
      <x:c r="B899" s="53" t="str">
        <x:v>اسناد و شواهد</x:v>
      </x:c>
      <x:c r="C899" s="53" t="str">
        <x:v>A13</x:v>
      </x:c>
      <x:c r="D899" s="53" t="str">
        <x:v>E-0010</x:v>
      </x:c>
      <x:c r="E899" s="53"/>
    </x:row>
    <x:row r="900" ht="15" hidden="0" customHeight="1">
      <x:c r="A900" s="53" t="str">
        <x:v>Anjoman accounting - refined.xlsx</x:v>
      </x:c>
      <x:c r="B900" s="53" t="str">
        <x:v>اسناد و شواهد</x:v>
      </x:c>
      <x:c r="C900" s="53" t="str">
        <x:v>B13</x:v>
      </x:c>
      <x:c r="D900" s="53" t="str">
        <x:v>recipts\photo_2_2026-10-10_11-09-04.jpg</x:v>
      </x:c>
      <x:c r="E900" s="53"/>
    </x:row>
    <x:row r="901" ht="15" hidden="0" customHeight="1">
      <x:c r="A901" s="53" t="str">
        <x:v>Anjoman accounting - refined.xlsx</x:v>
      </x:c>
      <x:c r="B901" s="53" t="str">
        <x:v>اسناد و شواهد</x:v>
      </x:c>
      <x:c r="C901" s="53" t="str">
        <x:v>C13</x:v>
      </x:c>
      <x:c r="D901" s="53" t="str">
        <x:v>jpg</x:v>
      </x:c>
      <x:c r="E901" s="53"/>
    </x:row>
    <x:row r="902" ht="15" hidden="0" customHeight="1">
      <x:c r="A902" s="53" t="str">
        <x:v>Anjoman accounting - refined.xlsx</x:v>
      </x:c>
      <x:c r="B902" s="53" t="str">
        <x:v>اسناد و شواهد</x:v>
      </x:c>
      <x:c r="C902" s="53" t="str">
        <x:v>D13</x:v>
      </x:c>
      <x:c r="D902" s="53" t="str">
        <x:v>57944</x:v>
      </x:c>
      <x:c r="E902" s="53"/>
    </x:row>
    <x:row r="903" ht="15" hidden="0" customHeight="1">
      <x:c r="A903" s="53" t="str">
        <x:v>Anjoman accounting - refined.xlsx</x:v>
      </x:c>
      <x:c r="B903" s="53" t="str">
        <x:v>اسناد و شواهد</x:v>
      </x:c>
      <x:c r="C903" s="53" t="str">
        <x:v>E13</x:v>
      </x:c>
      <x:c r="D903" s="53" t="str">
        <x:v>5b8abe4d9a9d270a1a5cb0583fbb4ff555d551b16023d63343affe459769150f</x:v>
      </x:c>
      <x:c r="E903" s="53"/>
    </x:row>
    <x:row r="904" ht="15" hidden="0" customHeight="1">
      <x:c r="A904" s="53" t="str">
        <x:v>Anjoman accounting - refined.xlsx</x:v>
      </x:c>
      <x:c r="B904" s="53" t="str">
        <x:v>اسناد و شواهد</x:v>
      </x:c>
      <x:c r="C904" s="53" t="str">
        <x:v>F13</x:v>
      </x:c>
      <x:c r="D904" s="53" t="str">
        <x:v>تصویر 1200x1163; OCR محلی در دسترس نیست؛ ورود دستی لازم است.</x:v>
      </x:c>
      <x:c r="E904" s="53"/>
    </x:row>
    <x:row r="905" ht="15" hidden="0" customHeight="1">
      <x:c r="A905" s="53" t="str">
        <x:v>Anjoman accounting - refined.xlsx</x:v>
      </x:c>
      <x:c r="B905" s="53" t="str">
        <x:v>اسناد و شواهد</x:v>
      </x:c>
      <x:c r="C905" s="53" t="str">
        <x:v>A14</x:v>
      </x:c>
      <x:c r="D905" s="53" t="str">
        <x:v>E-0011</x:v>
      </x:c>
      <x:c r="E905" s="53"/>
    </x:row>
    <x:row r="906" ht="15" hidden="0" customHeight="1">
      <x:c r="A906" s="53" t="str">
        <x:v>Anjoman accounting - refined.xlsx</x:v>
      </x:c>
      <x:c r="B906" s="53" t="str">
        <x:v>اسناد و شواهد</x:v>
      </x:c>
      <x:c r="C906" s="53" t="str">
        <x:v>B14</x:v>
      </x:c>
      <x:c r="D906" s="53" t="str">
        <x:v>recipts\photo_2_2026-10-10_14-07-27.jpg</x:v>
      </x:c>
      <x:c r="E906" s="53"/>
    </x:row>
    <x:row r="907" ht="15" hidden="0" customHeight="1">
      <x:c r="A907" s="53" t="str">
        <x:v>Anjoman accounting - refined.xlsx</x:v>
      </x:c>
      <x:c r="B907" s="53" t="str">
        <x:v>اسناد و شواهد</x:v>
      </x:c>
      <x:c r="C907" s="53" t="str">
        <x:v>C14</x:v>
      </x:c>
      <x:c r="D907" s="53" t="str">
        <x:v>jpg</x:v>
      </x:c>
      <x:c r="E907" s="53"/>
    </x:row>
    <x:row r="908" ht="15" hidden="0" customHeight="1">
      <x:c r="A908" s="53" t="str">
        <x:v>Anjoman accounting - refined.xlsx</x:v>
      </x:c>
      <x:c r="B908" s="53" t="str">
        <x:v>اسناد و شواهد</x:v>
      </x:c>
      <x:c r="C908" s="53" t="str">
        <x:v>D14</x:v>
      </x:c>
      <x:c r="D908" s="53" t="str">
        <x:v>39945</x:v>
      </x:c>
      <x:c r="E908" s="53"/>
    </x:row>
    <x:row r="909" ht="15" hidden="0" customHeight="1">
      <x:c r="A909" s="53" t="str">
        <x:v>Anjoman accounting - refined.xlsx</x:v>
      </x:c>
      <x:c r="B909" s="53" t="str">
        <x:v>اسناد و شواهد</x:v>
      </x:c>
      <x:c r="C909" s="53" t="str">
        <x:v>E14</x:v>
      </x:c>
      <x:c r="D909" s="53" t="str">
        <x:v>6f9a6e2d264b36faa78b41d76c6a1448122e4a243a95c361fd1281ae2bc47e4a</x:v>
      </x:c>
      <x:c r="E909" s="53"/>
    </x:row>
    <x:row r="910" ht="15" hidden="0" customHeight="1">
      <x:c r="A910" s="53" t="str">
        <x:v>Anjoman accounting - refined.xlsx</x:v>
      </x:c>
      <x:c r="B910" s="53" t="str">
        <x:v>اسناد و شواهد</x:v>
      </x:c>
      <x:c r="C910" s="53" t="str">
        <x:v>F14</x:v>
      </x:c>
      <x:c r="D910" s="53" t="str">
        <x:v>تصویر 1280x714; OCR محلی در دسترس نیست؛ ورود دستی لازم است.</x:v>
      </x:c>
      <x:c r="E910" s="53"/>
    </x:row>
    <x:row r="911" ht="15" hidden="0" customHeight="1">
      <x:c r="A911" s="53" t="str">
        <x:v>Anjoman accounting - refined.xlsx</x:v>
      </x:c>
      <x:c r="B911" s="53" t="str">
        <x:v>اسناد و شواهد</x:v>
      </x:c>
      <x:c r="C911" s="53" t="str">
        <x:v>A15</x:v>
      </x:c>
      <x:c r="D911" s="53" t="str">
        <x:v>E-0012</x:v>
      </x:c>
      <x:c r="E911" s="53"/>
    </x:row>
    <x:row r="912" ht="15" hidden="0" customHeight="1">
      <x:c r="A912" s="53" t="str">
        <x:v>Anjoman accounting - refined.xlsx</x:v>
      </x:c>
      <x:c r="B912" s="53" t="str">
        <x:v>اسناد و شواهد</x:v>
      </x:c>
      <x:c r="C912" s="53" t="str">
        <x:v>B15</x:v>
      </x:c>
      <x:c r="D912" s="53" t="str">
        <x:v>recipts\photo_3_2026-10-10_11-09-04.jpg</x:v>
      </x:c>
      <x:c r="E912" s="53"/>
    </x:row>
    <x:row r="913" ht="15" hidden="0" customHeight="1">
      <x:c r="A913" s="53" t="str">
        <x:v>Anjoman accounting - refined.xlsx</x:v>
      </x:c>
      <x:c r="B913" s="53" t="str">
        <x:v>اسناد و شواهد</x:v>
      </x:c>
      <x:c r="C913" s="53" t="str">
        <x:v>C15</x:v>
      </x:c>
      <x:c r="D913" s="53" t="str">
        <x:v>jpg</x:v>
      </x:c>
      <x:c r="E913" s="53"/>
    </x:row>
    <x:row r="914" ht="15" hidden="0" customHeight="1">
      <x:c r="A914" s="53" t="str">
        <x:v>Anjoman accounting - refined.xlsx</x:v>
      </x:c>
      <x:c r="B914" s="53" t="str">
        <x:v>اسناد و شواهد</x:v>
      </x:c>
      <x:c r="C914" s="53" t="str">
        <x:v>D15</x:v>
      </x:c>
      <x:c r="D914" s="53" t="str">
        <x:v>48603</x:v>
      </x:c>
      <x:c r="E914" s="53"/>
    </x:row>
    <x:row r="915" ht="15" hidden="0" customHeight="1">
      <x:c r="A915" s="53" t="str">
        <x:v>Anjoman accounting - refined.xlsx</x:v>
      </x:c>
      <x:c r="B915" s="53" t="str">
        <x:v>اسناد و شواهد</x:v>
      </x:c>
      <x:c r="C915" s="53" t="str">
        <x:v>E15</x:v>
      </x:c>
      <x:c r="D915" s="53" t="str">
        <x:v>5e9f3828411eb9b655e40edf6506756897d37de7bd8a35ea38c9eee80d9742c0</x:v>
      </x:c>
      <x:c r="E915" s="53"/>
    </x:row>
    <x:row r="916" ht="15" hidden="0" customHeight="1">
      <x:c r="A916" s="53" t="str">
        <x:v>Anjoman accounting - refined.xlsx</x:v>
      </x:c>
      <x:c r="B916" s="53" t="str">
        <x:v>اسناد و شواهد</x:v>
      </x:c>
      <x:c r="C916" s="53" t="str">
        <x:v>F15</x:v>
      </x:c>
      <x:c r="D916" s="53" t="str">
        <x:v>تصویر 1200x1078; OCR محلی در دسترس نیست؛ ورود دستی لازم است.</x:v>
      </x:c>
      <x:c r="E916" s="53"/>
    </x:row>
    <x:row r="917" ht="15" hidden="0" customHeight="1">
      <x:c r="A917" s="53" t="str">
        <x:v>Anjoman accounting - refined.xlsx</x:v>
      </x:c>
      <x:c r="B917" s="53" t="str">
        <x:v>اسناد و شواهد</x:v>
      </x:c>
      <x:c r="C917" s="53" t="str">
        <x:v>A16</x:v>
      </x:c>
      <x:c r="D917" s="53" t="str">
        <x:v>E-0013</x:v>
      </x:c>
      <x:c r="E917" s="53"/>
    </x:row>
    <x:row r="918" ht="15" hidden="0" customHeight="1">
      <x:c r="A918" s="53" t="str">
        <x:v>Anjoman accounting - refined.xlsx</x:v>
      </x:c>
      <x:c r="B918" s="53" t="str">
        <x:v>اسناد و شواهد</x:v>
      </x:c>
      <x:c r="C918" s="53" t="str">
        <x:v>B16</x:v>
      </x:c>
      <x:c r="D918" s="53" t="str">
        <x:v>recipts\photo_3_2026-10-10_14-07-27.jpg</x:v>
      </x:c>
      <x:c r="E918" s="53"/>
    </x:row>
    <x:row r="919" ht="15" hidden="0" customHeight="1">
      <x:c r="A919" s="53" t="str">
        <x:v>Anjoman accounting - refined.xlsx</x:v>
      </x:c>
      <x:c r="B919" s="53" t="str">
        <x:v>اسناد و شواهد</x:v>
      </x:c>
      <x:c r="C919" s="53" t="str">
        <x:v>C16</x:v>
      </x:c>
      <x:c r="D919" s="53" t="str">
        <x:v>jpg</x:v>
      </x:c>
      <x:c r="E919" s="53"/>
    </x:row>
    <x:row r="920" ht="15" hidden="0" customHeight="1">
      <x:c r="A920" s="53" t="str">
        <x:v>Anjoman accounting - refined.xlsx</x:v>
      </x:c>
      <x:c r="B920" s="53" t="str">
        <x:v>اسناد و شواهد</x:v>
      </x:c>
      <x:c r="C920" s="53" t="str">
        <x:v>D16</x:v>
      </x:c>
      <x:c r="D920" s="53" t="str">
        <x:v>45037</x:v>
      </x:c>
      <x:c r="E920" s="53"/>
    </x:row>
    <x:row r="921" ht="15" hidden="0" customHeight="1">
      <x:c r="A921" s="53" t="str">
        <x:v>Anjoman accounting - refined.xlsx</x:v>
      </x:c>
      <x:c r="B921" s="53" t="str">
        <x:v>اسناد و شواهد</x:v>
      </x:c>
      <x:c r="C921" s="53" t="str">
        <x:v>E16</x:v>
      </x:c>
      <x:c r="D921" s="53" t="str">
        <x:v>89cfe54d6ab70d44461da04c4318c4b7a11f78947d9a61bda0e7266fbcc3bdab</x:v>
      </x:c>
      <x:c r="E921" s="53"/>
    </x:row>
    <x:row r="922" ht="15" hidden="0" customHeight="1">
      <x:c r="A922" s="53" t="str">
        <x:v>Anjoman accounting - refined.xlsx</x:v>
      </x:c>
      <x:c r="B922" s="53" t="str">
        <x:v>اسناد و شواهد</x:v>
      </x:c>
      <x:c r="C922" s="53" t="str">
        <x:v>F16</x:v>
      </x:c>
      <x:c r="D922" s="53" t="str">
        <x:v>تصویر 1280x714; OCR محلی در دسترس نیست؛ ورود دستی لازم است.</x:v>
      </x:c>
      <x:c r="E922" s="53"/>
    </x:row>
    <x:row r="923" ht="15" hidden="0" customHeight="1">
      <x:c r="A923" s="53" t="str">
        <x:v>Anjoman accounting - refined.xlsx</x:v>
      </x:c>
      <x:c r="B923" s="53" t="str">
        <x:v>اسناد و شواهد</x:v>
      </x:c>
      <x:c r="C923" s="53" t="str">
        <x:v>A17</x:v>
      </x:c>
      <x:c r="D923" s="53" t="str">
        <x:v>E-0014</x:v>
      </x:c>
      <x:c r="E923" s="53"/>
    </x:row>
    <x:row r="924" ht="15" hidden="0" customHeight="1">
      <x:c r="A924" s="53" t="str">
        <x:v>Anjoman accounting - refined.xlsx</x:v>
      </x:c>
      <x:c r="B924" s="53" t="str">
        <x:v>اسناد و شواهد</x:v>
      </x:c>
      <x:c r="C924" s="53" t="str">
        <x:v>B17</x:v>
      </x:c>
      <x:c r="D924" s="53" t="str">
        <x:v>recipts\photo_4_2026-10-10_11-09-04.jpg</x:v>
      </x:c>
      <x:c r="E924" s="53"/>
    </x:row>
    <x:row r="925" ht="15" hidden="0" customHeight="1">
      <x:c r="A925" s="53" t="str">
        <x:v>Anjoman accounting - refined.xlsx</x:v>
      </x:c>
      <x:c r="B925" s="53" t="str">
        <x:v>اسناد و شواهد</x:v>
      </x:c>
      <x:c r="C925" s="53" t="str">
        <x:v>C17</x:v>
      </x:c>
      <x:c r="D925" s="53" t="str">
        <x:v>jpg</x:v>
      </x:c>
      <x:c r="E925" s="53"/>
    </x:row>
    <x:row r="926" ht="15" hidden="0" customHeight="1">
      <x:c r="A926" s="53" t="str">
        <x:v>Anjoman accounting - refined.xlsx</x:v>
      </x:c>
      <x:c r="B926" s="53" t="str">
        <x:v>اسناد و شواهد</x:v>
      </x:c>
      <x:c r="C926" s="53" t="str">
        <x:v>D17</x:v>
      </x:c>
      <x:c r="D926" s="53" t="str">
        <x:v>49704</x:v>
      </x:c>
      <x:c r="E926" s="53"/>
    </x:row>
    <x:row r="927" ht="15" hidden="0" customHeight="1">
      <x:c r="A927" s="53" t="str">
        <x:v>Anjoman accounting - refined.xlsx</x:v>
      </x:c>
      <x:c r="B927" s="53" t="str">
        <x:v>اسناد و شواهد</x:v>
      </x:c>
      <x:c r="C927" s="53" t="str">
        <x:v>E17</x:v>
      </x:c>
      <x:c r="D927" s="53" t="str">
        <x:v>da2ff247cc7b5f3f295635d3052d3d599eebc0806a657613e584d1cce0639769</x:v>
      </x:c>
      <x:c r="E927" s="53"/>
    </x:row>
    <x:row r="928" ht="15" hidden="0" customHeight="1">
      <x:c r="A928" s="53" t="str">
        <x:v>Anjoman accounting - refined.xlsx</x:v>
      </x:c>
      <x:c r="B928" s="53" t="str">
        <x:v>اسناد و شواهد</x:v>
      </x:c>
      <x:c r="C928" s="53" t="str">
        <x:v>F17</x:v>
      </x:c>
      <x:c r="D928" s="53" t="str">
        <x:v>تصویر 1200x1224; OCR محلی در دسترس نیست؛ ورود دستی لازم است.</x:v>
      </x:c>
      <x:c r="E928" s="53"/>
    </x:row>
    <x:row r="929" ht="15" hidden="0" customHeight="1">
      <x:c r="A929" s="53" t="str">
        <x:v>Anjoman accounting - refined.xlsx</x:v>
      </x:c>
      <x:c r="B929" s="53" t="str">
        <x:v>اسناد و شواهد</x:v>
      </x:c>
      <x:c r="C929" s="53" t="str">
        <x:v>A18</x:v>
      </x:c>
      <x:c r="D929" s="53" t="str">
        <x:v>E-0015</x:v>
      </x:c>
      <x:c r="E929" s="53"/>
    </x:row>
    <x:row r="930" ht="15" hidden="0" customHeight="1">
      <x:c r="A930" s="53" t="str">
        <x:v>Anjoman accounting - refined.xlsx</x:v>
      </x:c>
      <x:c r="B930" s="53" t="str">
        <x:v>اسناد و شواهد</x:v>
      </x:c>
      <x:c r="C930" s="53" t="str">
        <x:v>B18</x:v>
      </x:c>
      <x:c r="D930" s="53" t="str">
        <x:v>recipts\photo_4_2026-10-10_14-07-27.jpg</x:v>
      </x:c>
      <x:c r="E930" s="53"/>
    </x:row>
    <x:row r="931" ht="15" hidden="0" customHeight="1">
      <x:c r="A931" s="53" t="str">
        <x:v>Anjoman accounting - refined.xlsx</x:v>
      </x:c>
      <x:c r="B931" s="53" t="str">
        <x:v>اسناد و شواهد</x:v>
      </x:c>
      <x:c r="C931" s="53" t="str">
        <x:v>C18</x:v>
      </x:c>
      <x:c r="D931" s="53" t="str">
        <x:v>jpg</x:v>
      </x:c>
      <x:c r="E931" s="53"/>
    </x:row>
    <x:row r="932" ht="15" hidden="0" customHeight="1">
      <x:c r="A932" s="53" t="str">
        <x:v>Anjoman accounting - refined.xlsx</x:v>
      </x:c>
      <x:c r="B932" s="53" t="str">
        <x:v>اسناد و شواهد</x:v>
      </x:c>
      <x:c r="C932" s="53" t="str">
        <x:v>D18</x:v>
      </x:c>
      <x:c r="D932" s="53" t="str">
        <x:v>44990</x:v>
      </x:c>
      <x:c r="E932" s="53"/>
    </x:row>
    <x:row r="933" ht="15" hidden="0" customHeight="1">
      <x:c r="A933" s="53" t="str">
        <x:v>Anjoman accounting - refined.xlsx</x:v>
      </x:c>
      <x:c r="B933" s="53" t="str">
        <x:v>اسناد و شواهد</x:v>
      </x:c>
      <x:c r="C933" s="53" t="str">
        <x:v>E18</x:v>
      </x:c>
      <x:c r="D933" s="53" t="str">
        <x:v>44a438cc79650702edcbab92c8d1b6d5bc74008f068089c928f463f0657d2162</x:v>
      </x:c>
      <x:c r="E933" s="53"/>
    </x:row>
    <x:row r="934" ht="15" hidden="0" customHeight="1">
      <x:c r="A934" s="53" t="str">
        <x:v>Anjoman accounting - refined.xlsx</x:v>
      </x:c>
      <x:c r="B934" s="53" t="str">
        <x:v>اسناد و شواهد</x:v>
      </x:c>
      <x:c r="C934" s="53" t="str">
        <x:v>F18</x:v>
      </x:c>
      <x:c r="D934" s="53" t="str">
        <x:v>تصویر 1280x714; OCR محلی در دسترس نیست؛ ورود دستی لازم است.</x:v>
      </x:c>
      <x:c r="E934" s="53"/>
    </x:row>
    <x:row r="935" ht="15" hidden="0" customHeight="1">
      <x:c r="A935" s="53" t="str">
        <x:v>Anjoman accounting - refined.xlsx</x:v>
      </x:c>
      <x:c r="B935" s="53" t="str">
        <x:v>اسناد و شواهد</x:v>
      </x:c>
      <x:c r="C935" s="53" t="str">
        <x:v>A19</x:v>
      </x:c>
      <x:c r="D935" s="53" t="str">
        <x:v>E-0016</x:v>
      </x:c>
      <x:c r="E935" s="53"/>
    </x:row>
    <x:row r="936" ht="15" hidden="0" customHeight="1">
      <x:c r="A936" s="53" t="str">
        <x:v>Anjoman accounting - refined.xlsx</x:v>
      </x:c>
      <x:c r="B936" s="53" t="str">
        <x:v>اسناد و شواهد</x:v>
      </x:c>
      <x:c r="C936" s="53" t="str">
        <x:v>B19</x:v>
      </x:c>
      <x:c r="D936" s="53" t="str">
        <x:v>recipts\photo_5_2026-10-10_11-09-04.jpg</x:v>
      </x:c>
      <x:c r="E936" s="53"/>
    </x:row>
    <x:row r="937" ht="15" hidden="0" customHeight="1">
      <x:c r="A937" s="53" t="str">
        <x:v>Anjoman accounting - refined.xlsx</x:v>
      </x:c>
      <x:c r="B937" s="53" t="str">
        <x:v>اسناد و شواهد</x:v>
      </x:c>
      <x:c r="C937" s="53" t="str">
        <x:v>C19</x:v>
      </x:c>
      <x:c r="D937" s="53" t="str">
        <x:v>jpg</x:v>
      </x:c>
      <x:c r="E937" s="53"/>
    </x:row>
    <x:row r="938" ht="15" hidden="0" customHeight="1">
      <x:c r="A938" s="53" t="str">
        <x:v>Anjoman accounting - refined.xlsx</x:v>
      </x:c>
      <x:c r="B938" s="53" t="str">
        <x:v>اسناد و شواهد</x:v>
      </x:c>
      <x:c r="C938" s="53" t="str">
        <x:v>D19</x:v>
      </x:c>
      <x:c r="D938" s="53" t="str">
        <x:v>49513</x:v>
      </x:c>
      <x:c r="E938" s="53"/>
    </x:row>
    <x:row r="939" ht="15" hidden="0" customHeight="1">
      <x:c r="A939" s="53" t="str">
        <x:v>Anjoman accounting - refined.xlsx</x:v>
      </x:c>
      <x:c r="B939" s="53" t="str">
        <x:v>اسناد و شواهد</x:v>
      </x:c>
      <x:c r="C939" s="53" t="str">
        <x:v>E19</x:v>
      </x:c>
      <x:c r="D939" s="53" t="str">
        <x:v>556c6c35f9ce9e0fb5845f3b0d5b9a1b2696d7e1377af7f4c39d6a23e4360af2</x:v>
      </x:c>
      <x:c r="E939" s="53"/>
    </x:row>
    <x:row r="940" ht="15" hidden="0" customHeight="1">
      <x:c r="A940" s="53" t="str">
        <x:v>Anjoman accounting - refined.xlsx</x:v>
      </x:c>
      <x:c r="B940" s="53" t="str">
        <x:v>اسناد و شواهد</x:v>
      </x:c>
      <x:c r="C940" s="53" t="str">
        <x:v>F19</x:v>
      </x:c>
      <x:c r="D940" s="53" t="str">
        <x:v>تصویر 1200x1145; OCR محلی در دسترس نیست؛ ورود دستی لازم است.</x:v>
      </x:c>
      <x:c r="E940" s="53"/>
    </x:row>
    <x:row r="941" ht="15" hidden="0" customHeight="1">
      <x:c r="A941" s="53" t="str">
        <x:v>Anjoman accounting - refined.xlsx</x:v>
      </x:c>
      <x:c r="B941" s="53" t="str">
        <x:v>اسناد و شواهد</x:v>
      </x:c>
      <x:c r="C941" s="53" t="str">
        <x:v>A20</x:v>
      </x:c>
      <x:c r="D941" s="53" t="str">
        <x:v>E-0017</x:v>
      </x:c>
      <x:c r="E941" s="53"/>
    </x:row>
    <x:row r="942" ht="15" hidden="0" customHeight="1">
      <x:c r="A942" s="53" t="str">
        <x:v>Anjoman accounting - refined.xlsx</x:v>
      </x:c>
      <x:c r="B942" s="53" t="str">
        <x:v>اسناد و شواهد</x:v>
      </x:c>
      <x:c r="C942" s="53" t="str">
        <x:v>B20</x:v>
      </x:c>
      <x:c r="D942" s="53" t="str">
        <x:v>recipts\photo_5_2026-10-10_14-07-27.jpg</x:v>
      </x:c>
      <x:c r="E942" s="53"/>
    </x:row>
    <x:row r="943" ht="15" hidden="0" customHeight="1">
      <x:c r="A943" s="53" t="str">
        <x:v>Anjoman accounting - refined.xlsx</x:v>
      </x:c>
      <x:c r="B943" s="53" t="str">
        <x:v>اسناد و شواهد</x:v>
      </x:c>
      <x:c r="C943" s="53" t="str">
        <x:v>C20</x:v>
      </x:c>
      <x:c r="D943" s="53" t="str">
        <x:v>jpg</x:v>
      </x:c>
      <x:c r="E943" s="53"/>
    </x:row>
    <x:row r="944" ht="15" hidden="0" customHeight="1">
      <x:c r="A944" s="53" t="str">
        <x:v>Anjoman accounting - refined.xlsx</x:v>
      </x:c>
      <x:c r="B944" s="53" t="str">
        <x:v>اسناد و شواهد</x:v>
      </x:c>
      <x:c r="C944" s="53" t="str">
        <x:v>D20</x:v>
      </x:c>
      <x:c r="D944" s="53" t="str">
        <x:v>39739</x:v>
      </x:c>
      <x:c r="E944" s="53"/>
    </x:row>
    <x:row r="945" ht="15" hidden="0" customHeight="1">
      <x:c r="A945" s="53" t="str">
        <x:v>Anjoman accounting - refined.xlsx</x:v>
      </x:c>
      <x:c r="B945" s="53" t="str">
        <x:v>اسناد و شواهد</x:v>
      </x:c>
      <x:c r="C945" s="53" t="str">
        <x:v>E20</x:v>
      </x:c>
      <x:c r="D945" s="53" t="str">
        <x:v>63f59a169b5a2bb5dd1bc0587d75173d88da586a0b9b30cbe7effcd5b676c67c</x:v>
      </x:c>
      <x:c r="E945" s="53"/>
    </x:row>
    <x:row r="946" ht="15" hidden="0" customHeight="1">
      <x:c r="A946" s="53" t="str">
        <x:v>Anjoman accounting - refined.xlsx</x:v>
      </x:c>
      <x:c r="B946" s="53" t="str">
        <x:v>اسناد و شواهد</x:v>
      </x:c>
      <x:c r="C946" s="53" t="str">
        <x:v>F20</x:v>
      </x:c>
      <x:c r="D946" s="53" t="str">
        <x:v>تصویر 1280x714; OCR محلی در دسترس نیست؛ ورود دستی لازم است.</x:v>
      </x:c>
      <x:c r="E946" s="53"/>
    </x:row>
    <x:row r="947" ht="15" hidden="0" customHeight="1">
      <x:c r="A947" s="53" t="str">
        <x:v>Anjoman accounting - refined.xlsx</x:v>
      </x:c>
      <x:c r="B947" s="53" t="str">
        <x:v>اسناد و شواهد</x:v>
      </x:c>
      <x:c r="C947" s="53" t="str">
        <x:v>A21</x:v>
      </x:c>
      <x:c r="D947" s="53" t="str">
        <x:v>E-0018</x:v>
      </x:c>
      <x:c r="E947" s="53"/>
    </x:row>
    <x:row r="948" ht="15" hidden="0" customHeight="1">
      <x:c r="A948" s="53" t="str">
        <x:v>Anjoman accounting - refined.xlsx</x:v>
      </x:c>
      <x:c r="B948" s="53" t="str">
        <x:v>اسناد و شواهد</x:v>
      </x:c>
      <x:c r="C948" s="53" t="str">
        <x:v>B21</x:v>
      </x:c>
      <x:c r="D948" s="53" t="str">
        <x:v>recipts\photo_6_2026-10-10_11-09-04.jpg</x:v>
      </x:c>
      <x:c r="E948" s="53"/>
    </x:row>
    <x:row r="949" ht="15" hidden="0" customHeight="1">
      <x:c r="A949" s="53" t="str">
        <x:v>Anjoman accounting - refined.xlsx</x:v>
      </x:c>
      <x:c r="B949" s="53" t="str">
        <x:v>اسناد و شواهد</x:v>
      </x:c>
      <x:c r="C949" s="53" t="str">
        <x:v>C21</x:v>
      </x:c>
      <x:c r="D949" s="53" t="str">
        <x:v>jpg</x:v>
      </x:c>
      <x:c r="E949" s="53"/>
    </x:row>
    <x:row r="950" ht="15" hidden="0" customHeight="1">
      <x:c r="A950" s="53" t="str">
        <x:v>Anjoman accounting - refined.xlsx</x:v>
      </x:c>
      <x:c r="B950" s="53" t="str">
        <x:v>اسناد و شواهد</x:v>
      </x:c>
      <x:c r="C950" s="53" t="str">
        <x:v>D21</x:v>
      </x:c>
      <x:c r="D950" s="53" t="str">
        <x:v>57246</x:v>
      </x:c>
      <x:c r="E950" s="53"/>
    </x:row>
    <x:row r="951" ht="15" hidden="0" customHeight="1">
      <x:c r="A951" s="53" t="str">
        <x:v>Anjoman accounting - refined.xlsx</x:v>
      </x:c>
      <x:c r="B951" s="53" t="str">
        <x:v>اسناد و شواهد</x:v>
      </x:c>
      <x:c r="C951" s="53" t="str">
        <x:v>E21</x:v>
      </x:c>
      <x:c r="D951" s="53" t="str">
        <x:v>3e2419ef0ccbe67c3e775ffb4f32e97152e3923bab3c3760071727253938e142</x:v>
      </x:c>
      <x:c r="E951" s="53"/>
    </x:row>
    <x:row r="952" ht="15" hidden="0" customHeight="1">
      <x:c r="A952" s="53" t="str">
        <x:v>Anjoman accounting - refined.xlsx</x:v>
      </x:c>
      <x:c r="B952" s="53" t="str">
        <x:v>اسناد و شواهد</x:v>
      </x:c>
      <x:c r="C952" s="53" t="str">
        <x:v>F21</x:v>
      </x:c>
      <x:c r="D952" s="53" t="str">
        <x:v>تصویر 1200x1163; OCR محلی در دسترس نیست؛ ورود دستی لازم است.</x:v>
      </x:c>
      <x:c r="E952" s="53"/>
    </x:row>
    <x:row r="953" ht="15" hidden="0" customHeight="1">
      <x:c r="A953" s="53" t="str">
        <x:v>Anjoman accounting - refined.xlsx</x:v>
      </x:c>
      <x:c r="B953" s="53" t="str">
        <x:v>اسناد و شواهد</x:v>
      </x:c>
      <x:c r="C953" s="53" t="str">
        <x:v>A22</x:v>
      </x:c>
      <x:c r="D953" s="53" t="str">
        <x:v>E-0019</x:v>
      </x:c>
      <x:c r="E953" s="53"/>
    </x:row>
    <x:row r="954" ht="15" hidden="0" customHeight="1">
      <x:c r="A954" s="53" t="str">
        <x:v>Anjoman accounting - refined.xlsx</x:v>
      </x:c>
      <x:c r="B954" s="53" t="str">
        <x:v>اسناد و شواهد</x:v>
      </x:c>
      <x:c r="C954" s="53" t="str">
        <x:v>B22</x:v>
      </x:c>
      <x:c r="D954" s="53" t="str">
        <x:v>recipts\photo_6_2026-10-10_14-07-27.jpg</x:v>
      </x:c>
      <x:c r="E954" s="53"/>
    </x:row>
    <x:row r="955" ht="15" hidden="0" customHeight="1">
      <x:c r="A955" s="53" t="str">
        <x:v>Anjoman accounting - refined.xlsx</x:v>
      </x:c>
      <x:c r="B955" s="53" t="str">
        <x:v>اسناد و شواهد</x:v>
      </x:c>
      <x:c r="C955" s="53" t="str">
        <x:v>C22</x:v>
      </x:c>
      <x:c r="D955" s="53" t="str">
        <x:v>jpg</x:v>
      </x:c>
      <x:c r="E955" s="53"/>
    </x:row>
    <x:row r="956" ht="15" hidden="0" customHeight="1">
      <x:c r="A956" s="53" t="str">
        <x:v>Anjoman accounting - refined.xlsx</x:v>
      </x:c>
      <x:c r="B956" s="53" t="str">
        <x:v>اسناد و شواهد</x:v>
      </x:c>
      <x:c r="C956" s="53" t="str">
        <x:v>D22</x:v>
      </x:c>
      <x:c r="D956" s="53" t="str">
        <x:v>41211</x:v>
      </x:c>
      <x:c r="E956" s="53"/>
    </x:row>
    <x:row r="957" ht="15" hidden="0" customHeight="1">
      <x:c r="A957" s="53" t="str">
        <x:v>Anjoman accounting - refined.xlsx</x:v>
      </x:c>
      <x:c r="B957" s="53" t="str">
        <x:v>اسناد و شواهد</x:v>
      </x:c>
      <x:c r="C957" s="53" t="str">
        <x:v>E22</x:v>
      </x:c>
      <x:c r="D957" s="53" t="str">
        <x:v>2a51ef05147371b78e220f491a2c3e82578cb8a9cc8a65128cd503f3f2eaf183</x:v>
      </x:c>
      <x:c r="E957" s="53"/>
    </x:row>
    <x:row r="958" ht="15" hidden="0" customHeight="1">
      <x:c r="A958" s="53" t="str">
        <x:v>Anjoman accounting - refined.xlsx</x:v>
      </x:c>
      <x:c r="B958" s="53" t="str">
        <x:v>اسناد و شواهد</x:v>
      </x:c>
      <x:c r="C958" s="53" t="str">
        <x:v>F22</x:v>
      </x:c>
      <x:c r="D958" s="53" t="str">
        <x:v>تصویر 1280x714; OCR محلی در دسترس نیست؛ ورود دستی لازم است.</x:v>
      </x:c>
      <x:c r="E958" s="53"/>
    </x:row>
    <x:row r="959" ht="15" hidden="0" customHeight="1">
      <x:c r="A959" s="53" t="str">
        <x:v>Anjoman accounting - refined.xlsx</x:v>
      </x:c>
      <x:c r="B959" s="53" t="str">
        <x:v>اسناد و شواهد</x:v>
      </x:c>
      <x:c r="C959" s="53" t="str">
        <x:v>A23</x:v>
      </x:c>
      <x:c r="D959" s="53" t="str">
        <x:v>E-0020</x:v>
      </x:c>
      <x:c r="E959" s="53"/>
    </x:row>
    <x:row r="960" ht="15" hidden="0" customHeight="1">
      <x:c r="A960" s="53" t="str">
        <x:v>Anjoman accounting - refined.xlsx</x:v>
      </x:c>
      <x:c r="B960" s="53" t="str">
        <x:v>اسناد و شواهد</x:v>
      </x:c>
      <x:c r="C960" s="53" t="str">
        <x:v>B23</x:v>
      </x:c>
      <x:c r="D960" s="53" t="str">
        <x:v>recipts\photo_7_2026-10-10_11-09-04.jpg</x:v>
      </x:c>
      <x:c r="E960" s="53"/>
    </x:row>
    <x:row r="961" ht="15" hidden="0" customHeight="1">
      <x:c r="A961" s="53" t="str">
        <x:v>Anjoman accounting - refined.xlsx</x:v>
      </x:c>
      <x:c r="B961" s="53" t="str">
        <x:v>اسناد و شواهد</x:v>
      </x:c>
      <x:c r="C961" s="53" t="str">
        <x:v>C23</x:v>
      </x:c>
      <x:c r="D961" s="53" t="str">
        <x:v>jpg</x:v>
      </x:c>
      <x:c r="E961" s="53"/>
    </x:row>
    <x:row r="962" ht="15" hidden="0" customHeight="1">
      <x:c r="A962" s="53" t="str">
        <x:v>Anjoman accounting - refined.xlsx</x:v>
      </x:c>
      <x:c r="B962" s="53" t="str">
        <x:v>اسناد و شواهد</x:v>
      </x:c>
      <x:c r="C962" s="53" t="str">
        <x:v>D23</x:v>
      </x:c>
      <x:c r="D962" s="53" t="str">
        <x:v>49510</x:v>
      </x:c>
      <x:c r="E962" s="53"/>
    </x:row>
    <x:row r="963" ht="15" hidden="0" customHeight="1">
      <x:c r="A963" s="53" t="str">
        <x:v>Anjoman accounting - refined.xlsx</x:v>
      </x:c>
      <x:c r="B963" s="53" t="str">
        <x:v>اسناد و شواهد</x:v>
      </x:c>
      <x:c r="C963" s="53" t="str">
        <x:v>E23</x:v>
      </x:c>
      <x:c r="D963" s="53" t="str">
        <x:v>805ebbd2b231c7cf1c2858b5a056938b59dd5c7ccaed44d74c4edc20f4b57ce2</x:v>
      </x:c>
      <x:c r="E963" s="53"/>
    </x:row>
    <x:row r="964" ht="15" hidden="0" customHeight="1">
      <x:c r="A964" s="53" t="str">
        <x:v>Anjoman accounting - refined.xlsx</x:v>
      </x:c>
      <x:c r="B964" s="53" t="str">
        <x:v>اسناد و شواهد</x:v>
      </x:c>
      <x:c r="C964" s="53" t="str">
        <x:v>F23</x:v>
      </x:c>
      <x:c r="D964" s="53" t="str">
        <x:v>تصویر 1200x1145; OCR محلی در دسترس نیست؛ ورود دستی لازم است.</x:v>
      </x:c>
      <x:c r="E964" s="53"/>
    </x:row>
    <x:row r="965" ht="15" hidden="0" customHeight="1">
      <x:c r="A965" s="53" t="str">
        <x:v>Anjoman accounting - refined.xlsx</x:v>
      </x:c>
      <x:c r="B965" s="53" t="str">
        <x:v>اسناد و شواهد</x:v>
      </x:c>
      <x:c r="C965" s="53" t="str">
        <x:v>A24</x:v>
      </x:c>
      <x:c r="D965" s="53" t="str">
        <x:v>E-0021</x:v>
      </x:c>
      <x:c r="E965" s="53"/>
    </x:row>
    <x:row r="966" ht="15" hidden="0" customHeight="1">
      <x:c r="A966" s="53" t="str">
        <x:v>Anjoman accounting - refined.xlsx</x:v>
      </x:c>
      <x:c r="B966" s="53" t="str">
        <x:v>اسناد و شواهد</x:v>
      </x:c>
      <x:c r="C966" s="53" t="str">
        <x:v>B24</x:v>
      </x:c>
      <x:c r="D966" s="53" t="str">
        <x:v>recipts\photo_7_2026-10-10_14-07-27.jpg</x:v>
      </x:c>
      <x:c r="E966" s="53"/>
    </x:row>
    <x:row r="967" ht="15" hidden="0" customHeight="1">
      <x:c r="A967" s="53" t="str">
        <x:v>Anjoman accounting - refined.xlsx</x:v>
      </x:c>
      <x:c r="B967" s="53" t="str">
        <x:v>اسناد و شواهد</x:v>
      </x:c>
      <x:c r="C967" s="53" t="str">
        <x:v>C24</x:v>
      </x:c>
      <x:c r="D967" s="53" t="str">
        <x:v>jpg</x:v>
      </x:c>
      <x:c r="E967" s="53"/>
    </x:row>
    <x:row r="968" ht="15" hidden="0" customHeight="1">
      <x:c r="A968" s="53" t="str">
        <x:v>Anjoman accounting - refined.xlsx</x:v>
      </x:c>
      <x:c r="B968" s="53" t="str">
        <x:v>اسناد و شواهد</x:v>
      </x:c>
      <x:c r="C968" s="53" t="str">
        <x:v>D24</x:v>
      </x:c>
      <x:c r="D968" s="53" t="str">
        <x:v>44918</x:v>
      </x:c>
      <x:c r="E968" s="53"/>
    </x:row>
    <x:row r="969" ht="15" hidden="0" customHeight="1">
      <x:c r="A969" s="53" t="str">
        <x:v>Anjoman accounting - refined.xlsx</x:v>
      </x:c>
      <x:c r="B969" s="53" t="str">
        <x:v>اسناد و شواهد</x:v>
      </x:c>
      <x:c r="C969" s="53" t="str">
        <x:v>E24</x:v>
      </x:c>
      <x:c r="D969" s="53" t="str">
        <x:v>1bfe3e9b9076ece14313b068bc35b4b58c247e5b9fbf0c8ac9d9161c5a1eab10</x:v>
      </x:c>
      <x:c r="E969" s="53"/>
    </x:row>
    <x:row r="970" ht="15" hidden="0" customHeight="1">
      <x:c r="A970" s="53" t="str">
        <x:v>Anjoman accounting - refined.xlsx</x:v>
      </x:c>
      <x:c r="B970" s="53" t="str">
        <x:v>اسناد و شواهد</x:v>
      </x:c>
      <x:c r="C970" s="53" t="str">
        <x:v>F24</x:v>
      </x:c>
      <x:c r="D970" s="53" t="str">
        <x:v>تصویر 1280x714; OCR محلی در دسترس نیست؛ ورود دستی لازم است.</x:v>
      </x:c>
      <x:c r="E970" s="53"/>
    </x:row>
    <x:row r="971" ht="15" hidden="0" customHeight="1">
      <x:c r="A971" s="53" t="str">
        <x:v>Anjoman accounting - refined.xlsx</x:v>
      </x:c>
      <x:c r="B971" s="53" t="str">
        <x:v>اسناد و شواهد</x:v>
      </x:c>
      <x:c r="C971" s="53" t="str">
        <x:v>A25</x:v>
      </x:c>
      <x:c r="D971" s="53" t="str">
        <x:v>E-0022</x:v>
      </x:c>
      <x:c r="E971" s="53"/>
    </x:row>
    <x:row r="972" ht="15" hidden="0" customHeight="1">
      <x:c r="A972" s="53" t="str">
        <x:v>Anjoman accounting - refined.xlsx</x:v>
      </x:c>
      <x:c r="B972" s="53" t="str">
        <x:v>اسناد و شواهد</x:v>
      </x:c>
      <x:c r="C972" s="53" t="str">
        <x:v>B25</x:v>
      </x:c>
      <x:c r="D972" s="53" t="str">
        <x:v>recipts\photo_8_2026-10-10_11-09-04.jpg</x:v>
      </x:c>
      <x:c r="E972" s="53"/>
    </x:row>
    <x:row r="973" ht="15" hidden="0" customHeight="1">
      <x:c r="A973" s="53" t="str">
        <x:v>Anjoman accounting - refined.xlsx</x:v>
      </x:c>
      <x:c r="B973" s="53" t="str">
        <x:v>اسناد و شواهد</x:v>
      </x:c>
      <x:c r="C973" s="53" t="str">
        <x:v>C25</x:v>
      </x:c>
      <x:c r="D973" s="53" t="str">
        <x:v>jpg</x:v>
      </x:c>
      <x:c r="E973" s="53"/>
    </x:row>
    <x:row r="974" ht="15" hidden="0" customHeight="1">
      <x:c r="A974" s="53" t="str">
        <x:v>Anjoman accounting - refined.xlsx</x:v>
      </x:c>
      <x:c r="B974" s="53" t="str">
        <x:v>اسناد و شواهد</x:v>
      </x:c>
      <x:c r="C974" s="53" t="str">
        <x:v>D25</x:v>
      </x:c>
      <x:c r="D974" s="53" t="str">
        <x:v>48893</x:v>
      </x:c>
      <x:c r="E974" s="53"/>
    </x:row>
    <x:row r="975" ht="15" hidden="0" customHeight="1">
      <x:c r="A975" s="53" t="str">
        <x:v>Anjoman accounting - refined.xlsx</x:v>
      </x:c>
      <x:c r="B975" s="53" t="str">
        <x:v>اسناد و شواهد</x:v>
      </x:c>
      <x:c r="C975" s="53" t="str">
        <x:v>E25</x:v>
      </x:c>
      <x:c r="D975" s="53" t="str">
        <x:v>75fee797d13ddb85ea935721b36fb145c6c9fe6b2ea11406f10a551c57acac32</x:v>
      </x:c>
      <x:c r="E975" s="53"/>
    </x:row>
    <x:row r="976" ht="15" hidden="0" customHeight="1">
      <x:c r="A976" s="53" t="str">
        <x:v>Anjoman accounting - refined.xlsx</x:v>
      </x:c>
      <x:c r="B976" s="53" t="str">
        <x:v>اسناد و شواهد</x:v>
      </x:c>
      <x:c r="C976" s="53" t="str">
        <x:v>F25</x:v>
      </x:c>
      <x:c r="D976" s="53" t="str">
        <x:v>تصویر 1200x1145; OCR محلی در دسترس نیست؛ ورود دستی لازم است.</x:v>
      </x:c>
      <x:c r="E976" s="53"/>
    </x:row>
    <x:row r="977" ht="15" hidden="0" customHeight="1">
      <x:c r="A977" s="53" t="str">
        <x:v>Anjoman accounting - refined.xlsx</x:v>
      </x:c>
      <x:c r="B977" s="53" t="str">
        <x:v>اسناد و شواهد</x:v>
      </x:c>
      <x:c r="C977" s="53" t="str">
        <x:v>A26</x:v>
      </x:c>
      <x:c r="D977" s="53" t="str">
        <x:v>E-0023</x:v>
      </x:c>
      <x:c r="E977" s="53"/>
    </x:row>
    <x:row r="978" ht="15" hidden="0" customHeight="1">
      <x:c r="A978" s="53" t="str">
        <x:v>Anjoman accounting - refined.xlsx</x:v>
      </x:c>
      <x:c r="B978" s="53" t="str">
        <x:v>اسناد و شواهد</x:v>
      </x:c>
      <x:c r="C978" s="53" t="str">
        <x:v>B26</x:v>
      </x:c>
      <x:c r="D978" s="53" t="str">
        <x:v>recipts\photo_8_2026-10-10_14-07-27.jpg</x:v>
      </x:c>
      <x:c r="E978" s="53"/>
    </x:row>
    <x:row r="979" ht="15" hidden="0" customHeight="1">
      <x:c r="A979" s="53" t="str">
        <x:v>Anjoman accounting - refined.xlsx</x:v>
      </x:c>
      <x:c r="B979" s="53" t="str">
        <x:v>اسناد و شواهد</x:v>
      </x:c>
      <x:c r="C979" s="53" t="str">
        <x:v>C26</x:v>
      </x:c>
      <x:c r="D979" s="53" t="str">
        <x:v>jpg</x:v>
      </x:c>
      <x:c r="E979" s="53"/>
    </x:row>
    <x:row r="980" ht="15" hidden="0" customHeight="1">
      <x:c r="A980" s="53" t="str">
        <x:v>Anjoman accounting - refined.xlsx</x:v>
      </x:c>
      <x:c r="B980" s="53" t="str">
        <x:v>اسناد و شواهد</x:v>
      </x:c>
      <x:c r="C980" s="53" t="str">
        <x:v>D26</x:v>
      </x:c>
      <x:c r="D980" s="53" t="str">
        <x:v>39907</x:v>
      </x:c>
      <x:c r="E980" s="53"/>
    </x:row>
    <x:row r="981" ht="15" hidden="0" customHeight="1">
      <x:c r="A981" s="53" t="str">
        <x:v>Anjoman accounting - refined.xlsx</x:v>
      </x:c>
      <x:c r="B981" s="53" t="str">
        <x:v>اسناد و شواهد</x:v>
      </x:c>
      <x:c r="C981" s="53" t="str">
        <x:v>E26</x:v>
      </x:c>
      <x:c r="D981" s="53" t="str">
        <x:v>ae9fe7eccdae6bf86a1de9ecb8dc330494dec3835c76a1f55a0dd695297689b8</x:v>
      </x:c>
      <x:c r="E981" s="53"/>
    </x:row>
    <x:row r="982" ht="15" hidden="0" customHeight="1">
      <x:c r="A982" s="53" t="str">
        <x:v>Anjoman accounting - refined.xlsx</x:v>
      </x:c>
      <x:c r="B982" s="53" t="str">
        <x:v>اسناد و شواهد</x:v>
      </x:c>
      <x:c r="C982" s="53" t="str">
        <x:v>F26</x:v>
      </x:c>
      <x:c r="D982" s="53" t="str">
        <x:v>تصویر 1280x714; OCR محلی در دسترس نیست؛ ورود دستی لازم است.</x:v>
      </x:c>
      <x:c r="E982" s="53"/>
    </x:row>
    <x:row r="983" ht="15" hidden="0" customHeight="1">
      <x:c r="A983" s="53" t="str">
        <x:v>Anjoman accounting - refined.xlsx</x:v>
      </x:c>
      <x:c r="B983" s="53" t="str">
        <x:v>اسناد و شواهد</x:v>
      </x:c>
      <x:c r="C983" s="53" t="str">
        <x:v>A27</x:v>
      </x:c>
      <x:c r="D983" s="53" t="str">
        <x:v>E-0024</x:v>
      </x:c>
      <x:c r="E983" s="53"/>
    </x:row>
    <x:row r="984" ht="15" hidden="0" customHeight="1">
      <x:c r="A984" s="53" t="str">
        <x:v>Anjoman accounting - refined.xlsx</x:v>
      </x:c>
      <x:c r="B984" s="53" t="str">
        <x:v>اسناد و شواهد</x:v>
      </x:c>
      <x:c r="C984" s="53" t="str">
        <x:v>B27</x:v>
      </x:c>
      <x:c r="D984" s="53" t="str">
        <x:v>telegram export\css\style.css</x:v>
      </x:c>
      <x:c r="E984" s="53"/>
    </x:row>
    <x:row r="985" ht="15" hidden="0" customHeight="1">
      <x:c r="A985" s="53" t="str">
        <x:v>Anjoman accounting - refined.xlsx</x:v>
      </x:c>
      <x:c r="B985" s="53" t="str">
        <x:v>اسناد و شواهد</x:v>
      </x:c>
      <x:c r="C985" s="53" t="str">
        <x:v>C27</x:v>
      </x:c>
      <x:c r="D985" s="53" t="str">
        <x:v>css</x:v>
      </x:c>
      <x:c r="E985" s="53"/>
    </x:row>
    <x:row r="986" ht="15" hidden="0" customHeight="1">
      <x:c r="A986" s="53" t="str">
        <x:v>Anjoman accounting - refined.xlsx</x:v>
      </x:c>
      <x:c r="B986" s="53" t="str">
        <x:v>اسناد و شواهد</x:v>
      </x:c>
      <x:c r="C986" s="53" t="str">
        <x:v>D27</x:v>
      </x:c>
      <x:c r="D986" s="53" t="str">
        <x:v>44158</x:v>
      </x:c>
      <x:c r="E986" s="53"/>
    </x:row>
    <x:row r="987" ht="15" hidden="0" customHeight="1">
      <x:c r="A987" s="53" t="str">
        <x:v>Anjoman accounting - refined.xlsx</x:v>
      </x:c>
      <x:c r="B987" s="53" t="str">
        <x:v>اسناد و شواهد</x:v>
      </x:c>
      <x:c r="C987" s="53" t="str">
        <x:v>E27</x:v>
      </x:c>
      <x:c r="D987" s="53" t="str">
        <x:v>1d70127586462ce7996aad2749e7994aca9dee615c3d8d38e2acd4d2a00ca611</x:v>
      </x:c>
      <x:c r="E987" s="53"/>
    </x:row>
    <x:row r="988" ht="15" hidden="0" customHeight="1">
      <x:c r="A988" s="53" t="str">
        <x:v>Anjoman accounting - refined.xlsx</x:v>
      </x:c>
      <x:c r="B988" s="53" t="str">
        <x:v>اسناد و شواهد</x:v>
      </x:c>
      <x:c r="C988" s="53" t="str">
        <x:v>A28</x:v>
      </x:c>
      <x:c r="D988" s="53" t="str">
        <x:v>E-0025</x:v>
      </x:c>
      <x:c r="E988" s="53"/>
    </x:row>
    <x:row r="989" ht="15" hidden="0" customHeight="1">
      <x:c r="A989" s="53" t="str">
        <x:v>Anjoman accounting - refined.xlsx</x:v>
      </x:c>
      <x:c r="B989" s="53" t="str">
        <x:v>اسناد و شواهد</x:v>
      </x:c>
      <x:c r="C989" s="53" t="str">
        <x:v>B28</x:v>
      </x:c>
      <x:c r="D989" s="53" t="str">
        <x:v>telegram export\files\CamScanner 13-05-2026 12.43 (1).pdf</x:v>
      </x:c>
      <x:c r="E989" s="53"/>
    </x:row>
    <x:row r="990" ht="15" hidden="0" customHeight="1">
      <x:c r="A990" s="53" t="str">
        <x:v>Anjoman accounting - refined.xlsx</x:v>
      </x:c>
      <x:c r="B990" s="53" t="str">
        <x:v>اسناد و شواهد</x:v>
      </x:c>
      <x:c r="C990" s="53" t="str">
        <x:v>C28</x:v>
      </x:c>
      <x:c r="D990" s="53" t="str">
        <x:v>pdf</x:v>
      </x:c>
      <x:c r="E990" s="53"/>
    </x:row>
    <x:row r="991" ht="15" hidden="0" customHeight="1">
      <x:c r="A991" s="53" t="str">
        <x:v>Anjoman accounting - refined.xlsx</x:v>
      </x:c>
      <x:c r="B991" s="53" t="str">
        <x:v>اسناد و شواهد</x:v>
      </x:c>
      <x:c r="C991" s="53" t="str">
        <x:v>D28</x:v>
      </x:c>
      <x:c r="D991" s="53" t="str">
        <x:v>7377808</x:v>
      </x:c>
      <x:c r="E991" s="53"/>
    </x:row>
    <x:row r="992" ht="15" hidden="0" customHeight="1">
      <x:c r="A992" s="53" t="str">
        <x:v>Anjoman accounting - refined.xlsx</x:v>
      </x:c>
      <x:c r="B992" s="53" t="str">
        <x:v>اسناد و شواهد</x:v>
      </x:c>
      <x:c r="C992" s="53" t="str">
        <x:v>E28</x:v>
      </x:c>
      <x:c r="D992" s="53" t="str">
        <x:v>6710c8248b7f8f3fb3ccc8ef74c9e5f017aa69fcd6c02fb1e5e4f8d33d134b2b</x:v>
      </x:c>
      <x:c r="E992" s="53"/>
    </x:row>
    <x:row r="993" ht="15" hidden="0" customHeight="1">
      <x:c r="A993" s="53" t="str">
        <x:v>Anjoman accounting - refined.xlsx</x:v>
      </x:c>
      <x:c r="B993" s="53" t="str">
        <x:v>اسناد و شواهد</x:v>
      </x:c>
      <x:c r="C993" s="53" t="str">
        <x:v>F28</x:v>
      </x:c>
      <x:c r="D993" s="53" t="str">
        <x:v>PDF؛ متن استخراج‌شده در خام_اسناد نگهداری شده است.</x:v>
      </x:c>
      <x:c r="E993" s="53"/>
    </x:row>
    <x:row r="994" ht="15" hidden="0" customHeight="1">
      <x:c r="A994" s="53" t="str">
        <x:v>Anjoman accounting - refined.xlsx</x:v>
      </x:c>
      <x:c r="B994" s="53" t="str">
        <x:v>اسناد و شواهد</x:v>
      </x:c>
      <x:c r="C994" s="53" t="str">
        <x:v>A29</x:v>
      </x:c>
      <x:c r="D994" s="53" t="str">
        <x:v>E-0026</x:v>
      </x:c>
      <x:c r="E994" s="53"/>
    </x:row>
    <x:row r="995" ht="15" hidden="0" customHeight="1">
      <x:c r="A995" s="53" t="str">
        <x:v>Anjoman accounting - refined.xlsx</x:v>
      </x:c>
      <x:c r="B995" s="53" t="str">
        <x:v>اسناد و شواهد</x:v>
      </x:c>
      <x:c r="C995" s="53" t="str">
        <x:v>B29</x:v>
      </x:c>
      <x:c r="D995" s="53" t="str">
        <x:v>telegram export\files\dk-file-2025-10-16-14-43-08.pdf</x:v>
      </x:c>
      <x:c r="E995" s="53"/>
    </x:row>
    <x:row r="996" ht="15" hidden="0" customHeight="1">
      <x:c r="A996" s="53" t="str">
        <x:v>Anjoman accounting - refined.xlsx</x:v>
      </x:c>
      <x:c r="B996" s="53" t="str">
        <x:v>اسناد و شواهد</x:v>
      </x:c>
      <x:c r="C996" s="53" t="str">
        <x:v>C29</x:v>
      </x:c>
      <x:c r="D996" s="53" t="str">
        <x:v>pdf</x:v>
      </x:c>
      <x:c r="E996" s="53"/>
    </x:row>
    <x:row r="997" ht="15" hidden="0" customHeight="1">
      <x:c r="A997" s="53" t="str">
        <x:v>Anjoman accounting - refined.xlsx</x:v>
      </x:c>
      <x:c r="B997" s="53" t="str">
        <x:v>اسناد و شواهد</x:v>
      </x:c>
      <x:c r="C997" s="53" t="str">
        <x:v>D29</x:v>
      </x:c>
      <x:c r="D997" s="53" t="str">
        <x:v>326283</x:v>
      </x:c>
      <x:c r="E997" s="53"/>
    </x:row>
    <x:row r="998" ht="15" hidden="0" customHeight="1">
      <x:c r="A998" s="53" t="str">
        <x:v>Anjoman accounting - refined.xlsx</x:v>
      </x:c>
      <x:c r="B998" s="53" t="str">
        <x:v>اسناد و شواهد</x:v>
      </x:c>
      <x:c r="C998" s="53" t="str">
        <x:v>E29</x:v>
      </x:c>
      <x:c r="D998" s="53" t="str">
        <x:v>6e8ce528a639e8464eeb696a426eea1e00398cec8ff5e910340153fd01552139</x:v>
      </x:c>
      <x:c r="E998" s="53"/>
    </x:row>
    <x:row r="999" ht="15" hidden="0" customHeight="1">
      <x:c r="A999" s="53" t="str">
        <x:v>Anjoman accounting - refined.xlsx</x:v>
      </x:c>
      <x:c r="B999" s="53" t="str">
        <x:v>اسناد و شواهد</x:v>
      </x:c>
      <x:c r="C999" s="53" t="str">
        <x:v>F29</x:v>
      </x:c>
      <x:c r="D999" s="53" t="str">
        <x:v>PDF؛ متن استخراج‌شده در خام_اسناد نگهداری شده است.</x:v>
      </x:c>
      <x:c r="E999" s="53"/>
    </x:row>
    <x:row r="1000" ht="15" hidden="0" customHeight="1">
      <x:c r="A1000" s="53" t="str">
        <x:v>Anjoman accounting - refined.xlsx</x:v>
      </x:c>
      <x:c r="B1000" s="53" t="str">
        <x:v>اسناد و شواهد</x:v>
      </x:c>
      <x:c r="C1000" s="53" t="str">
        <x:v>A30</x:v>
      </x:c>
      <x:c r="D1000" s="53" t="str">
        <x:v>E-0027</x:v>
      </x:c>
      <x:c r="E1000" s="53"/>
    </x:row>
    <x:row r="1001" ht="15" hidden="0" customHeight="1">
      <x:c r="A1001" s="53" t="str">
        <x:v>Anjoman accounting - refined.xlsx</x:v>
      </x:c>
      <x:c r="B1001" s="53" t="str">
        <x:v>اسناد و شواهد</x:v>
      </x:c>
      <x:c r="C1001" s="53" t="str">
        <x:v>B30</x:v>
      </x:c>
      <x:c r="D1001" s="53" t="str">
        <x:v>telegram export\files\report_LaTeX.txt</x:v>
      </x:c>
      <x:c r="E1001" s="53"/>
    </x:row>
    <x:row r="1002" ht="15" hidden="0" customHeight="1">
      <x:c r="A1002" s="53" t="str">
        <x:v>Anjoman accounting - refined.xlsx</x:v>
      </x:c>
      <x:c r="B1002" s="53" t="str">
        <x:v>اسناد و شواهد</x:v>
      </x:c>
      <x:c r="C1002" s="53" t="str">
        <x:v>C30</x:v>
      </x:c>
      <x:c r="D1002" s="53" t="str">
        <x:v>txt</x:v>
      </x:c>
      <x:c r="E1002" s="53"/>
    </x:row>
    <x:row r="1003" ht="15" hidden="0" customHeight="1">
      <x:c r="A1003" s="53" t="str">
        <x:v>Anjoman accounting - refined.xlsx</x:v>
      </x:c>
      <x:c r="B1003" s="53" t="str">
        <x:v>اسناد و شواهد</x:v>
      </x:c>
      <x:c r="C1003" s="53" t="str">
        <x:v>D30</x:v>
      </x:c>
      <x:c r="D1003" s="53" t="str">
        <x:v>6957</x:v>
      </x:c>
      <x:c r="E1003" s="53"/>
    </x:row>
    <x:row r="1004" ht="15" hidden="0" customHeight="1">
      <x:c r="A1004" s="53" t="str">
        <x:v>Anjoman accounting - refined.xlsx</x:v>
      </x:c>
      <x:c r="B1004" s="53" t="str">
        <x:v>اسناد و شواهد</x:v>
      </x:c>
      <x:c r="C1004" s="53" t="str">
        <x:v>E30</x:v>
      </x:c>
      <x:c r="D1004" s="53" t="str">
        <x:v>6f49e9daa289994ee9c5668ca7835c80fae756e783c6ea3b34f87e867ec5373e</x:v>
      </x:c>
      <x:c r="E1004" s="53"/>
    </x:row>
    <x:row r="1005" ht="15" hidden="0" customHeight="1">
      <x:c r="A1005" s="53" t="str">
        <x:v>Anjoman accounting - refined.xlsx</x:v>
      </x:c>
      <x:c r="B1005" s="53" t="str">
        <x:v>اسناد و شواهد</x:v>
      </x:c>
      <x:c r="C1005" s="53" t="str">
        <x:v>A31</x:v>
      </x:c>
      <x:c r="D1005" s="53" t="str">
        <x:v>E-0028</x:v>
      </x:c>
      <x:c r="E1005" s="53"/>
    </x:row>
    <x:row r="1006" ht="15" hidden="0" customHeight="1">
      <x:c r="A1006" s="53" t="str">
        <x:v>Anjoman accounting - refined.xlsx</x:v>
      </x:c>
      <x:c r="B1006" s="53" t="str">
        <x:v>اسناد و شواهد</x:v>
      </x:c>
      <x:c r="C1006" s="53" t="str">
        <x:v>B31</x:v>
      </x:c>
      <x:c r="D1006" s="53" t="str">
        <x:v>telegram export\files\report_Mathematica.txt</x:v>
      </x:c>
      <x:c r="E1006" s="53"/>
    </x:row>
    <x:row r="1007" ht="15" hidden="0" customHeight="1">
      <x:c r="A1007" s="53" t="str">
        <x:v>Anjoman accounting - refined.xlsx</x:v>
      </x:c>
      <x:c r="B1007" s="53" t="str">
        <x:v>اسناد و شواهد</x:v>
      </x:c>
      <x:c r="C1007" s="53" t="str">
        <x:v>C31</x:v>
      </x:c>
      <x:c r="D1007" s="53" t="str">
        <x:v>txt</x:v>
      </x:c>
      <x:c r="E1007" s="53"/>
    </x:row>
    <x:row r="1008" ht="15" hidden="0" customHeight="1">
      <x:c r="A1008" s="53" t="str">
        <x:v>Anjoman accounting - refined.xlsx</x:v>
      </x:c>
      <x:c r="B1008" s="53" t="str">
        <x:v>اسناد و شواهد</x:v>
      </x:c>
      <x:c r="C1008" s="53" t="str">
        <x:v>D31</x:v>
      </x:c>
      <x:c r="D1008" s="53" t="str">
        <x:v>5794</x:v>
      </x:c>
      <x:c r="E1008" s="53"/>
    </x:row>
    <x:row r="1009" ht="15" hidden="0" customHeight="1">
      <x:c r="A1009" s="53" t="str">
        <x:v>Anjoman accounting - refined.xlsx</x:v>
      </x:c>
      <x:c r="B1009" s="53" t="str">
        <x:v>اسناد و شواهد</x:v>
      </x:c>
      <x:c r="C1009" s="53" t="str">
        <x:v>E31</x:v>
      </x:c>
      <x:c r="D1009" s="53" t="str">
        <x:v>d46de755d6b2fac8a5ee3f3d7ac8dbf6f95fe35527a0d65031da933e6181b1ee</x:v>
      </x:c>
      <x:c r="E1009" s="53"/>
    </x:row>
    <x:row r="1010" ht="15" hidden="0" customHeight="1">
      <x:c r="A1010" s="53" t="str">
        <x:v>Anjoman accounting - refined.xlsx</x:v>
      </x:c>
      <x:c r="B1010" s="53" t="str">
        <x:v>اسناد و شواهد</x:v>
      </x:c>
      <x:c r="C1010" s="53" t="str">
        <x:v>A32</x:v>
      </x:c>
      <x:c r="D1010" s="53" t="str">
        <x:v>E-0029</x:v>
      </x:c>
      <x:c r="E1010" s="53"/>
    </x:row>
    <x:row r="1011" ht="15" hidden="0" customHeight="1">
      <x:c r="A1011" s="53" t="str">
        <x:v>Anjoman accounting - refined.xlsx</x:v>
      </x:c>
      <x:c r="B1011" s="53" t="str">
        <x:v>اسناد و شواهد</x:v>
      </x:c>
      <x:c r="C1011" s="53" t="str">
        <x:v>B32</x:v>
      </x:c>
      <x:c r="D1011" s="53" t="str">
        <x:v>telegram export\files\report_Python.txt</x:v>
      </x:c>
      <x:c r="E1011" s="53"/>
    </x:row>
    <x:row r="1012" ht="15" hidden="0" customHeight="1">
      <x:c r="A1012" s="53" t="str">
        <x:v>Anjoman accounting - refined.xlsx</x:v>
      </x:c>
      <x:c r="B1012" s="53" t="str">
        <x:v>اسناد و شواهد</x:v>
      </x:c>
      <x:c r="C1012" s="53" t="str">
        <x:v>C32</x:v>
      </x:c>
      <x:c r="D1012" s="53" t="str">
        <x:v>txt</x:v>
      </x:c>
      <x:c r="E1012" s="53"/>
    </x:row>
    <x:row r="1013" ht="15" hidden="0" customHeight="1">
      <x:c r="A1013" s="53" t="str">
        <x:v>Anjoman accounting - refined.xlsx</x:v>
      </x:c>
      <x:c r="B1013" s="53" t="str">
        <x:v>اسناد و شواهد</x:v>
      </x:c>
      <x:c r="C1013" s="53" t="str">
        <x:v>D32</x:v>
      </x:c>
      <x:c r="D1013" s="53" t="str">
        <x:v>6376</x:v>
      </x:c>
      <x:c r="E1013" s="53"/>
    </x:row>
    <x:row r="1014" ht="15" hidden="0" customHeight="1">
      <x:c r="A1014" s="53" t="str">
        <x:v>Anjoman accounting - refined.xlsx</x:v>
      </x:c>
      <x:c r="B1014" s="53" t="str">
        <x:v>اسناد و شواهد</x:v>
      </x:c>
      <x:c r="C1014" s="53" t="str">
        <x:v>E32</x:v>
      </x:c>
      <x:c r="D1014" s="53" t="str">
        <x:v>17ae48dee33027148ec54f2d842e17ac16032522c356342f796949ec3f3e24d4</x:v>
      </x:c>
      <x:c r="E1014" s="53"/>
    </x:row>
    <x:row r="1015" ht="15" hidden="0" customHeight="1">
      <x:c r="A1015" s="53" t="str">
        <x:v>Anjoman accounting - refined.xlsx</x:v>
      </x:c>
      <x:c r="B1015" s="53" t="str">
        <x:v>اسناد و شواهد</x:v>
      </x:c>
      <x:c r="C1015" s="53" t="str">
        <x:v>A33</x:v>
      </x:c>
      <x:c r="D1015" s="53" t="str">
        <x:v>E-0030</x:v>
      </x:c>
      <x:c r="E1015" s="53"/>
    </x:row>
    <x:row r="1016" ht="15" hidden="0" customHeight="1">
      <x:c r="A1016" s="53" t="str">
        <x:v>Anjoman accounting - refined.xlsx</x:v>
      </x:c>
      <x:c r="B1016" s="53" t="str">
        <x:v>اسناد و شواهد</x:v>
      </x:c>
      <x:c r="C1016" s="53" t="str">
        <x:v>B33</x:v>
      </x:c>
      <x:c r="D1016" s="53" t="str">
        <x:v>telegram export\images\back.png</x:v>
      </x:c>
      <x:c r="E1016" s="53"/>
    </x:row>
    <x:row r="1017" ht="15" hidden="0" customHeight="1">
      <x:c r="A1017" s="53" t="str">
        <x:v>Anjoman accounting - refined.xlsx</x:v>
      </x:c>
      <x:c r="B1017" s="53" t="str">
        <x:v>اسناد و شواهد</x:v>
      </x:c>
      <x:c r="C1017" s="53" t="str">
        <x:v>C33</x:v>
      </x:c>
      <x:c r="D1017" s="53" t="str">
        <x:v>png</x:v>
      </x:c>
      <x:c r="E1017" s="53"/>
    </x:row>
    <x:row r="1018" ht="15" hidden="0" customHeight="1">
      <x:c r="A1018" s="53" t="str">
        <x:v>Anjoman accounting - refined.xlsx</x:v>
      </x:c>
      <x:c r="B1018" s="53" t="str">
        <x:v>اسناد و شواهد</x:v>
      </x:c>
      <x:c r="C1018" s="53" t="str">
        <x:v>D33</x:v>
      </x:c>
      <x:c r="D1018" s="53" t="str">
        <x:v>312</x:v>
      </x:c>
      <x:c r="E1018" s="53"/>
    </x:row>
    <x:row r="1019" ht="15" hidden="0" customHeight="1">
      <x:c r="A1019" s="53" t="str">
        <x:v>Anjoman accounting - refined.xlsx</x:v>
      </x:c>
      <x:c r="B1019" s="53" t="str">
        <x:v>اسناد و شواهد</x:v>
      </x:c>
      <x:c r="C1019" s="53" t="str">
        <x:v>E33</x:v>
      </x:c>
      <x:c r="D1019" s="53" t="str">
        <x:v>929933067c1d751fed025884b85804818342f7560dd9a36d3a058c36a04676eb</x:v>
      </x:c>
      <x:c r="E1019" s="53"/>
    </x:row>
    <x:row r="1020" ht="15" hidden="0" customHeight="1">
      <x:c r="A1020" s="53" t="str">
        <x:v>Anjoman accounting - refined.xlsx</x:v>
      </x:c>
      <x:c r="B1020" s="53" t="str">
        <x:v>اسناد و شواهد</x:v>
      </x:c>
      <x:c r="C1020" s="53" t="str">
        <x:v>A34</x:v>
      </x:c>
      <x:c r="D1020" s="53" t="str">
        <x:v>E-0031</x:v>
      </x:c>
      <x:c r="E1020" s="53"/>
    </x:row>
    <x:row r="1021" ht="15" hidden="0" customHeight="1">
      <x:c r="A1021" s="53" t="str">
        <x:v>Anjoman accounting - refined.xlsx</x:v>
      </x:c>
      <x:c r="B1021" s="53" t="str">
        <x:v>اسناد و شواهد</x:v>
      </x:c>
      <x:c r="C1021" s="53" t="str">
        <x:v>B34</x:v>
      </x:c>
      <x:c r="D1021" s="53" t="str">
        <x:v>telegram export\images\back@2x.png</x:v>
      </x:c>
      <x:c r="E1021" s="53"/>
    </x:row>
    <x:row r="1022" ht="15" hidden="0" customHeight="1">
      <x:c r="A1022" s="53" t="str">
        <x:v>Anjoman accounting - refined.xlsx</x:v>
      </x:c>
      <x:c r="B1022" s="53" t="str">
        <x:v>اسناد و شواهد</x:v>
      </x:c>
      <x:c r="C1022" s="53" t="str">
        <x:v>C34</x:v>
      </x:c>
      <x:c r="D1022" s="53" t="str">
        <x:v>png</x:v>
      </x:c>
      <x:c r="E1022" s="53"/>
    </x:row>
    <x:row r="1023" ht="15" hidden="0" customHeight="1">
      <x:c r="A1023" s="53" t="str">
        <x:v>Anjoman accounting - refined.xlsx</x:v>
      </x:c>
      <x:c r="B1023" s="53" t="str">
        <x:v>اسناد و شواهد</x:v>
      </x:c>
      <x:c r="C1023" s="53" t="str">
        <x:v>D34</x:v>
      </x:c>
      <x:c r="D1023" s="53" t="str">
        <x:v>518</x:v>
      </x:c>
      <x:c r="E1023" s="53"/>
    </x:row>
    <x:row r="1024" ht="15" hidden="0" customHeight="1">
      <x:c r="A1024" s="53" t="str">
        <x:v>Anjoman accounting - refined.xlsx</x:v>
      </x:c>
      <x:c r="B1024" s="53" t="str">
        <x:v>اسناد و شواهد</x:v>
      </x:c>
      <x:c r="C1024" s="53" t="str">
        <x:v>E34</x:v>
      </x:c>
      <x:c r="D1024" s="53" t="str">
        <x:v>961cfe303deab8f2939257d1b2bb7d0ec14e4f32c3b6a4a673a9fc55ad0053bb</x:v>
      </x:c>
      <x:c r="E1024" s="53"/>
    </x:row>
    <x:row r="1025" ht="15" hidden="0" customHeight="1">
      <x:c r="A1025" s="53" t="str">
        <x:v>Anjoman accounting - refined.xlsx</x:v>
      </x:c>
      <x:c r="B1025" s="53" t="str">
        <x:v>اسناد و شواهد</x:v>
      </x:c>
      <x:c r="C1025" s="53" t="str">
        <x:v>A35</x:v>
      </x:c>
      <x:c r="D1025" s="53" t="str">
        <x:v>E-0032</x:v>
      </x:c>
      <x:c r="E1025" s="53"/>
    </x:row>
    <x:row r="1026" ht="15" hidden="0" customHeight="1">
      <x:c r="A1026" s="53" t="str">
        <x:v>Anjoman accounting - refined.xlsx</x:v>
      </x:c>
      <x:c r="B1026" s="53" t="str">
        <x:v>اسناد و شواهد</x:v>
      </x:c>
      <x:c r="C1026" s="53" t="str">
        <x:v>B35</x:v>
      </x:c>
      <x:c r="D1026" s="53" t="str">
        <x:v>telegram export\images\media_call.png</x:v>
      </x:c>
      <x:c r="E1026" s="53"/>
    </x:row>
    <x:row r="1027" ht="15" hidden="0" customHeight="1">
      <x:c r="A1027" s="53" t="str">
        <x:v>Anjoman accounting - refined.xlsx</x:v>
      </x:c>
      <x:c r="B1027" s="53" t="str">
        <x:v>اسناد و شواهد</x:v>
      </x:c>
      <x:c r="C1027" s="53" t="str">
        <x:v>C35</x:v>
      </x:c>
      <x:c r="D1027" s="53" t="str">
        <x:v>png</x:v>
      </x:c>
      <x:c r="E1027" s="53"/>
    </x:row>
    <x:row r="1028" ht="15" hidden="0" customHeight="1">
      <x:c r="A1028" s="53" t="str">
        <x:v>Anjoman accounting - refined.xlsx</x:v>
      </x:c>
      <x:c r="B1028" s="53" t="str">
        <x:v>اسناد و شواهد</x:v>
      </x:c>
      <x:c r="C1028" s="53" t="str">
        <x:v>D35</x:v>
      </x:c>
      <x:c r="D1028" s="53" t="str">
        <x:v>417</x:v>
      </x:c>
      <x:c r="E1028" s="53"/>
    </x:row>
    <x:row r="1029" ht="15" hidden="0" customHeight="1">
      <x:c r="A1029" s="53" t="str">
        <x:v>Anjoman accounting - refined.xlsx</x:v>
      </x:c>
      <x:c r="B1029" s="53" t="str">
        <x:v>اسناد و شواهد</x:v>
      </x:c>
      <x:c r="C1029" s="53" t="str">
        <x:v>E35</x:v>
      </x:c>
      <x:c r="D1029" s="53" t="str">
        <x:v>83014bb735c810fef0c0bfb6e9dad93e5575a06db20ea0e22e45ab810868a478</x:v>
      </x:c>
      <x:c r="E1029" s="53"/>
    </x:row>
    <x:row r="1030" ht="15" hidden="0" customHeight="1">
      <x:c r="A1030" s="53" t="str">
        <x:v>Anjoman accounting - refined.xlsx</x:v>
      </x:c>
      <x:c r="B1030" s="53" t="str">
        <x:v>اسناد و شواهد</x:v>
      </x:c>
      <x:c r="C1030" s="53" t="str">
        <x:v>A36</x:v>
      </x:c>
      <x:c r="D1030" s="53" t="str">
        <x:v>E-0033</x:v>
      </x:c>
      <x:c r="E1030" s="53"/>
    </x:row>
    <x:row r="1031" ht="15" hidden="0" customHeight="1">
      <x:c r="A1031" s="53" t="str">
        <x:v>Anjoman accounting - refined.xlsx</x:v>
      </x:c>
      <x:c r="B1031" s="53" t="str">
        <x:v>اسناد و شواهد</x:v>
      </x:c>
      <x:c r="C1031" s="53" t="str">
        <x:v>B36</x:v>
      </x:c>
      <x:c r="D1031" s="53" t="str">
        <x:v>telegram export\images\media_call@2x.png</x:v>
      </x:c>
      <x:c r="E1031" s="53"/>
    </x:row>
    <x:row r="1032" ht="15" hidden="0" customHeight="1">
      <x:c r="A1032" s="53" t="str">
        <x:v>Anjoman accounting - refined.xlsx</x:v>
      </x:c>
      <x:c r="B1032" s="53" t="str">
        <x:v>اسناد و شواهد</x:v>
      </x:c>
      <x:c r="C1032" s="53" t="str">
        <x:v>C36</x:v>
      </x:c>
      <x:c r="D1032" s="53" t="str">
        <x:v>png</x:v>
      </x:c>
      <x:c r="E1032" s="53"/>
    </x:row>
    <x:row r="1033" ht="15" hidden="0" customHeight="1">
      <x:c r="A1033" s="53" t="str">
        <x:v>Anjoman accounting - refined.xlsx</x:v>
      </x:c>
      <x:c r="B1033" s="53" t="str">
        <x:v>اسناد و شواهد</x:v>
      </x:c>
      <x:c r="C1033" s="53" t="str">
        <x:v>D36</x:v>
      </x:c>
      <x:c r="D1033" s="53" t="str">
        <x:v>815</x:v>
      </x:c>
      <x:c r="E1033" s="53"/>
    </x:row>
    <x:row r="1034" ht="15" hidden="0" customHeight="1">
      <x:c r="A1034" s="53" t="str">
        <x:v>Anjoman accounting - refined.xlsx</x:v>
      </x:c>
      <x:c r="B1034" s="53" t="str">
        <x:v>اسناد و شواهد</x:v>
      </x:c>
      <x:c r="C1034" s="53" t="str">
        <x:v>E36</x:v>
      </x:c>
      <x:c r="D1034" s="53" t="str">
        <x:v>6f23d3955f028037ac038d21adbec952537b1c7a4862dcc9478615d2977147b5</x:v>
      </x:c>
      <x:c r="E1034" s="53"/>
    </x:row>
    <x:row r="1035" ht="15" hidden="0" customHeight="1">
      <x:c r="A1035" s="53" t="str">
        <x:v>Anjoman accounting - refined.xlsx</x:v>
      </x:c>
      <x:c r="B1035" s="53" t="str">
        <x:v>اسناد و شواهد</x:v>
      </x:c>
      <x:c r="C1035" s="53" t="str">
        <x:v>A37</x:v>
      </x:c>
      <x:c r="D1035" s="53" t="str">
        <x:v>E-0034</x:v>
      </x:c>
      <x:c r="E1035" s="53"/>
    </x:row>
    <x:row r="1036" ht="15" hidden="0" customHeight="1">
      <x:c r="A1036" s="53" t="str">
        <x:v>Anjoman accounting - refined.xlsx</x:v>
      </x:c>
      <x:c r="B1036" s="53" t="str">
        <x:v>اسناد و شواهد</x:v>
      </x:c>
      <x:c r="C1036" s="53" t="str">
        <x:v>B37</x:v>
      </x:c>
      <x:c r="D1036" s="53" t="str">
        <x:v>telegram export\images\media_contact.png</x:v>
      </x:c>
      <x:c r="E1036" s="53"/>
    </x:row>
    <x:row r="1037" ht="15" hidden="0" customHeight="1">
      <x:c r="A1037" s="53" t="str">
        <x:v>Anjoman accounting - refined.xlsx</x:v>
      </x:c>
      <x:c r="B1037" s="53" t="str">
        <x:v>اسناد و شواهد</x:v>
      </x:c>
      <x:c r="C1037" s="53" t="str">
        <x:v>C37</x:v>
      </x:c>
      <x:c r="D1037" s="53" t="str">
        <x:v>png</x:v>
      </x:c>
      <x:c r="E1037" s="53"/>
    </x:row>
    <x:row r="1038" ht="15" hidden="0" customHeight="1">
      <x:c r="A1038" s="53" t="str">
        <x:v>Anjoman accounting - refined.xlsx</x:v>
      </x:c>
      <x:c r="B1038" s="53" t="str">
        <x:v>اسناد و شواهد</x:v>
      </x:c>
      <x:c r="C1038" s="53" t="str">
        <x:v>D37</x:v>
      </x:c>
      <x:c r="D1038" s="53" t="str">
        <x:v>323</x:v>
      </x:c>
      <x:c r="E1038" s="53"/>
    </x:row>
    <x:row r="1039" ht="15" hidden="0" customHeight="1">
      <x:c r="A1039" s="53" t="str">
        <x:v>Anjoman accounting - refined.xlsx</x:v>
      </x:c>
      <x:c r="B1039" s="53" t="str">
        <x:v>اسناد و شواهد</x:v>
      </x:c>
      <x:c r="C1039" s="53" t="str">
        <x:v>E37</x:v>
      </x:c>
      <x:c r="D1039" s="53" t="str">
        <x:v>37462001aa3f02db4821532e4a62bdf5747987f9d0c479d3fddc7dc1e8e0c6a7</x:v>
      </x:c>
      <x:c r="E1039" s="53"/>
    </x:row>
    <x:row r="1040" ht="15" hidden="0" customHeight="1">
      <x:c r="A1040" s="53" t="str">
        <x:v>Anjoman accounting - refined.xlsx</x:v>
      </x:c>
      <x:c r="B1040" s="53" t="str">
        <x:v>اسناد و شواهد</x:v>
      </x:c>
      <x:c r="C1040" s="53" t="str">
        <x:v>A38</x:v>
      </x:c>
      <x:c r="D1040" s="53" t="str">
        <x:v>E-0035</x:v>
      </x:c>
      <x:c r="E1040" s="53"/>
    </x:row>
    <x:row r="1041" ht="15" hidden="0" customHeight="1">
      <x:c r="A1041" s="53" t="str">
        <x:v>Anjoman accounting - refined.xlsx</x:v>
      </x:c>
      <x:c r="B1041" s="53" t="str">
        <x:v>اسناد و شواهد</x:v>
      </x:c>
      <x:c r="C1041" s="53" t="str">
        <x:v>B38</x:v>
      </x:c>
      <x:c r="D1041" s="53" t="str">
        <x:v>telegram export\images\media_contact@2x.png</x:v>
      </x:c>
      <x:c r="E1041" s="53"/>
    </x:row>
    <x:row r="1042" ht="15" hidden="0" customHeight="1">
      <x:c r="A1042" s="53" t="str">
        <x:v>Anjoman accounting - refined.xlsx</x:v>
      </x:c>
      <x:c r="B1042" s="53" t="str">
        <x:v>اسناد و شواهد</x:v>
      </x:c>
      <x:c r="C1042" s="53" t="str">
        <x:v>C38</x:v>
      </x:c>
      <x:c r="D1042" s="53" t="str">
        <x:v>png</x:v>
      </x:c>
      <x:c r="E1042" s="53"/>
    </x:row>
    <x:row r="1043" ht="15" hidden="0" customHeight="1">
      <x:c r="A1043" s="53" t="str">
        <x:v>Anjoman accounting - refined.xlsx</x:v>
      </x:c>
      <x:c r="B1043" s="53" t="str">
        <x:v>اسناد و شواهد</x:v>
      </x:c>
      <x:c r="C1043" s="53" t="str">
        <x:v>D38</x:v>
      </x:c>
      <x:c r="D1043" s="53" t="str">
        <x:v>600</x:v>
      </x:c>
      <x:c r="E1043" s="53"/>
    </x:row>
    <x:row r="1044" ht="15" hidden="0" customHeight="1">
      <x:c r="A1044" s="53" t="str">
        <x:v>Anjoman accounting - refined.xlsx</x:v>
      </x:c>
      <x:c r="B1044" s="53" t="str">
        <x:v>اسناد و شواهد</x:v>
      </x:c>
      <x:c r="C1044" s="53" t="str">
        <x:v>E38</x:v>
      </x:c>
      <x:c r="D1044" s="53" t="str">
        <x:v>ece7f7e5485a4b2bcf50ed758ec9748501b231b7558078d15c3e1f69b55d0cba</x:v>
      </x:c>
      <x:c r="E1044" s="53"/>
    </x:row>
    <x:row r="1045" ht="15" hidden="0" customHeight="1">
      <x:c r="A1045" s="53" t="str">
        <x:v>Anjoman accounting - refined.xlsx</x:v>
      </x:c>
      <x:c r="B1045" s="53" t="str">
        <x:v>اسناد و شواهد</x:v>
      </x:c>
      <x:c r="C1045" s="53" t="str">
        <x:v>A39</x:v>
      </x:c>
      <x:c r="D1045" s="53" t="str">
        <x:v>E-0036</x:v>
      </x:c>
      <x:c r="E1045" s="53"/>
    </x:row>
    <x:row r="1046" ht="15" hidden="0" customHeight="1">
      <x:c r="A1046" s="53" t="str">
        <x:v>Anjoman accounting - refined.xlsx</x:v>
      </x:c>
      <x:c r="B1046" s="53" t="str">
        <x:v>اسناد و شواهد</x:v>
      </x:c>
      <x:c r="C1046" s="53" t="str">
        <x:v>B39</x:v>
      </x:c>
      <x:c r="D1046" s="53" t="str">
        <x:v>telegram export\images\media_file.png</x:v>
      </x:c>
      <x:c r="E1046" s="53"/>
    </x:row>
    <x:row r="1047" ht="15" hidden="0" customHeight="1">
      <x:c r="A1047" s="53" t="str">
        <x:v>Anjoman accounting - refined.xlsx</x:v>
      </x:c>
      <x:c r="B1047" s="53" t="str">
        <x:v>اسناد و شواهد</x:v>
      </x:c>
      <x:c r="C1047" s="53" t="str">
        <x:v>C39</x:v>
      </x:c>
      <x:c r="D1047" s="53" t="str">
        <x:v>png</x:v>
      </x:c>
      <x:c r="E1047" s="53"/>
    </x:row>
    <x:row r="1048" ht="15" hidden="0" customHeight="1">
      <x:c r="A1048" s="53" t="str">
        <x:v>Anjoman accounting - refined.xlsx</x:v>
      </x:c>
      <x:c r="B1048" s="53" t="str">
        <x:v>اسناد و شواهد</x:v>
      </x:c>
      <x:c r="C1048" s="53" t="str">
        <x:v>D39</x:v>
      </x:c>
      <x:c r="D1048" s="53" t="str">
        <x:v>236</x:v>
      </x:c>
      <x:c r="E1048" s="53"/>
    </x:row>
    <x:row r="1049" ht="15" hidden="0" customHeight="1">
      <x:c r="A1049" s="53" t="str">
        <x:v>Anjoman accounting - refined.xlsx</x:v>
      </x:c>
      <x:c r="B1049" s="53" t="str">
        <x:v>اسناد و شواهد</x:v>
      </x:c>
      <x:c r="C1049" s="53" t="str">
        <x:v>E39</x:v>
      </x:c>
      <x:c r="D1049" s="53" t="str">
        <x:v>da791938383c24ccc7ac7bba638470e53753df256609e1bfa5c3c7bb4e241f6b</x:v>
      </x:c>
      <x:c r="E1049" s="53"/>
    </x:row>
    <x:row r="1050" ht="15" hidden="0" customHeight="1">
      <x:c r="A1050" s="53" t="str">
        <x:v>Anjoman accounting - refined.xlsx</x:v>
      </x:c>
      <x:c r="B1050" s="53" t="str">
        <x:v>اسناد و شواهد</x:v>
      </x:c>
      <x:c r="C1050" s="53" t="str">
        <x:v>A40</x:v>
      </x:c>
      <x:c r="D1050" s="53" t="str">
        <x:v>E-0037</x:v>
      </x:c>
      <x:c r="E1050" s="53"/>
    </x:row>
    <x:row r="1051" ht="15" hidden="0" customHeight="1">
      <x:c r="A1051" s="53" t="str">
        <x:v>Anjoman accounting - refined.xlsx</x:v>
      </x:c>
      <x:c r="B1051" s="53" t="str">
        <x:v>اسناد و شواهد</x:v>
      </x:c>
      <x:c r="C1051" s="53" t="str">
        <x:v>B40</x:v>
      </x:c>
      <x:c r="D1051" s="53" t="str">
        <x:v>telegram export\images\media_file@2x.png</x:v>
      </x:c>
      <x:c r="E1051" s="53"/>
    </x:row>
    <x:row r="1052" ht="15" hidden="0" customHeight="1">
      <x:c r="A1052" s="53" t="str">
        <x:v>Anjoman accounting - refined.xlsx</x:v>
      </x:c>
      <x:c r="B1052" s="53" t="str">
        <x:v>اسناد و شواهد</x:v>
      </x:c>
      <x:c r="C1052" s="53" t="str">
        <x:v>C40</x:v>
      </x:c>
      <x:c r="D1052" s="53" t="str">
        <x:v>png</x:v>
      </x:c>
      <x:c r="E1052" s="53"/>
    </x:row>
    <x:row r="1053" ht="15" hidden="0" customHeight="1">
      <x:c r="A1053" s="53" t="str">
        <x:v>Anjoman accounting - refined.xlsx</x:v>
      </x:c>
      <x:c r="B1053" s="53" t="str">
        <x:v>اسناد و شواهد</x:v>
      </x:c>
      <x:c r="C1053" s="53" t="str">
        <x:v>D40</x:v>
      </x:c>
      <x:c r="D1053" s="53" t="str">
        <x:v>408</x:v>
      </x:c>
      <x:c r="E1053" s="53"/>
    </x:row>
    <x:row r="1054" ht="15" hidden="0" customHeight="1">
      <x:c r="A1054" s="53" t="str">
        <x:v>Anjoman accounting - refined.xlsx</x:v>
      </x:c>
      <x:c r="B1054" s="53" t="str">
        <x:v>اسناد و شواهد</x:v>
      </x:c>
      <x:c r="C1054" s="53" t="str">
        <x:v>E40</x:v>
      </x:c>
      <x:c r="D1054" s="53" t="str">
        <x:v>2fc5b871d9e40d8dfbd2eacc27300c98bd7f3205d57b1b4cb59b86e6a176087e</x:v>
      </x:c>
      <x:c r="E1054" s="53"/>
    </x:row>
    <x:row r="1055" ht="15" hidden="0" customHeight="1">
      <x:c r="A1055" s="53" t="str">
        <x:v>Anjoman accounting - refined.xlsx</x:v>
      </x:c>
      <x:c r="B1055" s="53" t="str">
        <x:v>اسناد و شواهد</x:v>
      </x:c>
      <x:c r="C1055" s="53" t="str">
        <x:v>A41</x:v>
      </x:c>
      <x:c r="D1055" s="53" t="str">
        <x:v>E-0038</x:v>
      </x:c>
      <x:c r="E1055" s="53"/>
    </x:row>
    <x:row r="1056" ht="15" hidden="0" customHeight="1">
      <x:c r="A1056" s="53" t="str">
        <x:v>Anjoman accounting - refined.xlsx</x:v>
      </x:c>
      <x:c r="B1056" s="53" t="str">
        <x:v>اسناد و شواهد</x:v>
      </x:c>
      <x:c r="C1056" s="53" t="str">
        <x:v>B41</x:v>
      </x:c>
      <x:c r="D1056" s="53" t="str">
        <x:v>telegram export\images\media_game.png</x:v>
      </x:c>
      <x:c r="E1056" s="53"/>
    </x:row>
    <x:row r="1057" ht="15" hidden="0" customHeight="1">
      <x:c r="A1057" s="53" t="str">
        <x:v>Anjoman accounting - refined.xlsx</x:v>
      </x:c>
      <x:c r="B1057" s="53" t="str">
        <x:v>اسناد و شواهد</x:v>
      </x:c>
      <x:c r="C1057" s="53" t="str">
        <x:v>C41</x:v>
      </x:c>
      <x:c r="D1057" s="53" t="str">
        <x:v>png</x:v>
      </x:c>
      <x:c r="E1057" s="53"/>
    </x:row>
    <x:row r="1058" ht="15" hidden="0" customHeight="1">
      <x:c r="A1058" s="53" t="str">
        <x:v>Anjoman accounting - refined.xlsx</x:v>
      </x:c>
      <x:c r="B1058" s="53" t="str">
        <x:v>اسناد و شواهد</x:v>
      </x:c>
      <x:c r="C1058" s="53" t="str">
        <x:v>D41</x:v>
      </x:c>
      <x:c r="D1058" s="53" t="str">
        <x:v>271</x:v>
      </x:c>
      <x:c r="E1058" s="53"/>
    </x:row>
    <x:row r="1059" ht="15" hidden="0" customHeight="1">
      <x:c r="A1059" s="53" t="str">
        <x:v>Anjoman accounting - refined.xlsx</x:v>
      </x:c>
      <x:c r="B1059" s="53" t="str">
        <x:v>اسناد و شواهد</x:v>
      </x:c>
      <x:c r="C1059" s="53" t="str">
        <x:v>E41</x:v>
      </x:c>
      <x:c r="D1059" s="53" t="str">
        <x:v>36354c347f0cad06dae45bc6451ea875714bcf33f7b3175394d16a64faa225c7</x:v>
      </x:c>
      <x:c r="E1059" s="53"/>
    </x:row>
    <x:row r="1060" ht="15" hidden="0" customHeight="1">
      <x:c r="A1060" s="53" t="str">
        <x:v>Anjoman accounting - refined.xlsx</x:v>
      </x:c>
      <x:c r="B1060" s="53" t="str">
        <x:v>اسناد و شواهد</x:v>
      </x:c>
      <x:c r="C1060" s="53" t="str">
        <x:v>A42</x:v>
      </x:c>
      <x:c r="D1060" s="53" t="str">
        <x:v>E-0039</x:v>
      </x:c>
      <x:c r="E1060" s="53"/>
    </x:row>
    <x:row r="1061" ht="15" hidden="0" customHeight="1">
      <x:c r="A1061" s="53" t="str">
        <x:v>Anjoman accounting - refined.xlsx</x:v>
      </x:c>
      <x:c r="B1061" s="53" t="str">
        <x:v>اسناد و شواهد</x:v>
      </x:c>
      <x:c r="C1061" s="53" t="str">
        <x:v>B42</x:v>
      </x:c>
      <x:c r="D1061" s="53" t="str">
        <x:v>telegram export\images\media_game@2x.png</x:v>
      </x:c>
      <x:c r="E1061" s="53"/>
    </x:row>
    <x:row r="1062" ht="15" hidden="0" customHeight="1">
      <x:c r="A1062" s="53" t="str">
        <x:v>Anjoman accounting - refined.xlsx</x:v>
      </x:c>
      <x:c r="B1062" s="53" t="str">
        <x:v>اسناد و شواهد</x:v>
      </x:c>
      <x:c r="C1062" s="53" t="str">
        <x:v>C42</x:v>
      </x:c>
      <x:c r="D1062" s="53" t="str">
        <x:v>png</x:v>
      </x:c>
      <x:c r="E1062" s="53"/>
    </x:row>
    <x:row r="1063" ht="15" hidden="0" customHeight="1">
      <x:c r="A1063" s="53" t="str">
        <x:v>Anjoman accounting - refined.xlsx</x:v>
      </x:c>
      <x:c r="B1063" s="53" t="str">
        <x:v>اسناد و شواهد</x:v>
      </x:c>
      <x:c r="C1063" s="53" t="str">
        <x:v>D42</x:v>
      </x:c>
      <x:c r="D1063" s="53" t="str">
        <x:v>510</x:v>
      </x:c>
      <x:c r="E1063" s="53"/>
    </x:row>
    <x:row r="1064" ht="15" hidden="0" customHeight="1">
      <x:c r="A1064" s="53" t="str">
        <x:v>Anjoman accounting - refined.xlsx</x:v>
      </x:c>
      <x:c r="B1064" s="53" t="str">
        <x:v>اسناد و شواهد</x:v>
      </x:c>
      <x:c r="C1064" s="53" t="str">
        <x:v>E42</x:v>
      </x:c>
      <x:c r="D1064" s="53" t="str">
        <x:v>521b1874fd20c0c05619342d9fb11c0f24d9f7dbc6a6bbec28b5b09c17b8c12f</x:v>
      </x:c>
      <x:c r="E1064" s="53"/>
    </x:row>
    <x:row r="1065" ht="15" hidden="0" customHeight="1">
      <x:c r="A1065" s="53" t="str">
        <x:v>Anjoman accounting - refined.xlsx</x:v>
      </x:c>
      <x:c r="B1065" s="53" t="str">
        <x:v>اسناد و شواهد</x:v>
      </x:c>
      <x:c r="C1065" s="53" t="str">
        <x:v>A43</x:v>
      </x:c>
      <x:c r="D1065" s="53" t="str">
        <x:v>E-0040</x:v>
      </x:c>
      <x:c r="E1065" s="53"/>
    </x:row>
    <x:row r="1066" ht="15" hidden="0" customHeight="1">
      <x:c r="A1066" s="53" t="str">
        <x:v>Anjoman accounting - refined.xlsx</x:v>
      </x:c>
      <x:c r="B1066" s="53" t="str">
        <x:v>اسناد و شواهد</x:v>
      </x:c>
      <x:c r="C1066" s="53" t="str">
        <x:v>B43</x:v>
      </x:c>
      <x:c r="D1066" s="53" t="str">
        <x:v>telegram export\images\media_location.png</x:v>
      </x:c>
      <x:c r="E1066" s="53"/>
    </x:row>
    <x:row r="1067" ht="15" hidden="0" customHeight="1">
      <x:c r="A1067" s="53" t="str">
        <x:v>Anjoman accounting - refined.xlsx</x:v>
      </x:c>
      <x:c r="B1067" s="53" t="str">
        <x:v>اسناد و شواهد</x:v>
      </x:c>
      <x:c r="C1067" s="53" t="str">
        <x:v>C43</x:v>
      </x:c>
      <x:c r="D1067" s="53" t="str">
        <x:v>png</x:v>
      </x:c>
      <x:c r="E1067" s="53"/>
    </x:row>
    <x:row r="1068" ht="15" hidden="0" customHeight="1">
      <x:c r="A1068" s="53" t="str">
        <x:v>Anjoman accounting - refined.xlsx</x:v>
      </x:c>
      <x:c r="B1068" s="53" t="str">
        <x:v>اسناد و شواهد</x:v>
      </x:c>
      <x:c r="C1068" s="53" t="str">
        <x:v>D43</x:v>
      </x:c>
      <x:c r="D1068" s="53" t="str">
        <x:v>480</x:v>
      </x:c>
      <x:c r="E1068" s="53"/>
    </x:row>
    <x:row r="1069" ht="15" hidden="0" customHeight="1">
      <x:c r="A1069" s="53" t="str">
        <x:v>Anjoman accounting - refined.xlsx</x:v>
      </x:c>
      <x:c r="B1069" s="53" t="str">
        <x:v>اسناد و شواهد</x:v>
      </x:c>
      <x:c r="C1069" s="53" t="str">
        <x:v>E43</x:v>
      </x:c>
      <x:c r="D1069" s="53" t="str">
        <x:v>17ac2dfdbb87f3b53010eaad731bbdf8a619eabd6df87e33e4c06df06959bdc5</x:v>
      </x:c>
      <x:c r="E1069" s="53"/>
    </x:row>
    <x:row r="1070" ht="15" hidden="0" customHeight="1">
      <x:c r="A1070" s="53" t="str">
        <x:v>Anjoman accounting - refined.xlsx</x:v>
      </x:c>
      <x:c r="B1070" s="53" t="str">
        <x:v>اسناد و شواهد</x:v>
      </x:c>
      <x:c r="C1070" s="53" t="str">
        <x:v>A44</x:v>
      </x:c>
      <x:c r="D1070" s="53" t="str">
        <x:v>E-0041</x:v>
      </x:c>
      <x:c r="E1070" s="53"/>
    </x:row>
    <x:row r="1071" ht="15" hidden="0" customHeight="1">
      <x:c r="A1071" s="53" t="str">
        <x:v>Anjoman accounting - refined.xlsx</x:v>
      </x:c>
      <x:c r="B1071" s="53" t="str">
        <x:v>اسناد و شواهد</x:v>
      </x:c>
      <x:c r="C1071" s="53" t="str">
        <x:v>B44</x:v>
      </x:c>
      <x:c r="D1071" s="53" t="str">
        <x:v>telegram export\images\media_location@2x.png</x:v>
      </x:c>
      <x:c r="E1071" s="53"/>
    </x:row>
    <x:row r="1072" ht="15" hidden="0" customHeight="1">
      <x:c r="A1072" s="53" t="str">
        <x:v>Anjoman accounting - refined.xlsx</x:v>
      </x:c>
      <x:c r="B1072" s="53" t="str">
        <x:v>اسناد و شواهد</x:v>
      </x:c>
      <x:c r="C1072" s="53" t="str">
        <x:v>C44</x:v>
      </x:c>
      <x:c r="D1072" s="53" t="str">
        <x:v>png</x:v>
      </x:c>
      <x:c r="E1072" s="53"/>
    </x:row>
    <x:row r="1073" ht="15" hidden="0" customHeight="1">
      <x:c r="A1073" s="53" t="str">
        <x:v>Anjoman accounting - refined.xlsx</x:v>
      </x:c>
      <x:c r="B1073" s="53" t="str">
        <x:v>اسناد و شواهد</x:v>
      </x:c>
      <x:c r="C1073" s="53" t="str">
        <x:v>D44</x:v>
      </x:c>
      <x:c r="D1073" s="53" t="str">
        <x:v>991</x:v>
      </x:c>
      <x:c r="E1073" s="53"/>
    </x:row>
    <x:row r="1074" ht="15" hidden="0" customHeight="1">
      <x:c r="A1074" s="53" t="str">
        <x:v>Anjoman accounting - refined.xlsx</x:v>
      </x:c>
      <x:c r="B1074" s="53" t="str">
        <x:v>اسناد و شواهد</x:v>
      </x:c>
      <x:c r="C1074" s="53" t="str">
        <x:v>E44</x:v>
      </x:c>
      <x:c r="D1074" s="53" t="str">
        <x:v>5d67983d47374ada4eb55697a8cc2abf93743b9f22866a6a6ba26f75f28b3582</x:v>
      </x:c>
      <x:c r="E1074" s="53"/>
    </x:row>
    <x:row r="1075" ht="15" hidden="0" customHeight="1">
      <x:c r="A1075" s="53" t="str">
        <x:v>Anjoman accounting - refined.xlsx</x:v>
      </x:c>
      <x:c r="B1075" s="53" t="str">
        <x:v>اسناد و شواهد</x:v>
      </x:c>
      <x:c r="C1075" s="53" t="str">
        <x:v>A45</x:v>
      </x:c>
      <x:c r="D1075" s="53" t="str">
        <x:v>E-0042</x:v>
      </x:c>
      <x:c r="E1075" s="53"/>
    </x:row>
    <x:row r="1076" ht="15" hidden="0" customHeight="1">
      <x:c r="A1076" s="53" t="str">
        <x:v>Anjoman accounting - refined.xlsx</x:v>
      </x:c>
      <x:c r="B1076" s="53" t="str">
        <x:v>اسناد و شواهد</x:v>
      </x:c>
      <x:c r="C1076" s="53" t="str">
        <x:v>B45</x:v>
      </x:c>
      <x:c r="D1076" s="53" t="str">
        <x:v>telegram export\images\media_music.png</x:v>
      </x:c>
      <x:c r="E1076" s="53"/>
    </x:row>
    <x:row r="1077" ht="15" hidden="0" customHeight="1">
      <x:c r="A1077" s="53" t="str">
        <x:v>Anjoman accounting - refined.xlsx</x:v>
      </x:c>
      <x:c r="B1077" s="53" t="str">
        <x:v>اسناد و شواهد</x:v>
      </x:c>
      <x:c r="C1077" s="53" t="str">
        <x:v>C45</x:v>
      </x:c>
      <x:c r="D1077" s="53" t="str">
        <x:v>png</x:v>
      </x:c>
      <x:c r="E1077" s="53"/>
    </x:row>
    <x:row r="1078" ht="15" hidden="0" customHeight="1">
      <x:c r="A1078" s="53" t="str">
        <x:v>Anjoman accounting - refined.xlsx</x:v>
      </x:c>
      <x:c r="B1078" s="53" t="str">
        <x:v>اسناد و شواهد</x:v>
      </x:c>
      <x:c r="C1078" s="53" t="str">
        <x:v>D45</x:v>
      </x:c>
      <x:c r="D1078" s="53" t="str">
        <x:v>275</x:v>
      </x:c>
      <x:c r="E1078" s="53"/>
    </x:row>
    <x:row r="1079" ht="15" hidden="0" customHeight="1">
      <x:c r="A1079" s="53" t="str">
        <x:v>Anjoman accounting - refined.xlsx</x:v>
      </x:c>
      <x:c r="B1079" s="53" t="str">
        <x:v>اسناد و شواهد</x:v>
      </x:c>
      <x:c r="C1079" s="53" t="str">
        <x:v>E45</x:v>
      </x:c>
      <x:c r="D1079" s="53" t="str">
        <x:v>6779336f0362a73da8b7ea33dce0e73fe83bce17597378445c117e07dd6020b3</x:v>
      </x:c>
      <x:c r="E1079" s="53"/>
    </x:row>
    <x:row r="1080" ht="15" hidden="0" customHeight="1">
      <x:c r="A1080" s="53" t="str">
        <x:v>Anjoman accounting - refined.xlsx</x:v>
      </x:c>
      <x:c r="B1080" s="53" t="str">
        <x:v>اسناد و شواهد</x:v>
      </x:c>
      <x:c r="C1080" s="53" t="str">
        <x:v>A46</x:v>
      </x:c>
      <x:c r="D1080" s="53" t="str">
        <x:v>E-0043</x:v>
      </x:c>
      <x:c r="E1080" s="53"/>
    </x:row>
    <x:row r="1081" ht="15" hidden="0" customHeight="1">
      <x:c r="A1081" s="53" t="str">
        <x:v>Anjoman accounting - refined.xlsx</x:v>
      </x:c>
      <x:c r="B1081" s="53" t="str">
        <x:v>اسناد و شواهد</x:v>
      </x:c>
      <x:c r="C1081" s="53" t="str">
        <x:v>B46</x:v>
      </x:c>
      <x:c r="D1081" s="53" t="str">
        <x:v>telegram export\images\media_music@2x.png</x:v>
      </x:c>
      <x:c r="E1081" s="53"/>
    </x:row>
    <x:row r="1082" ht="15" hidden="0" customHeight="1">
      <x:c r="A1082" s="53" t="str">
        <x:v>Anjoman accounting - refined.xlsx</x:v>
      </x:c>
      <x:c r="B1082" s="53" t="str">
        <x:v>اسناد و شواهد</x:v>
      </x:c>
      <x:c r="C1082" s="53" t="str">
        <x:v>C46</x:v>
      </x:c>
      <x:c r="D1082" s="53" t="str">
        <x:v>png</x:v>
      </x:c>
      <x:c r="E1082" s="53"/>
    </x:row>
    <x:row r="1083" ht="15" hidden="0" customHeight="1">
      <x:c r="A1083" s="53" t="str">
        <x:v>Anjoman accounting - refined.xlsx</x:v>
      </x:c>
      <x:c r="B1083" s="53" t="str">
        <x:v>اسناد و شواهد</x:v>
      </x:c>
      <x:c r="C1083" s="53" t="str">
        <x:v>D46</x:v>
      </x:c>
      <x:c r="D1083" s="53" t="str">
        <x:v>464</x:v>
      </x:c>
      <x:c r="E1083" s="53"/>
    </x:row>
    <x:row r="1084" ht="15" hidden="0" customHeight="1">
      <x:c r="A1084" s="53" t="str">
        <x:v>Anjoman accounting - refined.xlsx</x:v>
      </x:c>
      <x:c r="B1084" s="53" t="str">
        <x:v>اسناد و شواهد</x:v>
      </x:c>
      <x:c r="C1084" s="53" t="str">
        <x:v>E46</x:v>
      </x:c>
      <x:c r="D1084" s="53" t="str">
        <x:v>f6b15ff44a9d49e72c1ca58ce297e514eb686a724c1792a13b877cc25647151a</x:v>
      </x:c>
      <x:c r="E1084" s="53"/>
    </x:row>
    <x:row r="1085" ht="15" hidden="0" customHeight="1">
      <x:c r="A1085" s="53" t="str">
        <x:v>Anjoman accounting - refined.xlsx</x:v>
      </x:c>
      <x:c r="B1085" s="53" t="str">
        <x:v>اسناد و شواهد</x:v>
      </x:c>
      <x:c r="C1085" s="53" t="str">
        <x:v>A47</x:v>
      </x:c>
      <x:c r="D1085" s="53" t="str">
        <x:v>E-0044</x:v>
      </x:c>
      <x:c r="E1085" s="53"/>
    </x:row>
    <x:row r="1086" ht="15" hidden="0" customHeight="1">
      <x:c r="A1086" s="53" t="str">
        <x:v>Anjoman accounting - refined.xlsx</x:v>
      </x:c>
      <x:c r="B1086" s="53" t="str">
        <x:v>اسناد و شواهد</x:v>
      </x:c>
      <x:c r="C1086" s="53" t="str">
        <x:v>B47</x:v>
      </x:c>
      <x:c r="D1086" s="53" t="str">
        <x:v>telegram export\images\media_photo.png</x:v>
      </x:c>
      <x:c r="E1086" s="53"/>
    </x:row>
    <x:row r="1087" ht="15" hidden="0" customHeight="1">
      <x:c r="A1087" s="53" t="str">
        <x:v>Anjoman accounting - refined.xlsx</x:v>
      </x:c>
      <x:c r="B1087" s="53" t="str">
        <x:v>اسناد و شواهد</x:v>
      </x:c>
      <x:c r="C1087" s="53" t="str">
        <x:v>C47</x:v>
      </x:c>
      <x:c r="D1087" s="53" t="str">
        <x:v>png</x:v>
      </x:c>
      <x:c r="E1087" s="53"/>
    </x:row>
    <x:row r="1088" ht="15" hidden="0" customHeight="1">
      <x:c r="A1088" s="53" t="str">
        <x:v>Anjoman accounting - refined.xlsx</x:v>
      </x:c>
      <x:c r="B1088" s="53" t="str">
        <x:v>اسناد و شواهد</x:v>
      </x:c>
      <x:c r="C1088" s="53" t="str">
        <x:v>D47</x:v>
      </x:c>
      <x:c r="D1088" s="53" t="str">
        <x:v>243</x:v>
      </x:c>
      <x:c r="E1088" s="53"/>
    </x:row>
    <x:row r="1089" ht="15" hidden="0" customHeight="1">
      <x:c r="A1089" s="53" t="str">
        <x:v>Anjoman accounting - refined.xlsx</x:v>
      </x:c>
      <x:c r="B1089" s="53" t="str">
        <x:v>اسناد و شواهد</x:v>
      </x:c>
      <x:c r="C1089" s="53" t="str">
        <x:v>E47</x:v>
      </x:c>
      <x:c r="D1089" s="53" t="str">
        <x:v>68c3ad119b7f075c74fb1297ed6f81309dba5262274c98cc99da9c3a2d2accff</x:v>
      </x:c>
      <x:c r="E1089" s="53"/>
    </x:row>
    <x:row r="1090" ht="15" hidden="0" customHeight="1">
      <x:c r="A1090" s="53" t="str">
        <x:v>Anjoman accounting - refined.xlsx</x:v>
      </x:c>
      <x:c r="B1090" s="53" t="str">
        <x:v>اسناد و شواهد</x:v>
      </x:c>
      <x:c r="C1090" s="53" t="str">
        <x:v>A48</x:v>
      </x:c>
      <x:c r="D1090" s="53" t="str">
        <x:v>E-0045</x:v>
      </x:c>
      <x:c r="E1090" s="53"/>
    </x:row>
    <x:row r="1091" ht="15" hidden="0" customHeight="1">
      <x:c r="A1091" s="53" t="str">
        <x:v>Anjoman accounting - refined.xlsx</x:v>
      </x:c>
      <x:c r="B1091" s="53" t="str">
        <x:v>اسناد و شواهد</x:v>
      </x:c>
      <x:c r="C1091" s="53" t="str">
        <x:v>B48</x:v>
      </x:c>
      <x:c r="D1091" s="53" t="str">
        <x:v>telegram export\images\media_photo@2x.png</x:v>
      </x:c>
      <x:c r="E1091" s="53"/>
    </x:row>
    <x:row r="1092" ht="15" hidden="0" customHeight="1">
      <x:c r="A1092" s="53" t="str">
        <x:v>Anjoman accounting - refined.xlsx</x:v>
      </x:c>
      <x:c r="B1092" s="53" t="str">
        <x:v>اسناد و شواهد</x:v>
      </x:c>
      <x:c r="C1092" s="53" t="str">
        <x:v>C48</x:v>
      </x:c>
      <x:c r="D1092" s="53" t="str">
        <x:v>png</x:v>
      </x:c>
      <x:c r="E1092" s="53"/>
    </x:row>
    <x:row r="1093" ht="15" hidden="0" customHeight="1">
      <x:c r="A1093" s="53" t="str">
        <x:v>Anjoman accounting - refined.xlsx</x:v>
      </x:c>
      <x:c r="B1093" s="53" t="str">
        <x:v>اسناد و شواهد</x:v>
      </x:c>
      <x:c r="C1093" s="53" t="str">
        <x:v>D48</x:v>
      </x:c>
      <x:c r="D1093" s="53" t="str">
        <x:v>458</x:v>
      </x:c>
      <x:c r="E1093" s="53"/>
    </x:row>
    <x:row r="1094" ht="15" hidden="0" customHeight="1">
      <x:c r="A1094" s="53" t="str">
        <x:v>Anjoman accounting - refined.xlsx</x:v>
      </x:c>
      <x:c r="B1094" s="53" t="str">
        <x:v>اسناد و شواهد</x:v>
      </x:c>
      <x:c r="C1094" s="53" t="str">
        <x:v>E48</x:v>
      </x:c>
      <x:c r="D1094" s="53" t="str">
        <x:v>a995f172ad5eea6fcd6d4357eec864cead122642eeef3aa86b01a9026085bdb5</x:v>
      </x:c>
      <x:c r="E1094" s="53"/>
    </x:row>
    <x:row r="1095" ht="15" hidden="0" customHeight="1">
      <x:c r="A1095" s="53" t="str">
        <x:v>Anjoman accounting - refined.xlsx</x:v>
      </x:c>
      <x:c r="B1095" s="53" t="str">
        <x:v>اسناد و شواهد</x:v>
      </x:c>
      <x:c r="C1095" s="53" t="str">
        <x:v>A49</x:v>
      </x:c>
      <x:c r="D1095" s="53" t="str">
        <x:v>E-0046</x:v>
      </x:c>
      <x:c r="E1095" s="53"/>
    </x:row>
    <x:row r="1096" ht="15" hidden="0" customHeight="1">
      <x:c r="A1096" s="53" t="str">
        <x:v>Anjoman accounting - refined.xlsx</x:v>
      </x:c>
      <x:c r="B1096" s="53" t="str">
        <x:v>اسناد و شواهد</x:v>
      </x:c>
      <x:c r="C1096" s="53" t="str">
        <x:v>B49</x:v>
      </x:c>
      <x:c r="D1096" s="53" t="str">
        <x:v>telegram export\images\media_shop.png</x:v>
      </x:c>
      <x:c r="E1096" s="53"/>
    </x:row>
    <x:row r="1097" ht="15" hidden="0" customHeight="1">
      <x:c r="A1097" s="53" t="str">
        <x:v>Anjoman accounting - refined.xlsx</x:v>
      </x:c>
      <x:c r="B1097" s="53" t="str">
        <x:v>اسناد و شواهد</x:v>
      </x:c>
      <x:c r="C1097" s="53" t="str">
        <x:v>C49</x:v>
      </x:c>
      <x:c r="D1097" s="53" t="str">
        <x:v>png</x:v>
      </x:c>
      <x:c r="E1097" s="53"/>
    </x:row>
    <x:row r="1098" ht="15" hidden="0" customHeight="1">
      <x:c r="A1098" s="53" t="str">
        <x:v>Anjoman accounting - refined.xlsx</x:v>
      </x:c>
      <x:c r="B1098" s="53" t="str">
        <x:v>اسناد و شواهد</x:v>
      </x:c>
      <x:c r="C1098" s="53" t="str">
        <x:v>D49</x:v>
      </x:c>
      <x:c r="D1098" s="53" t="str">
        <x:v>377</x:v>
      </x:c>
      <x:c r="E1098" s="53"/>
    </x:row>
    <x:row r="1099" ht="15" hidden="0" customHeight="1">
      <x:c r="A1099" s="53" t="str">
        <x:v>Anjoman accounting - refined.xlsx</x:v>
      </x:c>
      <x:c r="B1099" s="53" t="str">
        <x:v>اسناد و شواهد</x:v>
      </x:c>
      <x:c r="C1099" s="53" t="str">
        <x:v>E49</x:v>
      </x:c>
      <x:c r="D1099" s="53" t="str">
        <x:v>950a9f3eb7e7ced0467702565e682cc8c72d9808c2a1b0c14fb585ba5e388d2f</x:v>
      </x:c>
      <x:c r="E1099" s="53"/>
    </x:row>
    <x:row r="1100" ht="15" hidden="0" customHeight="1">
      <x:c r="A1100" s="53" t="str">
        <x:v>Anjoman accounting - refined.xlsx</x:v>
      </x:c>
      <x:c r="B1100" s="53" t="str">
        <x:v>اسناد و شواهد</x:v>
      </x:c>
      <x:c r="C1100" s="53" t="str">
        <x:v>A50</x:v>
      </x:c>
      <x:c r="D1100" s="53" t="str">
        <x:v>E-0047</x:v>
      </x:c>
      <x:c r="E1100" s="53"/>
    </x:row>
    <x:row r="1101" ht="15" hidden="0" customHeight="1">
      <x:c r="A1101" s="53" t="str">
        <x:v>Anjoman accounting - refined.xlsx</x:v>
      </x:c>
      <x:c r="B1101" s="53" t="str">
        <x:v>اسناد و شواهد</x:v>
      </x:c>
      <x:c r="C1101" s="53" t="str">
        <x:v>B50</x:v>
      </x:c>
      <x:c r="D1101" s="53" t="str">
        <x:v>telegram export\images\media_shop@2x.png</x:v>
      </x:c>
      <x:c r="E1101" s="53"/>
    </x:row>
    <x:row r="1102" ht="15" hidden="0" customHeight="1">
      <x:c r="A1102" s="53" t="str">
        <x:v>Anjoman accounting - refined.xlsx</x:v>
      </x:c>
      <x:c r="B1102" s="53" t="str">
        <x:v>اسناد و شواهد</x:v>
      </x:c>
      <x:c r="C1102" s="53" t="str">
        <x:v>C50</x:v>
      </x:c>
      <x:c r="D1102" s="53" t="str">
        <x:v>png</x:v>
      </x:c>
      <x:c r="E1102" s="53"/>
    </x:row>
    <x:row r="1103" ht="15" hidden="0" customHeight="1">
      <x:c r="A1103" s="53" t="str">
        <x:v>Anjoman accounting - refined.xlsx</x:v>
      </x:c>
      <x:c r="B1103" s="53" t="str">
        <x:v>اسناد و شواهد</x:v>
      </x:c>
      <x:c r="C1103" s="53" t="str">
        <x:v>D50</x:v>
      </x:c>
      <x:c r="D1103" s="53" t="str">
        <x:v>790</x:v>
      </x:c>
      <x:c r="E1103" s="53"/>
    </x:row>
    <x:row r="1104" ht="15" hidden="0" customHeight="1">
      <x:c r="A1104" s="53" t="str">
        <x:v>Anjoman accounting - refined.xlsx</x:v>
      </x:c>
      <x:c r="B1104" s="53" t="str">
        <x:v>اسناد و شواهد</x:v>
      </x:c>
      <x:c r="C1104" s="53" t="str">
        <x:v>E50</x:v>
      </x:c>
      <x:c r="D1104" s="53" t="str">
        <x:v>ddb88b92f1bd8f6b04f561ac52afd54ab5f4840381afd0809251d8d85b58a200</x:v>
      </x:c>
      <x:c r="E1104" s="53"/>
    </x:row>
    <x:row r="1105" ht="15" hidden="0" customHeight="1">
      <x:c r="A1105" s="53" t="str">
        <x:v>Anjoman accounting - refined.xlsx</x:v>
      </x:c>
      <x:c r="B1105" s="53" t="str">
        <x:v>اسناد و شواهد</x:v>
      </x:c>
      <x:c r="C1105" s="53" t="str">
        <x:v>A51</x:v>
      </x:c>
      <x:c r="D1105" s="53" t="str">
        <x:v>E-0048</x:v>
      </x:c>
      <x:c r="E1105" s="53"/>
    </x:row>
    <x:row r="1106" ht="15" hidden="0" customHeight="1">
      <x:c r="A1106" s="53" t="str">
        <x:v>Anjoman accounting - refined.xlsx</x:v>
      </x:c>
      <x:c r="B1106" s="53" t="str">
        <x:v>اسناد و شواهد</x:v>
      </x:c>
      <x:c r="C1106" s="53" t="str">
        <x:v>B51</x:v>
      </x:c>
      <x:c r="D1106" s="53" t="str">
        <x:v>telegram export\images\media_video.png</x:v>
      </x:c>
      <x:c r="E1106" s="53"/>
    </x:row>
    <x:row r="1107" ht="15" hidden="0" customHeight="1">
      <x:c r="A1107" s="53" t="str">
        <x:v>Anjoman accounting - refined.xlsx</x:v>
      </x:c>
      <x:c r="B1107" s="53" t="str">
        <x:v>اسناد و شواهد</x:v>
      </x:c>
      <x:c r="C1107" s="53" t="str">
        <x:v>C51</x:v>
      </x:c>
      <x:c r="D1107" s="53" t="str">
        <x:v>png</x:v>
      </x:c>
      <x:c r="E1107" s="53"/>
    </x:row>
    <x:row r="1108" ht="15" hidden="0" customHeight="1">
      <x:c r="A1108" s="53" t="str">
        <x:v>Anjoman accounting - refined.xlsx</x:v>
      </x:c>
      <x:c r="B1108" s="53" t="str">
        <x:v>اسناد و شواهد</x:v>
      </x:c>
      <x:c r="C1108" s="53" t="str">
        <x:v>D51</x:v>
      </x:c>
      <x:c r="D1108" s="53" t="str">
        <x:v>235</x:v>
      </x:c>
      <x:c r="E1108" s="53"/>
    </x:row>
    <x:row r="1109" ht="15" hidden="0" customHeight="1">
      <x:c r="A1109" s="53" t="str">
        <x:v>Anjoman accounting - refined.xlsx</x:v>
      </x:c>
      <x:c r="B1109" s="53" t="str">
        <x:v>اسناد و شواهد</x:v>
      </x:c>
      <x:c r="C1109" s="53" t="str">
        <x:v>E51</x:v>
      </x:c>
      <x:c r="D1109" s="53" t="str">
        <x:v>6053dad4203b7c611298c91f7db337b24dd9e520f2f139ed02d6141553de12c3</x:v>
      </x:c>
      <x:c r="E1109" s="53"/>
    </x:row>
    <x:row r="1110" ht="15" hidden="0" customHeight="1">
      <x:c r="A1110" s="53" t="str">
        <x:v>Anjoman accounting - refined.xlsx</x:v>
      </x:c>
      <x:c r="B1110" s="53" t="str">
        <x:v>اسناد و شواهد</x:v>
      </x:c>
      <x:c r="C1110" s="53" t="str">
        <x:v>A52</x:v>
      </x:c>
      <x:c r="D1110" s="53" t="str">
        <x:v>E-0049</x:v>
      </x:c>
      <x:c r="E1110" s="53"/>
    </x:row>
    <x:row r="1111" ht="15" hidden="0" customHeight="1">
      <x:c r="A1111" s="53" t="str">
        <x:v>Anjoman accounting - refined.xlsx</x:v>
      </x:c>
      <x:c r="B1111" s="53" t="str">
        <x:v>اسناد و شواهد</x:v>
      </x:c>
      <x:c r="C1111" s="53" t="str">
        <x:v>B52</x:v>
      </x:c>
      <x:c r="D1111" s="53" t="str">
        <x:v>telegram export\images\media_video@2x.png</x:v>
      </x:c>
      <x:c r="E1111" s="53"/>
    </x:row>
    <x:row r="1112" ht="15" hidden="0" customHeight="1">
      <x:c r="A1112" s="53" t="str">
        <x:v>Anjoman accounting - refined.xlsx</x:v>
      </x:c>
      <x:c r="B1112" s="53" t="str">
        <x:v>اسناد و شواهد</x:v>
      </x:c>
      <x:c r="C1112" s="53" t="str">
        <x:v>C52</x:v>
      </x:c>
      <x:c r="D1112" s="53" t="str">
        <x:v>png</x:v>
      </x:c>
      <x:c r="E1112" s="53"/>
    </x:row>
    <x:row r="1113" ht="15" hidden="0" customHeight="1">
      <x:c r="A1113" s="53" t="str">
        <x:v>Anjoman accounting - refined.xlsx</x:v>
      </x:c>
      <x:c r="B1113" s="53" t="str">
        <x:v>اسناد و شواهد</x:v>
      </x:c>
      <x:c r="C1113" s="53" t="str">
        <x:v>D52</x:v>
      </x:c>
      <x:c r="D1113" s="53" t="str">
        <x:v>411</x:v>
      </x:c>
      <x:c r="E1113" s="53"/>
    </x:row>
    <x:row r="1114" ht="15" hidden="0" customHeight="1">
      <x:c r="A1114" s="53" t="str">
        <x:v>Anjoman accounting - refined.xlsx</x:v>
      </x:c>
      <x:c r="B1114" s="53" t="str">
        <x:v>اسناد و شواهد</x:v>
      </x:c>
      <x:c r="C1114" s="53" t="str">
        <x:v>E52</x:v>
      </x:c>
      <x:c r="D1114" s="53" t="str">
        <x:v>1e67c221afa14b6ad28cb747fe919227f6b842059c65bc191269263afbc7c529</x:v>
      </x:c>
      <x:c r="E1114" s="53"/>
    </x:row>
    <x:row r="1115" ht="15" hidden="0" customHeight="1">
      <x:c r="A1115" s="53" t="str">
        <x:v>Anjoman accounting - refined.xlsx</x:v>
      </x:c>
      <x:c r="B1115" s="53" t="str">
        <x:v>اسناد و شواهد</x:v>
      </x:c>
      <x:c r="C1115" s="53" t="str">
        <x:v>A53</x:v>
      </x:c>
      <x:c r="D1115" s="53" t="str">
        <x:v>E-0050</x:v>
      </x:c>
      <x:c r="E1115" s="53"/>
    </x:row>
    <x:row r="1116" ht="15" hidden="0" customHeight="1">
      <x:c r="A1116" s="53" t="str">
        <x:v>Anjoman accounting - refined.xlsx</x:v>
      </x:c>
      <x:c r="B1116" s="53" t="str">
        <x:v>اسناد و شواهد</x:v>
      </x:c>
      <x:c r="C1116" s="53" t="str">
        <x:v>B53</x:v>
      </x:c>
      <x:c r="D1116" s="53" t="str">
        <x:v>telegram export\images\media_voice.png</x:v>
      </x:c>
      <x:c r="E1116" s="53"/>
    </x:row>
    <x:row r="1117" ht="15" hidden="0" customHeight="1">
      <x:c r="A1117" s="53" t="str">
        <x:v>Anjoman accounting - refined.xlsx</x:v>
      </x:c>
      <x:c r="B1117" s="53" t="str">
        <x:v>اسناد و شواهد</x:v>
      </x:c>
      <x:c r="C1117" s="53" t="str">
        <x:v>C53</x:v>
      </x:c>
      <x:c r="D1117" s="53" t="str">
        <x:v>png</x:v>
      </x:c>
      <x:c r="E1117" s="53"/>
    </x:row>
    <x:row r="1118" ht="15" hidden="0" customHeight="1">
      <x:c r="A1118" s="53" t="str">
        <x:v>Anjoman accounting - refined.xlsx</x:v>
      </x:c>
      <x:c r="B1118" s="53" t="str">
        <x:v>اسناد و شواهد</x:v>
      </x:c>
      <x:c r="C1118" s="53" t="str">
        <x:v>D53</x:v>
      </x:c>
      <x:c r="D1118" s="53" t="str">
        <x:v>328</x:v>
      </x:c>
      <x:c r="E1118" s="53"/>
    </x:row>
    <x:row r="1119" ht="15" hidden="0" customHeight="1">
      <x:c r="A1119" s="53" t="str">
        <x:v>Anjoman accounting - refined.xlsx</x:v>
      </x:c>
      <x:c r="B1119" s="53" t="str">
        <x:v>اسناد و شواهد</x:v>
      </x:c>
      <x:c r="C1119" s="53" t="str">
        <x:v>E53</x:v>
      </x:c>
      <x:c r="D1119" s="53" t="str">
        <x:v>531d7e79c2ff8260f99f48e197ed4ff105fb3d395bd6e4be22dca048f698df4b</x:v>
      </x:c>
      <x:c r="E1119" s="53"/>
    </x:row>
    <x:row r="1120" ht="15" hidden="0" customHeight="1">
      <x:c r="A1120" s="53" t="str">
        <x:v>Anjoman accounting - refined.xlsx</x:v>
      </x:c>
      <x:c r="B1120" s="53" t="str">
        <x:v>اسناد و شواهد</x:v>
      </x:c>
      <x:c r="C1120" s="53" t="str">
        <x:v>A54</x:v>
      </x:c>
      <x:c r="D1120" s="53" t="str">
        <x:v>E-0051</x:v>
      </x:c>
      <x:c r="E1120" s="53"/>
    </x:row>
    <x:row r="1121" ht="15" hidden="0" customHeight="1">
      <x:c r="A1121" s="53" t="str">
        <x:v>Anjoman accounting - refined.xlsx</x:v>
      </x:c>
      <x:c r="B1121" s="53" t="str">
        <x:v>اسناد و شواهد</x:v>
      </x:c>
      <x:c r="C1121" s="53" t="str">
        <x:v>B54</x:v>
      </x:c>
      <x:c r="D1121" s="53" t="str">
        <x:v>telegram export\images\media_voice@2x.png</x:v>
      </x:c>
      <x:c r="E1121" s="53"/>
    </x:row>
    <x:row r="1122" ht="15" hidden="0" customHeight="1">
      <x:c r="A1122" s="53" t="str">
        <x:v>Anjoman accounting - refined.xlsx</x:v>
      </x:c>
      <x:c r="B1122" s="53" t="str">
        <x:v>اسناد و شواهد</x:v>
      </x:c>
      <x:c r="C1122" s="53" t="str">
        <x:v>C54</x:v>
      </x:c>
      <x:c r="D1122" s="53" t="str">
        <x:v>png</x:v>
      </x:c>
      <x:c r="E1122" s="53"/>
    </x:row>
    <x:row r="1123" ht="15" hidden="0" customHeight="1">
      <x:c r="A1123" s="53" t="str">
        <x:v>Anjoman accounting - refined.xlsx</x:v>
      </x:c>
      <x:c r="B1123" s="53" t="str">
        <x:v>اسناد و شواهد</x:v>
      </x:c>
      <x:c r="C1123" s="53" t="str">
        <x:v>D54</x:v>
      </x:c>
      <x:c r="D1123" s="53" t="str">
        <x:v>660</x:v>
      </x:c>
      <x:c r="E1123" s="53"/>
    </x:row>
    <x:row r="1124" ht="15" hidden="0" customHeight="1">
      <x:c r="A1124" s="53" t="str">
        <x:v>Anjoman accounting - refined.xlsx</x:v>
      </x:c>
      <x:c r="B1124" s="53" t="str">
        <x:v>اسناد و شواهد</x:v>
      </x:c>
      <x:c r="C1124" s="53" t="str">
        <x:v>E54</x:v>
      </x:c>
      <x:c r="D1124" s="53" t="str">
        <x:v>b37c63673d99d3a9167bcfe7045c27dfea29970d8aa5ce4f80083646dcb59ac6</x:v>
      </x:c>
      <x:c r="E1124" s="53"/>
    </x:row>
    <x:row r="1125" ht="15" hidden="0" customHeight="1">
      <x:c r="A1125" s="53" t="str">
        <x:v>Anjoman accounting - refined.xlsx</x:v>
      </x:c>
      <x:c r="B1125" s="53" t="str">
        <x:v>اسناد و شواهد</x:v>
      </x:c>
      <x:c r="C1125" s="53" t="str">
        <x:v>A55</x:v>
      </x:c>
      <x:c r="D1125" s="53" t="str">
        <x:v>E-0052</x:v>
      </x:c>
      <x:c r="E1125" s="53"/>
    </x:row>
    <x:row r="1126" ht="15" hidden="0" customHeight="1">
      <x:c r="A1126" s="53" t="str">
        <x:v>Anjoman accounting - refined.xlsx</x:v>
      </x:c>
      <x:c r="B1126" s="53" t="str">
        <x:v>اسناد و شواهد</x:v>
      </x:c>
      <x:c r="C1126" s="53" t="str">
        <x:v>B55</x:v>
      </x:c>
      <x:c r="D1126" s="53" t="str">
        <x:v>telegram export\images\section_calls.png</x:v>
      </x:c>
      <x:c r="E1126" s="53"/>
    </x:row>
    <x:row r="1127" ht="15" hidden="0" customHeight="1">
      <x:c r="A1127" s="53" t="str">
        <x:v>Anjoman accounting - refined.xlsx</x:v>
      </x:c>
      <x:c r="B1127" s="53" t="str">
        <x:v>اسناد و شواهد</x:v>
      </x:c>
      <x:c r="C1127" s="53" t="str">
        <x:v>C55</x:v>
      </x:c>
      <x:c r="D1127" s="53" t="str">
        <x:v>png</x:v>
      </x:c>
      <x:c r="E1127" s="53"/>
    </x:row>
    <x:row r="1128" ht="15" hidden="0" customHeight="1">
      <x:c r="A1128" s="53" t="str">
        <x:v>Anjoman accounting - refined.xlsx</x:v>
      </x:c>
      <x:c r="B1128" s="53" t="str">
        <x:v>اسناد و شواهد</x:v>
      </x:c>
      <x:c r="C1128" s="53" t="str">
        <x:v>D55</x:v>
      </x:c>
      <x:c r="D1128" s="53" t="str">
        <x:v>656</x:v>
      </x:c>
      <x:c r="E1128" s="53"/>
    </x:row>
    <x:row r="1129" ht="15" hidden="0" customHeight="1">
      <x:c r="A1129" s="53" t="str">
        <x:v>Anjoman accounting - refined.xlsx</x:v>
      </x:c>
      <x:c r="B1129" s="53" t="str">
        <x:v>اسناد و شواهد</x:v>
      </x:c>
      <x:c r="C1129" s="53" t="str">
        <x:v>E55</x:v>
      </x:c>
      <x:c r="D1129" s="53" t="str">
        <x:v>b347d0bb33954aac124506d9ce9a0e556f235cb579ab853ebfd562617ce9a7c3</x:v>
      </x:c>
      <x:c r="E1129" s="53"/>
    </x:row>
    <x:row r="1130" ht="15" hidden="0" customHeight="1">
      <x:c r="A1130" s="53" t="str">
        <x:v>Anjoman accounting - refined.xlsx</x:v>
      </x:c>
      <x:c r="B1130" s="53" t="str">
        <x:v>اسناد و شواهد</x:v>
      </x:c>
      <x:c r="C1130" s="53" t="str">
        <x:v>A56</x:v>
      </x:c>
      <x:c r="D1130" s="53" t="str">
        <x:v>E-0053</x:v>
      </x:c>
      <x:c r="E1130" s="53"/>
    </x:row>
    <x:row r="1131" ht="15" hidden="0" customHeight="1">
      <x:c r="A1131" s="53" t="str">
        <x:v>Anjoman accounting - refined.xlsx</x:v>
      </x:c>
      <x:c r="B1131" s="53" t="str">
        <x:v>اسناد و شواهد</x:v>
      </x:c>
      <x:c r="C1131" s="53" t="str">
        <x:v>B56</x:v>
      </x:c>
      <x:c r="D1131" s="53" t="str">
        <x:v>telegram export\images\section_calls@2x.png</x:v>
      </x:c>
      <x:c r="E1131" s="53"/>
    </x:row>
    <x:row r="1132" ht="15" hidden="0" customHeight="1">
      <x:c r="A1132" s="53" t="str">
        <x:v>Anjoman accounting - refined.xlsx</x:v>
      </x:c>
      <x:c r="B1132" s="53" t="str">
        <x:v>اسناد و شواهد</x:v>
      </x:c>
      <x:c r="C1132" s="53" t="str">
        <x:v>C56</x:v>
      </x:c>
      <x:c r="D1132" s="53" t="str">
        <x:v>png</x:v>
      </x:c>
      <x:c r="E1132" s="53"/>
    </x:row>
    <x:row r="1133" ht="15" hidden="0" customHeight="1">
      <x:c r="A1133" s="53" t="str">
        <x:v>Anjoman accounting - refined.xlsx</x:v>
      </x:c>
      <x:c r="B1133" s="53" t="str">
        <x:v>اسناد و شواهد</x:v>
      </x:c>
      <x:c r="C1133" s="53" t="str">
        <x:v>D56</x:v>
      </x:c>
      <x:c r="D1133" s="53" t="str">
        <x:v>1300</x:v>
      </x:c>
      <x:c r="E1133" s="53"/>
    </x:row>
    <x:row r="1134" ht="15" hidden="0" customHeight="1">
      <x:c r="A1134" s="53" t="str">
        <x:v>Anjoman accounting - refined.xlsx</x:v>
      </x:c>
      <x:c r="B1134" s="53" t="str">
        <x:v>اسناد و شواهد</x:v>
      </x:c>
      <x:c r="C1134" s="53" t="str">
        <x:v>E56</x:v>
      </x:c>
      <x:c r="D1134" s="53" t="str">
        <x:v>decd35472a556fe7ec6a1f2dbe3a9442d125e0922854b785476227a376d02cf8</x:v>
      </x:c>
      <x:c r="E1134" s="53"/>
    </x:row>
    <x:row r="1135" ht="15" hidden="0" customHeight="1">
      <x:c r="A1135" s="53" t="str">
        <x:v>Anjoman accounting - refined.xlsx</x:v>
      </x:c>
      <x:c r="B1135" s="53" t="str">
        <x:v>اسناد و شواهد</x:v>
      </x:c>
      <x:c r="C1135" s="53" t="str">
        <x:v>A57</x:v>
      </x:c>
      <x:c r="D1135" s="53" t="str">
        <x:v>E-0054</x:v>
      </x:c>
      <x:c r="E1135" s="53"/>
    </x:row>
    <x:row r="1136" ht="15" hidden="0" customHeight="1">
      <x:c r="A1136" s="53" t="str">
        <x:v>Anjoman accounting - refined.xlsx</x:v>
      </x:c>
      <x:c r="B1136" s="53" t="str">
        <x:v>اسناد و شواهد</x:v>
      </x:c>
      <x:c r="C1136" s="53" t="str">
        <x:v>B57</x:v>
      </x:c>
      <x:c r="D1136" s="53" t="str">
        <x:v>telegram export\images\section_chats.png</x:v>
      </x:c>
      <x:c r="E1136" s="53"/>
    </x:row>
    <x:row r="1137" ht="15" hidden="0" customHeight="1">
      <x:c r="A1137" s="53" t="str">
        <x:v>Anjoman accounting - refined.xlsx</x:v>
      </x:c>
      <x:c r="B1137" s="53" t="str">
        <x:v>اسناد و شواهد</x:v>
      </x:c>
      <x:c r="C1137" s="53" t="str">
        <x:v>C57</x:v>
      </x:c>
      <x:c r="D1137" s="53" t="str">
        <x:v>png</x:v>
      </x:c>
      <x:c r="E1137" s="53"/>
    </x:row>
    <x:row r="1138" ht="15" hidden="0" customHeight="1">
      <x:c r="A1138" s="53" t="str">
        <x:v>Anjoman accounting - refined.xlsx</x:v>
      </x:c>
      <x:c r="B1138" s="53" t="str">
        <x:v>اسناد و شواهد</x:v>
      </x:c>
      <x:c r="C1138" s="53" t="str">
        <x:v>D57</x:v>
      </x:c>
      <x:c r="D1138" s="53" t="str">
        <x:v>283</x:v>
      </x:c>
      <x:c r="E1138" s="53"/>
    </x:row>
    <x:row r="1139" ht="15" hidden="0" customHeight="1">
      <x:c r="A1139" s="53" t="str">
        <x:v>Anjoman accounting - refined.xlsx</x:v>
      </x:c>
      <x:c r="B1139" s="53" t="str">
        <x:v>اسناد و شواهد</x:v>
      </x:c>
      <x:c r="C1139" s="53" t="str">
        <x:v>E57</x:v>
      </x:c>
      <x:c r="D1139" s="53" t="str">
        <x:v>ca9e5266de6dc1c49dead1e1a1686f52c89b94c9904d0952fac607d1e3ed16b8</x:v>
      </x:c>
      <x:c r="E1139" s="53"/>
    </x:row>
    <x:row r="1140" ht="15" hidden="0" customHeight="1">
      <x:c r="A1140" s="53" t="str">
        <x:v>Anjoman accounting - refined.xlsx</x:v>
      </x:c>
      <x:c r="B1140" s="53" t="str">
        <x:v>اسناد و شواهد</x:v>
      </x:c>
      <x:c r="C1140" s="53" t="str">
        <x:v>A58</x:v>
      </x:c>
      <x:c r="D1140" s="53" t="str">
        <x:v>E-0055</x:v>
      </x:c>
      <x:c r="E1140" s="53"/>
    </x:row>
    <x:row r="1141" ht="15" hidden="0" customHeight="1">
      <x:c r="A1141" s="53" t="str">
        <x:v>Anjoman accounting - refined.xlsx</x:v>
      </x:c>
      <x:c r="B1141" s="53" t="str">
        <x:v>اسناد و شواهد</x:v>
      </x:c>
      <x:c r="C1141" s="53" t="str">
        <x:v>B58</x:v>
      </x:c>
      <x:c r="D1141" s="53" t="str">
        <x:v>telegram export\images\section_chats@2x.png</x:v>
      </x:c>
      <x:c r="E1141" s="53"/>
    </x:row>
    <x:row r="1142" ht="15" hidden="0" customHeight="1">
      <x:c r="A1142" s="53" t="str">
        <x:v>Anjoman accounting - refined.xlsx</x:v>
      </x:c>
      <x:c r="B1142" s="53" t="str">
        <x:v>اسناد و شواهد</x:v>
      </x:c>
      <x:c r="C1142" s="53" t="str">
        <x:v>C58</x:v>
      </x:c>
      <x:c r="D1142" s="53" t="str">
        <x:v>png</x:v>
      </x:c>
      <x:c r="E1142" s="53"/>
    </x:row>
    <x:row r="1143" ht="15" hidden="0" customHeight="1">
      <x:c r="A1143" s="53" t="str">
        <x:v>Anjoman accounting - refined.xlsx</x:v>
      </x:c>
      <x:c r="B1143" s="53" t="str">
        <x:v>اسناد و شواهد</x:v>
      </x:c>
      <x:c r="C1143" s="53" t="str">
        <x:v>D58</x:v>
      </x:c>
      <x:c r="D1143" s="53" t="str">
        <x:v>454</x:v>
      </x:c>
      <x:c r="E1143" s="53"/>
    </x:row>
    <x:row r="1144" ht="15" hidden="0" customHeight="1">
      <x:c r="A1144" s="53" t="str">
        <x:v>Anjoman accounting - refined.xlsx</x:v>
      </x:c>
      <x:c r="B1144" s="53" t="str">
        <x:v>اسناد و شواهد</x:v>
      </x:c>
      <x:c r="C1144" s="53" t="str">
        <x:v>E58</x:v>
      </x:c>
      <x:c r="D1144" s="53" t="str">
        <x:v>929d283917cce08418ca2ee8f6355ca431f4877aa8804bd3819676b8343fb2a9</x:v>
      </x:c>
      <x:c r="E1144" s="53"/>
    </x:row>
    <x:row r="1145" ht="15" hidden="0" customHeight="1">
      <x:c r="A1145" s="53" t="str">
        <x:v>Anjoman accounting - refined.xlsx</x:v>
      </x:c>
      <x:c r="B1145" s="53" t="str">
        <x:v>اسناد و شواهد</x:v>
      </x:c>
      <x:c r="C1145" s="53" t="str">
        <x:v>A59</x:v>
      </x:c>
      <x:c r="D1145" s="53" t="str">
        <x:v>E-0056</x:v>
      </x:c>
      <x:c r="E1145" s="53"/>
    </x:row>
    <x:row r="1146" ht="15" hidden="0" customHeight="1">
      <x:c r="A1146" s="53" t="str">
        <x:v>Anjoman accounting - refined.xlsx</x:v>
      </x:c>
      <x:c r="B1146" s="53" t="str">
        <x:v>اسناد و شواهد</x:v>
      </x:c>
      <x:c r="C1146" s="53" t="str">
        <x:v>B59</x:v>
      </x:c>
      <x:c r="D1146" s="53" t="str">
        <x:v>telegram export\images\section_contacts.png</x:v>
      </x:c>
      <x:c r="E1146" s="53"/>
    </x:row>
    <x:row r="1147" ht="15" hidden="0" customHeight="1">
      <x:c r="A1147" s="53" t="str">
        <x:v>Anjoman accounting - refined.xlsx</x:v>
      </x:c>
      <x:c r="B1147" s="53" t="str">
        <x:v>اسناد و شواهد</x:v>
      </x:c>
      <x:c r="C1147" s="53" t="str">
        <x:v>C59</x:v>
      </x:c>
      <x:c r="D1147" s="53" t="str">
        <x:v>png</x:v>
      </x:c>
      <x:c r="E1147" s="53"/>
    </x:row>
    <x:row r="1148" ht="15" hidden="0" customHeight="1">
      <x:c r="A1148" s="53" t="str">
        <x:v>Anjoman accounting - refined.xlsx</x:v>
      </x:c>
      <x:c r="B1148" s="53" t="str">
        <x:v>اسناد و شواهد</x:v>
      </x:c>
      <x:c r="C1148" s="53" t="str">
        <x:v>D59</x:v>
      </x:c>
      <x:c r="D1148" s="53" t="str">
        <x:v>508</x:v>
      </x:c>
      <x:c r="E1148" s="53"/>
    </x:row>
    <x:row r="1149" ht="15" hidden="0" customHeight="1">
      <x:c r="A1149" s="53" t="str">
        <x:v>Anjoman accounting - refined.xlsx</x:v>
      </x:c>
      <x:c r="B1149" s="53" t="str">
        <x:v>اسناد و شواهد</x:v>
      </x:c>
      <x:c r="C1149" s="53" t="str">
        <x:v>E59</x:v>
      </x:c>
      <x:c r="D1149" s="53" t="str">
        <x:v>47245024ccc91fad0f56df360abf699e84df2c45b3b866c3f25d0bae422752b8</x:v>
      </x:c>
      <x:c r="E1149" s="53"/>
    </x:row>
    <x:row r="1150" ht="15" hidden="0" customHeight="1">
      <x:c r="A1150" s="53" t="str">
        <x:v>Anjoman accounting - refined.xlsx</x:v>
      </x:c>
      <x:c r="B1150" s="53" t="str">
        <x:v>اسناد و شواهد</x:v>
      </x:c>
      <x:c r="C1150" s="53" t="str">
        <x:v>A60</x:v>
      </x:c>
      <x:c r="D1150" s="53" t="str">
        <x:v>E-0057</x:v>
      </x:c>
      <x:c r="E1150" s="53"/>
    </x:row>
    <x:row r="1151" ht="15" hidden="0" customHeight="1">
      <x:c r="A1151" s="53" t="str">
        <x:v>Anjoman accounting - refined.xlsx</x:v>
      </x:c>
      <x:c r="B1151" s="53" t="str">
        <x:v>اسناد و شواهد</x:v>
      </x:c>
      <x:c r="C1151" s="53" t="str">
        <x:v>B60</x:v>
      </x:c>
      <x:c r="D1151" s="53" t="str">
        <x:v>telegram export\images\section_contacts@2x.png</x:v>
      </x:c>
      <x:c r="E1151" s="53"/>
    </x:row>
    <x:row r="1152" ht="15" hidden="0" customHeight="1">
      <x:c r="A1152" s="53" t="str">
        <x:v>Anjoman accounting - refined.xlsx</x:v>
      </x:c>
      <x:c r="B1152" s="53" t="str">
        <x:v>اسناد و شواهد</x:v>
      </x:c>
      <x:c r="C1152" s="53" t="str">
        <x:v>C60</x:v>
      </x:c>
      <x:c r="D1152" s="53" t="str">
        <x:v>png</x:v>
      </x:c>
      <x:c r="E1152" s="53"/>
    </x:row>
    <x:row r="1153" ht="15" hidden="0" customHeight="1">
      <x:c r="A1153" s="53" t="str">
        <x:v>Anjoman accounting - refined.xlsx</x:v>
      </x:c>
      <x:c r="B1153" s="53" t="str">
        <x:v>اسناد و شواهد</x:v>
      </x:c>
      <x:c r="C1153" s="53" t="str">
        <x:v>D60</x:v>
      </x:c>
      <x:c r="D1153" s="53" t="str">
        <x:v>1023</x:v>
      </x:c>
      <x:c r="E1153" s="53"/>
    </x:row>
    <x:row r="1154" ht="15" hidden="0" customHeight="1">
      <x:c r="A1154" s="53" t="str">
        <x:v>Anjoman accounting - refined.xlsx</x:v>
      </x:c>
      <x:c r="B1154" s="53" t="str">
        <x:v>اسناد و شواهد</x:v>
      </x:c>
      <x:c r="C1154" s="53" t="str">
        <x:v>E60</x:v>
      </x:c>
      <x:c r="D1154" s="53" t="str">
        <x:v>5281f4cf58c26149509e649e490a949941ac494b41e66dffc94e535cb2f57fc8</x:v>
      </x:c>
      <x:c r="E1154" s="53"/>
    </x:row>
    <x:row r="1155" ht="15" hidden="0" customHeight="1">
      <x:c r="A1155" s="53" t="str">
        <x:v>Anjoman accounting - refined.xlsx</x:v>
      </x:c>
      <x:c r="B1155" s="53" t="str">
        <x:v>اسناد و شواهد</x:v>
      </x:c>
      <x:c r="C1155" s="53" t="str">
        <x:v>A61</x:v>
      </x:c>
      <x:c r="D1155" s="53" t="str">
        <x:v>E-0058</x:v>
      </x:c>
      <x:c r="E1155" s="53"/>
    </x:row>
    <x:row r="1156" ht="15" hidden="0" customHeight="1">
      <x:c r="A1156" s="53" t="str">
        <x:v>Anjoman accounting - refined.xlsx</x:v>
      </x:c>
      <x:c r="B1156" s="53" t="str">
        <x:v>اسناد و شواهد</x:v>
      </x:c>
      <x:c r="C1156" s="53" t="str">
        <x:v>B61</x:v>
      </x:c>
      <x:c r="D1156" s="53" t="str">
        <x:v>telegram export\images\section_frequent.png</x:v>
      </x:c>
      <x:c r="E1156" s="53"/>
    </x:row>
    <x:row r="1157" ht="15" hidden="0" customHeight="1">
      <x:c r="A1157" s="53" t="str">
        <x:v>Anjoman accounting - refined.xlsx</x:v>
      </x:c>
      <x:c r="B1157" s="53" t="str">
        <x:v>اسناد و شواهد</x:v>
      </x:c>
      <x:c r="C1157" s="53" t="str">
        <x:v>C61</x:v>
      </x:c>
      <x:c r="D1157" s="53" t="str">
        <x:v>png</x:v>
      </x:c>
      <x:c r="E1157" s="53"/>
    </x:row>
    <x:row r="1158" ht="15" hidden="0" customHeight="1">
      <x:c r="A1158" s="53" t="str">
        <x:v>Anjoman accounting - refined.xlsx</x:v>
      </x:c>
      <x:c r="B1158" s="53" t="str">
        <x:v>اسناد و شواهد</x:v>
      </x:c>
      <x:c r="C1158" s="53" t="str">
        <x:v>D61</x:v>
      </x:c>
      <x:c r="D1158" s="53" t="str">
        <x:v>771</x:v>
      </x:c>
      <x:c r="E1158" s="53"/>
    </x:row>
    <x:row r="1159" ht="15" hidden="0" customHeight="1">
      <x:c r="A1159" s="53" t="str">
        <x:v>Anjoman accounting - refined.xlsx</x:v>
      </x:c>
      <x:c r="B1159" s="53" t="str">
        <x:v>اسناد و شواهد</x:v>
      </x:c>
      <x:c r="C1159" s="53" t="str">
        <x:v>E61</x:v>
      </x:c>
      <x:c r="D1159" s="53" t="str">
        <x:v>260eee3b8cfc4169a085e4a3e22e699ad30f24fe6a4854655a27da83f6580fd4</x:v>
      </x:c>
      <x:c r="E1159" s="53"/>
    </x:row>
    <x:row r="1160" ht="15" hidden="0" customHeight="1">
      <x:c r="A1160" s="53" t="str">
        <x:v>Anjoman accounting - refined.xlsx</x:v>
      </x:c>
      <x:c r="B1160" s="53" t="str">
        <x:v>اسناد و شواهد</x:v>
      </x:c>
      <x:c r="C1160" s="53" t="str">
        <x:v>A62</x:v>
      </x:c>
      <x:c r="D1160" s="53" t="str">
        <x:v>E-0059</x:v>
      </x:c>
      <x:c r="E1160" s="53"/>
    </x:row>
    <x:row r="1161" ht="15" hidden="0" customHeight="1">
      <x:c r="A1161" s="53" t="str">
        <x:v>Anjoman accounting - refined.xlsx</x:v>
      </x:c>
      <x:c r="B1161" s="53" t="str">
        <x:v>اسناد و شواهد</x:v>
      </x:c>
      <x:c r="C1161" s="53" t="str">
        <x:v>B62</x:v>
      </x:c>
      <x:c r="D1161" s="53" t="str">
        <x:v>telegram export\images\section_frequent@2x.png</x:v>
      </x:c>
      <x:c r="E1161" s="53"/>
    </x:row>
    <x:row r="1162" ht="15" hidden="0" customHeight="1">
      <x:c r="A1162" s="53" t="str">
        <x:v>Anjoman accounting - refined.xlsx</x:v>
      </x:c>
      <x:c r="B1162" s="53" t="str">
        <x:v>اسناد و شواهد</x:v>
      </x:c>
      <x:c r="C1162" s="53" t="str">
        <x:v>C62</x:v>
      </x:c>
      <x:c r="D1162" s="53" t="str">
        <x:v>png</x:v>
      </x:c>
      <x:c r="E1162" s="53"/>
    </x:row>
    <x:row r="1163" ht="15" hidden="0" customHeight="1">
      <x:c r="A1163" s="53" t="str">
        <x:v>Anjoman accounting - refined.xlsx</x:v>
      </x:c>
      <x:c r="B1163" s="53" t="str">
        <x:v>اسناد و شواهد</x:v>
      </x:c>
      <x:c r="C1163" s="53" t="str">
        <x:v>D62</x:v>
      </x:c>
      <x:c r="D1163" s="53" t="str">
        <x:v>1696</x:v>
      </x:c>
      <x:c r="E1163" s="53"/>
    </x:row>
    <x:row r="1164" ht="15" hidden="0" customHeight="1">
      <x:c r="A1164" s="53" t="str">
        <x:v>Anjoman accounting - refined.xlsx</x:v>
      </x:c>
      <x:c r="B1164" s="53" t="str">
        <x:v>اسناد و شواهد</x:v>
      </x:c>
      <x:c r="C1164" s="53" t="str">
        <x:v>E62</x:v>
      </x:c>
      <x:c r="D1164" s="53" t="str">
        <x:v>dd4b5697712bbe2adce7cfc56ca8af2498c07d072b8b7d3fd01bbba30b316101</x:v>
      </x:c>
      <x:c r="E1164" s="53"/>
    </x:row>
    <x:row r="1165" ht="15" hidden="0" customHeight="1">
      <x:c r="A1165" s="53" t="str">
        <x:v>Anjoman accounting - refined.xlsx</x:v>
      </x:c>
      <x:c r="B1165" s="53" t="str">
        <x:v>اسناد و شواهد</x:v>
      </x:c>
      <x:c r="C1165" s="53" t="str">
        <x:v>A63</x:v>
      </x:c>
      <x:c r="D1165" s="53" t="str">
        <x:v>E-0060</x:v>
      </x:c>
      <x:c r="E1165" s="53"/>
    </x:row>
    <x:row r="1166" ht="15" hidden="0" customHeight="1">
      <x:c r="A1166" s="53" t="str">
        <x:v>Anjoman accounting - refined.xlsx</x:v>
      </x:c>
      <x:c r="B1166" s="53" t="str">
        <x:v>اسناد و شواهد</x:v>
      </x:c>
      <x:c r="C1166" s="53" t="str">
        <x:v>B63</x:v>
      </x:c>
      <x:c r="D1166" s="53" t="str">
        <x:v>telegram export\images\section_music.png</x:v>
      </x:c>
      <x:c r="E1166" s="53"/>
    </x:row>
    <x:row r="1167" ht="15" hidden="0" customHeight="1">
      <x:c r="A1167" s="53" t="str">
        <x:v>Anjoman accounting - refined.xlsx</x:v>
      </x:c>
      <x:c r="B1167" s="53" t="str">
        <x:v>اسناد و شواهد</x:v>
      </x:c>
      <x:c r="C1167" s="53" t="str">
        <x:v>C63</x:v>
      </x:c>
      <x:c r="D1167" s="53" t="str">
        <x:v>png</x:v>
      </x:c>
      <x:c r="E1167" s="53"/>
    </x:row>
    <x:row r="1168" ht="15" hidden="0" customHeight="1">
      <x:c r="A1168" s="53" t="str">
        <x:v>Anjoman accounting - refined.xlsx</x:v>
      </x:c>
      <x:c r="B1168" s="53" t="str">
        <x:v>اسناد و شواهد</x:v>
      </x:c>
      <x:c r="C1168" s="53" t="str">
        <x:v>D63</x:v>
      </x:c>
      <x:c r="D1168" s="53" t="str">
        <x:v>446</x:v>
      </x:c>
      <x:c r="E1168" s="53"/>
    </x:row>
    <x:row r="1169" ht="15" hidden="0" customHeight="1">
      <x:c r="A1169" s="53" t="str">
        <x:v>Anjoman accounting - refined.xlsx</x:v>
      </x:c>
      <x:c r="B1169" s="53" t="str">
        <x:v>اسناد و شواهد</x:v>
      </x:c>
      <x:c r="C1169" s="53" t="str">
        <x:v>E63</x:v>
      </x:c>
      <x:c r="D1169" s="53" t="str">
        <x:v>5006eab0a00fb29115c10ff2f5e3d06c1d498bcce18ab42c45b1de1467679a50</x:v>
      </x:c>
      <x:c r="E1169" s="53"/>
    </x:row>
    <x:row r="1170" ht="15" hidden="0" customHeight="1">
      <x:c r="A1170" s="53" t="str">
        <x:v>Anjoman accounting - refined.xlsx</x:v>
      </x:c>
      <x:c r="B1170" s="53" t="str">
        <x:v>اسناد و شواهد</x:v>
      </x:c>
      <x:c r="C1170" s="53" t="str">
        <x:v>A64</x:v>
      </x:c>
      <x:c r="D1170" s="53" t="str">
        <x:v>E-0061</x:v>
      </x:c>
      <x:c r="E1170" s="53"/>
    </x:row>
    <x:row r="1171" ht="15" hidden="0" customHeight="1">
      <x:c r="A1171" s="53" t="str">
        <x:v>Anjoman accounting - refined.xlsx</x:v>
      </x:c>
      <x:c r="B1171" s="53" t="str">
        <x:v>اسناد و شواهد</x:v>
      </x:c>
      <x:c r="C1171" s="53" t="str">
        <x:v>B64</x:v>
      </x:c>
      <x:c r="D1171" s="53" t="str">
        <x:v>telegram export\images\section_music@2x.png</x:v>
      </x:c>
      <x:c r="E1171" s="53"/>
    </x:row>
    <x:row r="1172" ht="15" hidden="0" customHeight="1">
      <x:c r="A1172" s="53" t="str">
        <x:v>Anjoman accounting - refined.xlsx</x:v>
      </x:c>
      <x:c r="B1172" s="53" t="str">
        <x:v>اسناد و شواهد</x:v>
      </x:c>
      <x:c r="C1172" s="53" t="str">
        <x:v>C64</x:v>
      </x:c>
      <x:c r="D1172" s="53" t="str">
        <x:v>png</x:v>
      </x:c>
      <x:c r="E1172" s="53"/>
    </x:row>
    <x:row r="1173" ht="15" hidden="0" customHeight="1">
      <x:c r="A1173" s="53" t="str">
        <x:v>Anjoman accounting - refined.xlsx</x:v>
      </x:c>
      <x:c r="B1173" s="53" t="str">
        <x:v>اسناد و شواهد</x:v>
      </x:c>
      <x:c r="C1173" s="53" t="str">
        <x:v>D64</x:v>
      </x:c>
      <x:c r="D1173" s="53" t="str">
        <x:v>777</x:v>
      </x:c>
      <x:c r="E1173" s="53"/>
    </x:row>
    <x:row r="1174" ht="15" hidden="0" customHeight="1">
      <x:c r="A1174" s="53" t="str">
        <x:v>Anjoman accounting - refined.xlsx</x:v>
      </x:c>
      <x:c r="B1174" s="53" t="str">
        <x:v>اسناد و شواهد</x:v>
      </x:c>
      <x:c r="C1174" s="53" t="str">
        <x:v>E64</x:v>
      </x:c>
      <x:c r="D1174" s="53" t="str">
        <x:v>73fae04760c427ef863edeb1bbe450e2c62a6b03e1ea4562236cb9e12fee13a1</x:v>
      </x:c>
      <x:c r="E1174" s="53"/>
    </x:row>
    <x:row r="1175" ht="15" hidden="0" customHeight="1">
      <x:c r="A1175" s="53" t="str">
        <x:v>Anjoman accounting - refined.xlsx</x:v>
      </x:c>
      <x:c r="B1175" s="53" t="str">
        <x:v>اسناد و شواهد</x:v>
      </x:c>
      <x:c r="C1175" s="53" t="str">
        <x:v>A65</x:v>
      </x:c>
      <x:c r="D1175" s="53" t="str">
        <x:v>E-0062</x:v>
      </x:c>
      <x:c r="E1175" s="53"/>
    </x:row>
    <x:row r="1176" ht="15" hidden="0" customHeight="1">
      <x:c r="A1176" s="53" t="str">
        <x:v>Anjoman accounting - refined.xlsx</x:v>
      </x:c>
      <x:c r="B1176" s="53" t="str">
        <x:v>اسناد و شواهد</x:v>
      </x:c>
      <x:c r="C1176" s="53" t="str">
        <x:v>B65</x:v>
      </x:c>
      <x:c r="D1176" s="53" t="str">
        <x:v>telegram export\images\section_other.png</x:v>
      </x:c>
      <x:c r="E1176" s="53"/>
    </x:row>
    <x:row r="1177" ht="15" hidden="0" customHeight="1">
      <x:c r="A1177" s="53" t="str">
        <x:v>Anjoman accounting - refined.xlsx</x:v>
      </x:c>
      <x:c r="B1177" s="53" t="str">
        <x:v>اسناد و شواهد</x:v>
      </x:c>
      <x:c r="C1177" s="53" t="str">
        <x:v>C65</x:v>
      </x:c>
      <x:c r="D1177" s="53" t="str">
        <x:v>png</x:v>
      </x:c>
      <x:c r="E1177" s="53"/>
    </x:row>
    <x:row r="1178" ht="15" hidden="0" customHeight="1">
      <x:c r="A1178" s="53" t="str">
        <x:v>Anjoman accounting - refined.xlsx</x:v>
      </x:c>
      <x:c r="B1178" s="53" t="str">
        <x:v>اسناد و شواهد</x:v>
      </x:c>
      <x:c r="C1178" s="53" t="str">
        <x:v>D65</x:v>
      </x:c>
      <x:c r="D1178" s="53" t="str">
        <x:v>155</x:v>
      </x:c>
      <x:c r="E1178" s="53"/>
    </x:row>
    <x:row r="1179" ht="15" hidden="0" customHeight="1">
      <x:c r="A1179" s="53" t="str">
        <x:v>Anjoman accounting - refined.xlsx</x:v>
      </x:c>
      <x:c r="B1179" s="53" t="str">
        <x:v>اسناد و شواهد</x:v>
      </x:c>
      <x:c r="C1179" s="53" t="str">
        <x:v>E65</x:v>
      </x:c>
      <x:c r="D1179" s="53" t="str">
        <x:v>3b294027c2b4ac851bdef44311abff17273cae69b2b58aa663fa7ec1ff2d0f53</x:v>
      </x:c>
      <x:c r="E1179" s="53"/>
    </x:row>
    <x:row r="1180" ht="15" hidden="0" customHeight="1">
      <x:c r="A1180" s="53" t="str">
        <x:v>Anjoman accounting - refined.xlsx</x:v>
      </x:c>
      <x:c r="B1180" s="53" t="str">
        <x:v>اسناد و شواهد</x:v>
      </x:c>
      <x:c r="C1180" s="53" t="str">
        <x:v>A66</x:v>
      </x:c>
      <x:c r="D1180" s="53" t="str">
        <x:v>E-0063</x:v>
      </x:c>
      <x:c r="E1180" s="53"/>
    </x:row>
    <x:row r="1181" ht="15" hidden="0" customHeight="1">
      <x:c r="A1181" s="53" t="str">
        <x:v>Anjoman accounting - refined.xlsx</x:v>
      </x:c>
      <x:c r="B1181" s="53" t="str">
        <x:v>اسناد و شواهد</x:v>
      </x:c>
      <x:c r="C1181" s="53" t="str">
        <x:v>B66</x:v>
      </x:c>
      <x:c r="D1181" s="53" t="str">
        <x:v>telegram export\images\section_other@2x.png</x:v>
      </x:c>
      <x:c r="E1181" s="53"/>
    </x:row>
    <x:row r="1182" ht="15" hidden="0" customHeight="1">
      <x:c r="A1182" s="53" t="str">
        <x:v>Anjoman accounting - refined.xlsx</x:v>
      </x:c>
      <x:c r="B1182" s="53" t="str">
        <x:v>اسناد و شواهد</x:v>
      </x:c>
      <x:c r="C1182" s="53" t="str">
        <x:v>C66</x:v>
      </x:c>
      <x:c r="D1182" s="53" t="str">
        <x:v>png</x:v>
      </x:c>
      <x:c r="E1182" s="53"/>
    </x:row>
    <x:row r="1183" ht="15" hidden="0" customHeight="1">
      <x:c r="A1183" s="53" t="str">
        <x:v>Anjoman accounting - refined.xlsx</x:v>
      </x:c>
      <x:c r="B1183" s="53" t="str">
        <x:v>اسناد و شواهد</x:v>
      </x:c>
      <x:c r="C1183" s="53" t="str">
        <x:v>D66</x:v>
      </x:c>
      <x:c r="D1183" s="53" t="str">
        <x:v>269</x:v>
      </x:c>
      <x:c r="E1183" s="53"/>
    </x:row>
    <x:row r="1184" ht="15" hidden="0" customHeight="1">
      <x:c r="A1184" s="53" t="str">
        <x:v>Anjoman accounting - refined.xlsx</x:v>
      </x:c>
      <x:c r="B1184" s="53" t="str">
        <x:v>اسناد و شواهد</x:v>
      </x:c>
      <x:c r="C1184" s="53" t="str">
        <x:v>E66</x:v>
      </x:c>
      <x:c r="D1184" s="53" t="str">
        <x:v>44c9a8fffb338c7d9b8d55a9af0d51dbe2ec0551d0f518126b8f9993034e4c61</x:v>
      </x:c>
      <x:c r="E1184" s="53"/>
    </x:row>
    <x:row r="1185" ht="15" hidden="0" customHeight="1">
      <x:c r="A1185" s="53" t="str">
        <x:v>Anjoman accounting - refined.xlsx</x:v>
      </x:c>
      <x:c r="B1185" s="53" t="str">
        <x:v>اسناد و شواهد</x:v>
      </x:c>
      <x:c r="C1185" s="53" t="str">
        <x:v>A67</x:v>
      </x:c>
      <x:c r="D1185" s="53" t="str">
        <x:v>E-0064</x:v>
      </x:c>
      <x:c r="E1185" s="53"/>
    </x:row>
    <x:row r="1186" ht="15" hidden="0" customHeight="1">
      <x:c r="A1186" s="53" t="str">
        <x:v>Anjoman accounting - refined.xlsx</x:v>
      </x:c>
      <x:c r="B1186" s="53" t="str">
        <x:v>اسناد و شواهد</x:v>
      </x:c>
      <x:c r="C1186" s="53" t="str">
        <x:v>B67</x:v>
      </x:c>
      <x:c r="D1186" s="53" t="str">
        <x:v>telegram export\images\section_photos.png</x:v>
      </x:c>
      <x:c r="E1186" s="53"/>
    </x:row>
    <x:row r="1187" ht="15" hidden="0" customHeight="1">
      <x:c r="A1187" s="53" t="str">
        <x:v>Anjoman accounting - refined.xlsx</x:v>
      </x:c>
      <x:c r="B1187" s="53" t="str">
        <x:v>اسناد و شواهد</x:v>
      </x:c>
      <x:c r="C1187" s="53" t="str">
        <x:v>C67</x:v>
      </x:c>
      <x:c r="D1187" s="53" t="str">
        <x:v>png</x:v>
      </x:c>
      <x:c r="E1187" s="53"/>
    </x:row>
    <x:row r="1188" ht="15" hidden="0" customHeight="1">
      <x:c r="A1188" s="53" t="str">
        <x:v>Anjoman accounting - refined.xlsx</x:v>
      </x:c>
      <x:c r="B1188" s="53" t="str">
        <x:v>اسناد و شواهد</x:v>
      </x:c>
      <x:c r="C1188" s="53" t="str">
        <x:v>D67</x:v>
      </x:c>
      <x:c r="D1188" s="53" t="str">
        <x:v>415</x:v>
      </x:c>
      <x:c r="E1188" s="53"/>
    </x:row>
    <x:row r="1189" ht="15" hidden="0" customHeight="1">
      <x:c r="A1189" s="53" t="str">
        <x:v>Anjoman accounting - refined.xlsx</x:v>
      </x:c>
      <x:c r="B1189" s="53" t="str">
        <x:v>اسناد و شواهد</x:v>
      </x:c>
      <x:c r="C1189" s="53" t="str">
        <x:v>E67</x:v>
      </x:c>
      <x:c r="D1189" s="53" t="str">
        <x:v>c71b8548036a5765377680d679a8f7d422dee5de03caf3580e1faca3ea9e06e5</x:v>
      </x:c>
      <x:c r="E1189" s="53"/>
    </x:row>
    <x:row r="1190" ht="15" hidden="0" customHeight="1">
      <x:c r="A1190" s="53" t="str">
        <x:v>Anjoman accounting - refined.xlsx</x:v>
      </x:c>
      <x:c r="B1190" s="53" t="str">
        <x:v>اسناد و شواهد</x:v>
      </x:c>
      <x:c r="C1190" s="53" t="str">
        <x:v>A68</x:v>
      </x:c>
      <x:c r="D1190" s="53" t="str">
        <x:v>E-0065</x:v>
      </x:c>
      <x:c r="E1190" s="53"/>
    </x:row>
    <x:row r="1191" ht="15" hidden="0" customHeight="1">
      <x:c r="A1191" s="53" t="str">
        <x:v>Anjoman accounting - refined.xlsx</x:v>
      </x:c>
      <x:c r="B1191" s="53" t="str">
        <x:v>اسناد و شواهد</x:v>
      </x:c>
      <x:c r="C1191" s="53" t="str">
        <x:v>B68</x:v>
      </x:c>
      <x:c r="D1191" s="53" t="str">
        <x:v>telegram export\images\section_photos@2x.png</x:v>
      </x:c>
      <x:c r="E1191" s="53"/>
    </x:row>
    <x:row r="1192" ht="15" hidden="0" customHeight="1">
      <x:c r="A1192" s="53" t="str">
        <x:v>Anjoman accounting - refined.xlsx</x:v>
      </x:c>
      <x:c r="B1192" s="53" t="str">
        <x:v>اسناد و شواهد</x:v>
      </x:c>
      <x:c r="C1192" s="53" t="str">
        <x:v>C68</x:v>
      </x:c>
      <x:c r="D1192" s="53" t="str">
        <x:v>png</x:v>
      </x:c>
      <x:c r="E1192" s="53"/>
    </x:row>
    <x:row r="1193" ht="15" hidden="0" customHeight="1">
      <x:c r="A1193" s="53" t="str">
        <x:v>Anjoman accounting - refined.xlsx</x:v>
      </x:c>
      <x:c r="B1193" s="53" t="str">
        <x:v>اسناد و شواهد</x:v>
      </x:c>
      <x:c r="C1193" s="53" t="str">
        <x:v>D68</x:v>
      </x:c>
      <x:c r="D1193" s="53" t="str">
        <x:v>750</x:v>
      </x:c>
      <x:c r="E1193" s="53"/>
    </x:row>
    <x:row r="1194" ht="15" hidden="0" customHeight="1">
      <x:c r="A1194" s="53" t="str">
        <x:v>Anjoman accounting - refined.xlsx</x:v>
      </x:c>
      <x:c r="B1194" s="53" t="str">
        <x:v>اسناد و شواهد</x:v>
      </x:c>
      <x:c r="C1194" s="53" t="str">
        <x:v>E68</x:v>
      </x:c>
      <x:c r="D1194" s="53" t="str">
        <x:v>eea894213dc76077cffdd94155250b7a17562bffe0bfb9ee38651e325468ab33</x:v>
      </x:c>
      <x:c r="E1194" s="53"/>
    </x:row>
    <x:row r="1195" ht="15" hidden="0" customHeight="1">
      <x:c r="A1195" s="53" t="str">
        <x:v>Anjoman accounting - refined.xlsx</x:v>
      </x:c>
      <x:c r="B1195" s="53" t="str">
        <x:v>اسناد و شواهد</x:v>
      </x:c>
      <x:c r="C1195" s="53" t="str">
        <x:v>A69</x:v>
      </x:c>
      <x:c r="D1195" s="53" t="str">
        <x:v>E-0066</x:v>
      </x:c>
      <x:c r="E1195" s="53"/>
    </x:row>
    <x:row r="1196" ht="15" hidden="0" customHeight="1">
      <x:c r="A1196" s="53" t="str">
        <x:v>Anjoman accounting - refined.xlsx</x:v>
      </x:c>
      <x:c r="B1196" s="53" t="str">
        <x:v>اسناد و شواهد</x:v>
      </x:c>
      <x:c r="C1196" s="53" t="str">
        <x:v>B69</x:v>
      </x:c>
      <x:c r="D1196" s="53" t="str">
        <x:v>telegram export\images\section_sessions.png</x:v>
      </x:c>
      <x:c r="E1196" s="53"/>
    </x:row>
    <x:row r="1197" ht="15" hidden="0" customHeight="1">
      <x:c r="A1197" s="53" t="str">
        <x:v>Anjoman accounting - refined.xlsx</x:v>
      </x:c>
      <x:c r="B1197" s="53" t="str">
        <x:v>اسناد و شواهد</x:v>
      </x:c>
      <x:c r="C1197" s="53" t="str">
        <x:v>C69</x:v>
      </x:c>
      <x:c r="D1197" s="53" t="str">
        <x:v>png</x:v>
      </x:c>
      <x:c r="E1197" s="53"/>
    </x:row>
    <x:row r="1198" ht="15" hidden="0" customHeight="1">
      <x:c r="A1198" s="53" t="str">
        <x:v>Anjoman accounting - refined.xlsx</x:v>
      </x:c>
      <x:c r="B1198" s="53" t="str">
        <x:v>اسناد و شواهد</x:v>
      </x:c>
      <x:c r="C1198" s="53" t="str">
        <x:v>D69</x:v>
      </x:c>
      <x:c r="D1198" s="53" t="str">
        <x:v>134</x:v>
      </x:c>
      <x:c r="E1198" s="53"/>
    </x:row>
    <x:row r="1199" ht="15" hidden="0" customHeight="1">
      <x:c r="A1199" s="53" t="str">
        <x:v>Anjoman accounting - refined.xlsx</x:v>
      </x:c>
      <x:c r="B1199" s="53" t="str">
        <x:v>اسناد و شواهد</x:v>
      </x:c>
      <x:c r="C1199" s="53" t="str">
        <x:v>E69</x:v>
      </x:c>
      <x:c r="D1199" s="53" t="str">
        <x:v>16aae7c60f3f52fad87c6483d3af62a01fca63457e06661aa460749e336781de</x:v>
      </x:c>
      <x:c r="E1199" s="53"/>
    </x:row>
    <x:row r="1200" ht="15" hidden="0" customHeight="1">
      <x:c r="A1200" s="53" t="str">
        <x:v>Anjoman accounting - refined.xlsx</x:v>
      </x:c>
      <x:c r="B1200" s="53" t="str">
        <x:v>اسناد و شواهد</x:v>
      </x:c>
      <x:c r="C1200" s="53" t="str">
        <x:v>A70</x:v>
      </x:c>
      <x:c r="D1200" s="53" t="str">
        <x:v>E-0067</x:v>
      </x:c>
      <x:c r="E1200" s="53"/>
    </x:row>
    <x:row r="1201" ht="15" hidden="0" customHeight="1">
      <x:c r="A1201" s="53" t="str">
        <x:v>Anjoman accounting - refined.xlsx</x:v>
      </x:c>
      <x:c r="B1201" s="53" t="str">
        <x:v>اسناد و شواهد</x:v>
      </x:c>
      <x:c r="C1201" s="53" t="str">
        <x:v>B70</x:v>
      </x:c>
      <x:c r="D1201" s="53" t="str">
        <x:v>telegram export\images\section_sessions@2x.png</x:v>
      </x:c>
      <x:c r="E1201" s="53"/>
    </x:row>
    <x:row r="1202" ht="15" hidden="0" customHeight="1">
      <x:c r="A1202" s="53" t="str">
        <x:v>Anjoman accounting - refined.xlsx</x:v>
      </x:c>
      <x:c r="B1202" s="53" t="str">
        <x:v>اسناد و شواهد</x:v>
      </x:c>
      <x:c r="C1202" s="53" t="str">
        <x:v>C70</x:v>
      </x:c>
      <x:c r="D1202" s="53" t="str">
        <x:v>png</x:v>
      </x:c>
      <x:c r="E1202" s="53"/>
    </x:row>
    <x:row r="1203" ht="15" hidden="0" customHeight="1">
      <x:c r="A1203" s="53" t="str">
        <x:v>Anjoman accounting - refined.xlsx</x:v>
      </x:c>
      <x:c r="B1203" s="53" t="str">
        <x:v>اسناد و شواهد</x:v>
      </x:c>
      <x:c r="C1203" s="53" t="str">
        <x:v>D70</x:v>
      </x:c>
      <x:c r="D1203" s="53" t="str">
        <x:v>216</x:v>
      </x:c>
      <x:c r="E1203" s="53"/>
    </x:row>
    <x:row r="1204" ht="15" hidden="0" customHeight="1">
      <x:c r="A1204" s="53" t="str">
        <x:v>Anjoman accounting - refined.xlsx</x:v>
      </x:c>
      <x:c r="B1204" s="53" t="str">
        <x:v>اسناد و شواهد</x:v>
      </x:c>
      <x:c r="C1204" s="53" t="str">
        <x:v>E70</x:v>
      </x:c>
      <x:c r="D1204" s="53" t="str">
        <x:v>ed6f50d210cc6663b8ae3684537de8209dc4115918f7ab7eb6c9abb5d974438f</x:v>
      </x:c>
      <x:c r="E1204" s="53"/>
    </x:row>
    <x:row r="1205" ht="15" hidden="0" customHeight="1">
      <x:c r="A1205" s="53" t="str">
        <x:v>Anjoman accounting - refined.xlsx</x:v>
      </x:c>
      <x:c r="B1205" s="53" t="str">
        <x:v>اسناد و شواهد</x:v>
      </x:c>
      <x:c r="C1205" s="53" t="str">
        <x:v>A71</x:v>
      </x:c>
      <x:c r="D1205" s="53" t="str">
        <x:v>E-0068</x:v>
      </x:c>
      <x:c r="E1205" s="53"/>
    </x:row>
    <x:row r="1206" ht="15" hidden="0" customHeight="1">
      <x:c r="A1206" s="53" t="str">
        <x:v>Anjoman accounting - refined.xlsx</x:v>
      </x:c>
      <x:c r="B1206" s="53" t="str">
        <x:v>اسناد و شواهد</x:v>
      </x:c>
      <x:c r="C1206" s="53" t="str">
        <x:v>B71</x:v>
      </x:c>
      <x:c r="D1206" s="53" t="str">
        <x:v>telegram export\images\section_stories.png</x:v>
      </x:c>
      <x:c r="E1206" s="53"/>
    </x:row>
    <x:row r="1207" ht="15" hidden="0" customHeight="1">
      <x:c r="A1207" s="53" t="str">
        <x:v>Anjoman accounting - refined.xlsx</x:v>
      </x:c>
      <x:c r="B1207" s="53" t="str">
        <x:v>اسناد و شواهد</x:v>
      </x:c>
      <x:c r="C1207" s="53" t="str">
        <x:v>C71</x:v>
      </x:c>
      <x:c r="D1207" s="53" t="str">
        <x:v>png</x:v>
      </x:c>
      <x:c r="E1207" s="53"/>
    </x:row>
    <x:row r="1208" ht="15" hidden="0" customHeight="1">
      <x:c r="A1208" s="53" t="str">
        <x:v>Anjoman accounting - refined.xlsx</x:v>
      </x:c>
      <x:c r="B1208" s="53" t="str">
        <x:v>اسناد و شواهد</x:v>
      </x:c>
      <x:c r="C1208" s="53" t="str">
        <x:v>D71</x:v>
      </x:c>
      <x:c r="D1208" s="53" t="str">
        <x:v>605</x:v>
      </x:c>
      <x:c r="E1208" s="53"/>
    </x:row>
    <x:row r="1209" ht="15" hidden="0" customHeight="1">
      <x:c r="A1209" s="53" t="str">
        <x:v>Anjoman accounting - refined.xlsx</x:v>
      </x:c>
      <x:c r="B1209" s="53" t="str">
        <x:v>اسناد و شواهد</x:v>
      </x:c>
      <x:c r="C1209" s="53" t="str">
        <x:v>E71</x:v>
      </x:c>
      <x:c r="D1209" s="53" t="str">
        <x:v>eb121c176f732f5b41043291044fe594e1760c04d30d029da54af069fd0eef95</x:v>
      </x:c>
      <x:c r="E1209" s="53"/>
    </x:row>
    <x:row r="1210" ht="15" hidden="0" customHeight="1">
      <x:c r="A1210" s="53" t="str">
        <x:v>Anjoman accounting - refined.xlsx</x:v>
      </x:c>
      <x:c r="B1210" s="53" t="str">
        <x:v>اسناد و شواهد</x:v>
      </x:c>
      <x:c r="C1210" s="53" t="str">
        <x:v>A72</x:v>
      </x:c>
      <x:c r="D1210" s="53" t="str">
        <x:v>E-0069</x:v>
      </x:c>
      <x:c r="E1210" s="53"/>
    </x:row>
    <x:row r="1211" ht="15" hidden="0" customHeight="1">
      <x:c r="A1211" s="53" t="str">
        <x:v>Anjoman accounting - refined.xlsx</x:v>
      </x:c>
      <x:c r="B1211" s="53" t="str">
        <x:v>اسناد و شواهد</x:v>
      </x:c>
      <x:c r="C1211" s="53" t="str">
        <x:v>B72</x:v>
      </x:c>
      <x:c r="D1211" s="53" t="str">
        <x:v>telegram export\images\section_stories@2x.png</x:v>
      </x:c>
      <x:c r="E1211" s="53"/>
    </x:row>
    <x:row r="1212" ht="15" hidden="0" customHeight="1">
      <x:c r="A1212" s="53" t="str">
        <x:v>Anjoman accounting - refined.xlsx</x:v>
      </x:c>
      <x:c r="B1212" s="53" t="str">
        <x:v>اسناد و شواهد</x:v>
      </x:c>
      <x:c r="C1212" s="53" t="str">
        <x:v>C72</x:v>
      </x:c>
      <x:c r="D1212" s="53" t="str">
        <x:v>png</x:v>
      </x:c>
      <x:c r="E1212" s="53"/>
    </x:row>
    <x:row r="1213" ht="15" hidden="0" customHeight="1">
      <x:c r="A1213" s="53" t="str">
        <x:v>Anjoman accounting - refined.xlsx</x:v>
      </x:c>
      <x:c r="B1213" s="53" t="str">
        <x:v>اسناد و شواهد</x:v>
      </x:c>
      <x:c r="C1213" s="53" t="str">
        <x:v>D72</x:v>
      </x:c>
      <x:c r="D1213" s="53" t="str">
        <x:v>1120</x:v>
      </x:c>
      <x:c r="E1213" s="53"/>
    </x:row>
    <x:row r="1214" ht="15" hidden="0" customHeight="1">
      <x:c r="A1214" s="53" t="str">
        <x:v>Anjoman accounting - refined.xlsx</x:v>
      </x:c>
      <x:c r="B1214" s="53" t="str">
        <x:v>اسناد و شواهد</x:v>
      </x:c>
      <x:c r="C1214" s="53" t="str">
        <x:v>E72</x:v>
      </x:c>
      <x:c r="D1214" s="53" t="str">
        <x:v>6a17c90b58fd18511e4389422189f7ea860a35ce9bb84e0e4be21a2749718aff</x:v>
      </x:c>
      <x:c r="E1214" s="53"/>
    </x:row>
    <x:row r="1215" ht="15" hidden="0" customHeight="1">
      <x:c r="A1215" s="53" t="str">
        <x:v>Anjoman accounting - refined.xlsx</x:v>
      </x:c>
      <x:c r="B1215" s="53" t="str">
        <x:v>اسناد و شواهد</x:v>
      </x:c>
      <x:c r="C1215" s="53" t="str">
        <x:v>A73</x:v>
      </x:c>
      <x:c r="D1215" s="53" t="str">
        <x:v>E-0070</x:v>
      </x:c>
      <x:c r="E1215" s="53"/>
    </x:row>
    <x:row r="1216" ht="15" hidden="0" customHeight="1">
      <x:c r="A1216" s="53" t="str">
        <x:v>Anjoman accounting - refined.xlsx</x:v>
      </x:c>
      <x:c r="B1216" s="53" t="str">
        <x:v>اسناد و شواهد</x:v>
      </x:c>
      <x:c r="C1216" s="53" t="str">
        <x:v>B73</x:v>
      </x:c>
      <x:c r="D1216" s="53" t="str">
        <x:v>telegram export\images\section_web.png</x:v>
      </x:c>
      <x:c r="E1216" s="53"/>
    </x:row>
    <x:row r="1217" ht="15" hidden="0" customHeight="1">
      <x:c r="A1217" s="53" t="str">
        <x:v>Anjoman accounting - refined.xlsx</x:v>
      </x:c>
      <x:c r="B1217" s="53" t="str">
        <x:v>اسناد و شواهد</x:v>
      </x:c>
      <x:c r="C1217" s="53" t="str">
        <x:v>C73</x:v>
      </x:c>
      <x:c r="D1217" s="53" t="str">
        <x:v>png</x:v>
      </x:c>
      <x:c r="E1217" s="53"/>
    </x:row>
    <x:row r="1218" ht="15" hidden="0" customHeight="1">
      <x:c r="A1218" s="53" t="str">
        <x:v>Anjoman accounting - refined.xlsx</x:v>
      </x:c>
      <x:c r="B1218" s="53" t="str">
        <x:v>اسناد و شواهد</x:v>
      </x:c>
      <x:c r="C1218" s="53" t="str">
        <x:v>D73</x:v>
      </x:c>
      <x:c r="D1218" s="53" t="str">
        <x:v>266</x:v>
      </x:c>
      <x:c r="E1218" s="53"/>
    </x:row>
    <x:row r="1219" ht="15" hidden="0" customHeight="1">
      <x:c r="A1219" s="53" t="str">
        <x:v>Anjoman accounting - refined.xlsx</x:v>
      </x:c>
      <x:c r="B1219" s="53" t="str">
        <x:v>اسناد و شواهد</x:v>
      </x:c>
      <x:c r="C1219" s="53" t="str">
        <x:v>E73</x:v>
      </x:c>
      <x:c r="D1219" s="53" t="str">
        <x:v>7216e849566eecc3ba8830ee80b1a0bda9aa21bad1ab65b204e353d63dbdccd6</x:v>
      </x:c>
      <x:c r="E1219" s="53"/>
    </x:row>
    <x:row r="1220" ht="15" hidden="0" customHeight="1">
      <x:c r="A1220" s="53" t="str">
        <x:v>Anjoman accounting - refined.xlsx</x:v>
      </x:c>
      <x:c r="B1220" s="53" t="str">
        <x:v>اسناد و شواهد</x:v>
      </x:c>
      <x:c r="C1220" s="53" t="str">
        <x:v>A74</x:v>
      </x:c>
      <x:c r="D1220" s="53" t="str">
        <x:v>E-0071</x:v>
      </x:c>
      <x:c r="E1220" s="53"/>
    </x:row>
    <x:row r="1221" ht="15" hidden="0" customHeight="1">
      <x:c r="A1221" s="53" t="str">
        <x:v>Anjoman accounting - refined.xlsx</x:v>
      </x:c>
      <x:c r="B1221" s="53" t="str">
        <x:v>اسناد و شواهد</x:v>
      </x:c>
      <x:c r="C1221" s="53" t="str">
        <x:v>B74</x:v>
      </x:c>
      <x:c r="D1221" s="53" t="str">
        <x:v>telegram export\images\section_web@2x.png</x:v>
      </x:c>
      <x:c r="E1221" s="53"/>
    </x:row>
    <x:row r="1222" ht="15" hidden="0" customHeight="1">
      <x:c r="A1222" s="53" t="str">
        <x:v>Anjoman accounting - refined.xlsx</x:v>
      </x:c>
      <x:c r="B1222" s="53" t="str">
        <x:v>اسناد و شواهد</x:v>
      </x:c>
      <x:c r="C1222" s="53" t="str">
        <x:v>C74</x:v>
      </x:c>
      <x:c r="D1222" s="53" t="str">
        <x:v>png</x:v>
      </x:c>
      <x:c r="E1222" s="53"/>
    </x:row>
    <x:row r="1223" ht="15" hidden="0" customHeight="1">
      <x:c r="A1223" s="53" t="str">
        <x:v>Anjoman accounting - refined.xlsx</x:v>
      </x:c>
      <x:c r="B1223" s="53" t="str">
        <x:v>اسناد و شواهد</x:v>
      </x:c>
      <x:c r="C1223" s="53" t="str">
        <x:v>D74</x:v>
      </x:c>
      <x:c r="D1223" s="53" t="str">
        <x:v>447</x:v>
      </x:c>
      <x:c r="E1223" s="53"/>
    </x:row>
    <x:row r="1224" ht="15" hidden="0" customHeight="1">
      <x:c r="A1224" s="53" t="str">
        <x:v>Anjoman accounting - refined.xlsx</x:v>
      </x:c>
      <x:c r="B1224" s="53" t="str">
        <x:v>اسناد و شواهد</x:v>
      </x:c>
      <x:c r="C1224" s="53" t="str">
        <x:v>E74</x:v>
      </x:c>
      <x:c r="D1224" s="53" t="str">
        <x:v>8eb4e4f0952b60ad6305a46d5580ce4767522bc958cd5847eeec626f2d27d6ff</x:v>
      </x:c>
      <x:c r="E1224" s="53"/>
    </x:row>
    <x:row r="1225" ht="15" hidden="0" customHeight="1">
      <x:c r="A1225" s="53" t="str">
        <x:v>Anjoman accounting - refined.xlsx</x:v>
      </x:c>
      <x:c r="B1225" s="53" t="str">
        <x:v>اسناد و شواهد</x:v>
      </x:c>
      <x:c r="C1225" s="53" t="str">
        <x:v>A75</x:v>
      </x:c>
      <x:c r="D1225" s="53" t="str">
        <x:v>E-0072</x:v>
      </x:c>
      <x:c r="E1225" s="53"/>
    </x:row>
    <x:row r="1226" ht="15" hidden="0" customHeight="1">
      <x:c r="A1226" s="53" t="str">
        <x:v>Anjoman accounting - refined.xlsx</x:v>
      </x:c>
      <x:c r="B1226" s="53" t="str">
        <x:v>اسناد و شواهد</x:v>
      </x:c>
      <x:c r="C1226" s="53" t="str">
        <x:v>B75</x:v>
      </x:c>
      <x:c r="D1226" s="53" t="str">
        <x:v>telegram export\js\script.js</x:v>
      </x:c>
      <x:c r="E1226" s="53"/>
    </x:row>
    <x:row r="1227" ht="15" hidden="0" customHeight="1">
      <x:c r="A1227" s="53" t="str">
        <x:v>Anjoman accounting - refined.xlsx</x:v>
      </x:c>
      <x:c r="B1227" s="53" t="str">
        <x:v>اسناد و شواهد</x:v>
      </x:c>
      <x:c r="C1227" s="53" t="str">
        <x:v>C75</x:v>
      </x:c>
      <x:c r="D1227" s="53" t="str">
        <x:v>js</x:v>
      </x:c>
      <x:c r="E1227" s="53"/>
    </x:row>
    <x:row r="1228" ht="15" hidden="0" customHeight="1">
      <x:c r="A1228" s="53" t="str">
        <x:v>Anjoman accounting - refined.xlsx</x:v>
      </x:c>
      <x:c r="B1228" s="53" t="str">
        <x:v>اسناد و شواهد</x:v>
      </x:c>
      <x:c r="C1228" s="53" t="str">
        <x:v>D75</x:v>
      </x:c>
      <x:c r="D1228" s="53" t="str">
        <x:v>7495</x:v>
      </x:c>
      <x:c r="E1228" s="53"/>
    </x:row>
    <x:row r="1229" ht="15" hidden="0" customHeight="1">
      <x:c r="A1229" s="53" t="str">
        <x:v>Anjoman accounting - refined.xlsx</x:v>
      </x:c>
      <x:c r="B1229" s="53" t="str">
        <x:v>اسناد و شواهد</x:v>
      </x:c>
      <x:c r="C1229" s="53" t="str">
        <x:v>E75</x:v>
      </x:c>
      <x:c r="D1229" s="53" t="str">
        <x:v>93beb620191fcb10db4d129446970d710db08d8c2f1883f6282ead49753b1ce4</x:v>
      </x:c>
      <x:c r="E1229" s="53"/>
    </x:row>
    <x:row r="1230" ht="15" hidden="0" customHeight="1">
      <x:c r="A1230" s="53" t="str">
        <x:v>Anjoman accounting - refined.xlsx</x:v>
      </x:c>
      <x:c r="B1230" s="53" t="str">
        <x:v>اسناد و شواهد</x:v>
      </x:c>
      <x:c r="C1230" s="53" t="str">
        <x:v>A76</x:v>
      </x:c>
      <x:c r="D1230" s="53" t="str">
        <x:v>E-0073</x:v>
      </x:c>
      <x:c r="E1230" s="53"/>
    </x:row>
    <x:row r="1231" ht="15" hidden="0" customHeight="1">
      <x:c r="A1231" s="53" t="str">
        <x:v>Anjoman accounting - refined.xlsx</x:v>
      </x:c>
      <x:c r="B1231" s="53" t="str">
        <x:v>اسناد و شواهد</x:v>
      </x:c>
      <x:c r="C1231" s="53" t="str">
        <x:v>B76</x:v>
      </x:c>
      <x:c r="D1231" s="53" t="str">
        <x:v>telegram export\messages.html</x:v>
      </x:c>
      <x:c r="E1231" s="53"/>
    </x:row>
    <x:row r="1232" ht="15" hidden="0" customHeight="1">
      <x:c r="A1232" s="53" t="str">
        <x:v>Anjoman accounting - refined.xlsx</x:v>
      </x:c>
      <x:c r="B1232" s="53" t="str">
        <x:v>اسناد و شواهد</x:v>
      </x:c>
      <x:c r="C1232" s="53" t="str">
        <x:v>C76</x:v>
      </x:c>
      <x:c r="D1232" s="53" t="str">
        <x:v>html</x:v>
      </x:c>
      <x:c r="E1232" s="53"/>
    </x:row>
    <x:row r="1233" ht="15" hidden="0" customHeight="1">
      <x:c r="A1233" s="53" t="str">
        <x:v>Anjoman accounting - refined.xlsx</x:v>
      </x:c>
      <x:c r="B1233" s="53" t="str">
        <x:v>اسناد و شواهد</x:v>
      </x:c>
      <x:c r="C1233" s="53" t="str">
        <x:v>D76</x:v>
      </x:c>
      <x:c r="D1233" s="53" t="str">
        <x:v>116651</x:v>
      </x:c>
      <x:c r="E1233" s="53"/>
    </x:row>
    <x:row r="1234" ht="15" hidden="0" customHeight="1">
      <x:c r="A1234" s="53" t="str">
        <x:v>Anjoman accounting - refined.xlsx</x:v>
      </x:c>
      <x:c r="B1234" s="53" t="str">
        <x:v>اسناد و شواهد</x:v>
      </x:c>
      <x:c r="C1234" s="53" t="str">
        <x:v>E76</x:v>
      </x:c>
      <x:c r="D1234" s="53" t="str">
        <x:v>4ac19a5c1db97672da0893539fa00e862d2f986c2b12a577bfe816891b24e7e4</x:v>
      </x:c>
      <x:c r="E1234" s="53"/>
    </x:row>
    <x:row r="1235" ht="15" hidden="0" customHeight="1">
      <x:c r="A1235" s="53" t="str">
        <x:v>Anjoman accounting - refined.xlsx</x:v>
      </x:c>
      <x:c r="B1235" s="53" t="str">
        <x:v>اسناد و شواهد</x:v>
      </x:c>
      <x:c r="C1235" s="53" t="str">
        <x:v>F76</x:v>
      </x:c>
      <x:c r="D1235" s="53" t="str">
        <x:v>آرشیو HTML تلگرام؛ 188 پیام.</x:v>
      </x:c>
      <x:c r="E1235" s="53"/>
    </x:row>
    <x:row r="1236" ht="15" hidden="0" customHeight="1">
      <x:c r="A1236" s="53" t="str">
        <x:v>Anjoman accounting - refined.xlsx</x:v>
      </x:c>
      <x:c r="B1236" s="53" t="str">
        <x:v>اسناد و شواهد</x:v>
      </x:c>
      <x:c r="C1236" s="53" t="str">
        <x:v>A77</x:v>
      </x:c>
      <x:c r="D1236" s="53" t="str">
        <x:v>E-0074</x:v>
      </x:c>
      <x:c r="E1236" s="53"/>
    </x:row>
    <x:row r="1237" ht="15" hidden="0" customHeight="1">
      <x:c r="A1237" s="53" t="str">
        <x:v>Anjoman accounting - refined.xlsx</x:v>
      </x:c>
      <x:c r="B1237" s="53" t="str">
        <x:v>اسناد و شواهد</x:v>
      </x:c>
      <x:c r="C1237" s="53" t="str">
        <x:v>B77</x:v>
      </x:c>
      <x:c r="D1237" s="53" t="str">
        <x:v>telegram export\photos\photo_10@15-08-2025_18-28-22.jpg</x:v>
      </x:c>
      <x:c r="E1237" s="53"/>
    </x:row>
    <x:row r="1238" ht="15" hidden="0" customHeight="1">
      <x:c r="A1238" s="53" t="str">
        <x:v>Anjoman accounting - refined.xlsx</x:v>
      </x:c>
      <x:c r="B1238" s="53" t="str">
        <x:v>اسناد و شواهد</x:v>
      </x:c>
      <x:c r="C1238" s="53" t="str">
        <x:v>C77</x:v>
      </x:c>
      <x:c r="D1238" s="53" t="str">
        <x:v>jpg</x:v>
      </x:c>
      <x:c r="E1238" s="53"/>
    </x:row>
    <x:row r="1239" ht="15" hidden="0" customHeight="1">
      <x:c r="A1239" s="53" t="str">
        <x:v>Anjoman accounting - refined.xlsx</x:v>
      </x:c>
      <x:c r="B1239" s="53" t="str">
        <x:v>اسناد و شواهد</x:v>
      </x:c>
      <x:c r="C1239" s="53" t="str">
        <x:v>D77</x:v>
      </x:c>
      <x:c r="D1239" s="53" t="str">
        <x:v>74672</x:v>
      </x:c>
      <x:c r="E1239" s="53"/>
    </x:row>
    <x:row r="1240" ht="15" hidden="0" customHeight="1">
      <x:c r="A1240" s="53" t="str">
        <x:v>Anjoman accounting - refined.xlsx</x:v>
      </x:c>
      <x:c r="B1240" s="53" t="str">
        <x:v>اسناد و شواهد</x:v>
      </x:c>
      <x:c r="C1240" s="53" t="str">
        <x:v>E77</x:v>
      </x:c>
      <x:c r="D1240" s="53" t="str">
        <x:v>28455c00bd0229cddc0b8874a8b025fc25700f4e553b6c67bdfc9082b2cad0b7</x:v>
      </x:c>
      <x:c r="E1240" s="53"/>
    </x:row>
    <x:row r="1241" ht="15" hidden="0" customHeight="1">
      <x:c r="A1241" s="53" t="str">
        <x:v>Anjoman accounting - refined.xlsx</x:v>
      </x:c>
      <x:c r="B1241" s="53" t="str">
        <x:v>اسناد و شواهد</x:v>
      </x:c>
      <x:c r="C1241" s="53" t="str">
        <x:v>A78</x:v>
      </x:c>
      <x:c r="D1241" s="53" t="str">
        <x:v>E-0075</x:v>
      </x:c>
      <x:c r="E1241" s="53"/>
    </x:row>
    <x:row r="1242" ht="15" hidden="0" customHeight="1">
      <x:c r="A1242" s="53" t="str">
        <x:v>Anjoman accounting - refined.xlsx</x:v>
      </x:c>
      <x:c r="B1242" s="53" t="str">
        <x:v>اسناد و شواهد</x:v>
      </x:c>
      <x:c r="C1242" s="53" t="str">
        <x:v>B78</x:v>
      </x:c>
      <x:c r="D1242" s="53" t="str">
        <x:v>telegram export\photos\photo_10@15-08-2025_18-28-22_thumb.jpg</x:v>
      </x:c>
      <x:c r="E1242" s="53"/>
    </x:row>
    <x:row r="1243" ht="15" hidden="0" customHeight="1">
      <x:c r="A1243" s="53" t="str">
        <x:v>Anjoman accounting - refined.xlsx</x:v>
      </x:c>
      <x:c r="B1243" s="53" t="str">
        <x:v>اسناد و شواهد</x:v>
      </x:c>
      <x:c r="C1243" s="53" t="str">
        <x:v>C78</x:v>
      </x:c>
      <x:c r="D1243" s="53" t="str">
        <x:v>jpg</x:v>
      </x:c>
      <x:c r="E1243" s="53"/>
    </x:row>
    <x:row r="1244" ht="15" hidden="0" customHeight="1">
      <x:c r="A1244" s="53" t="str">
        <x:v>Anjoman accounting - refined.xlsx</x:v>
      </x:c>
      <x:c r="B1244" s="53" t="str">
        <x:v>اسناد و شواهد</x:v>
      </x:c>
      <x:c r="C1244" s="53" t="str">
        <x:v>D78</x:v>
      </x:c>
      <x:c r="D1244" s="53" t="str">
        <x:v>19340</x:v>
      </x:c>
      <x:c r="E1244" s="53"/>
    </x:row>
    <x:row r="1245" ht="15" hidden="0" customHeight="1">
      <x:c r="A1245" s="53" t="str">
        <x:v>Anjoman accounting - refined.xlsx</x:v>
      </x:c>
      <x:c r="B1245" s="53" t="str">
        <x:v>اسناد و شواهد</x:v>
      </x:c>
      <x:c r="C1245" s="53" t="str">
        <x:v>E78</x:v>
      </x:c>
      <x:c r="D1245" s="53" t="str">
        <x:v>a58bc000f93a895581fe1d589a7b9a591f161334aac4868bebfcb5d07dbae70e</x:v>
      </x:c>
      <x:c r="E1245" s="53"/>
    </x:row>
    <x:row r="1246" ht="15" hidden="0" customHeight="1">
      <x:c r="A1246" s="53" t="str">
        <x:v>Anjoman accounting - refined.xlsx</x:v>
      </x:c>
      <x:c r="B1246" s="53" t="str">
        <x:v>اسناد و شواهد</x:v>
      </x:c>
      <x:c r="C1246" s="53" t="str">
        <x:v>A79</x:v>
      </x:c>
      <x:c r="D1246" s="53" t="str">
        <x:v>E-0076</x:v>
      </x:c>
      <x:c r="E1246" s="53"/>
    </x:row>
    <x:row r="1247" ht="15" hidden="0" customHeight="1">
      <x:c r="A1247" s="53" t="str">
        <x:v>Anjoman accounting - refined.xlsx</x:v>
      </x:c>
      <x:c r="B1247" s="53" t="str">
        <x:v>اسناد و شواهد</x:v>
      </x:c>
      <x:c r="C1247" s="53" t="str">
        <x:v>B79</x:v>
      </x:c>
      <x:c r="D1247" s="53" t="str">
        <x:v>telegram export\photos\photo_11@04-09-2025_14-05-56.jpg</x:v>
      </x:c>
      <x:c r="E1247" s="53"/>
    </x:row>
    <x:row r="1248" ht="15" hidden="0" customHeight="1">
      <x:c r="A1248" s="53" t="str">
        <x:v>Anjoman accounting - refined.xlsx</x:v>
      </x:c>
      <x:c r="B1248" s="53" t="str">
        <x:v>اسناد و شواهد</x:v>
      </x:c>
      <x:c r="C1248" s="53" t="str">
        <x:v>C79</x:v>
      </x:c>
      <x:c r="D1248" s="53" t="str">
        <x:v>jpg</x:v>
      </x:c>
      <x:c r="E1248" s="53"/>
    </x:row>
    <x:row r="1249" ht="15" hidden="0" customHeight="1">
      <x:c r="A1249" s="53" t="str">
        <x:v>Anjoman accounting - refined.xlsx</x:v>
      </x:c>
      <x:c r="B1249" s="53" t="str">
        <x:v>اسناد و شواهد</x:v>
      </x:c>
      <x:c r="C1249" s="53" t="str">
        <x:v>D79</x:v>
      </x:c>
      <x:c r="D1249" s="53" t="str">
        <x:v>56585</x:v>
      </x:c>
      <x:c r="E1249" s="53"/>
    </x:row>
    <x:row r="1250" ht="15" hidden="0" customHeight="1">
      <x:c r="A1250" s="53" t="str">
        <x:v>Anjoman accounting - refined.xlsx</x:v>
      </x:c>
      <x:c r="B1250" s="53" t="str">
        <x:v>اسناد و شواهد</x:v>
      </x:c>
      <x:c r="C1250" s="53" t="str">
        <x:v>E79</x:v>
      </x:c>
      <x:c r="D1250" s="53" t="str">
        <x:v>dba6c9549b471a9a2d016b29b57970c53eedf21a4f80e3a841478cf04784555e</x:v>
      </x:c>
      <x:c r="E1250" s="53"/>
    </x:row>
    <x:row r="1251" ht="15" hidden="0" customHeight="1">
      <x:c r="A1251" s="53" t="str">
        <x:v>Anjoman accounting - refined.xlsx</x:v>
      </x:c>
      <x:c r="B1251" s="53" t="str">
        <x:v>اسناد و شواهد</x:v>
      </x:c>
      <x:c r="C1251" s="53" t="str">
        <x:v>A80</x:v>
      </x:c>
      <x:c r="D1251" s="53" t="str">
        <x:v>E-0077</x:v>
      </x:c>
      <x:c r="E1251" s="53"/>
    </x:row>
    <x:row r="1252" ht="15" hidden="0" customHeight="1">
      <x:c r="A1252" s="53" t="str">
        <x:v>Anjoman accounting - refined.xlsx</x:v>
      </x:c>
      <x:c r="B1252" s="53" t="str">
        <x:v>اسناد و شواهد</x:v>
      </x:c>
      <x:c r="C1252" s="53" t="str">
        <x:v>B80</x:v>
      </x:c>
      <x:c r="D1252" s="53" t="str">
        <x:v>telegram export\photos\photo_11@04-09-2025_14-05-56_thumb.jpg</x:v>
      </x:c>
      <x:c r="E1252" s="53"/>
    </x:row>
    <x:row r="1253" ht="15" hidden="0" customHeight="1">
      <x:c r="A1253" s="53" t="str">
        <x:v>Anjoman accounting - refined.xlsx</x:v>
      </x:c>
      <x:c r="B1253" s="53" t="str">
        <x:v>اسناد و شواهد</x:v>
      </x:c>
      <x:c r="C1253" s="53" t="str">
        <x:v>C80</x:v>
      </x:c>
      <x:c r="D1253" s="53" t="str">
        <x:v>jpg</x:v>
      </x:c>
      <x:c r="E1253" s="53"/>
    </x:row>
    <x:row r="1254" ht="15" hidden="0" customHeight="1">
      <x:c r="A1254" s="53" t="str">
        <x:v>Anjoman accounting - refined.xlsx</x:v>
      </x:c>
      <x:c r="B1254" s="53" t="str">
        <x:v>اسناد و شواهد</x:v>
      </x:c>
      <x:c r="C1254" s="53" t="str">
        <x:v>D80</x:v>
      </x:c>
      <x:c r="D1254" s="53" t="str">
        <x:v>11956</x:v>
      </x:c>
      <x:c r="E1254" s="53"/>
    </x:row>
    <x:row r="1255" ht="15" hidden="0" customHeight="1">
      <x:c r="A1255" s="53" t="str">
        <x:v>Anjoman accounting - refined.xlsx</x:v>
      </x:c>
      <x:c r="B1255" s="53" t="str">
        <x:v>اسناد و شواهد</x:v>
      </x:c>
      <x:c r="C1255" s="53" t="str">
        <x:v>E80</x:v>
      </x:c>
      <x:c r="D1255" s="53" t="str">
        <x:v>9f8106459480bbb120b614b9d92d4f3c0c1627a89706ac860e23d53fa2179cb5</x:v>
      </x:c>
      <x:c r="E1255" s="53"/>
    </x:row>
    <x:row r="1256" ht="15" hidden="0" customHeight="1">
      <x:c r="A1256" s="53" t="str">
        <x:v>Anjoman accounting - refined.xlsx</x:v>
      </x:c>
      <x:c r="B1256" s="53" t="str">
        <x:v>اسناد و شواهد</x:v>
      </x:c>
      <x:c r="C1256" s="53" t="str">
        <x:v>A81</x:v>
      </x:c>
      <x:c r="D1256" s="53" t="str">
        <x:v>E-0078</x:v>
      </x:c>
      <x:c r="E1256" s="53"/>
    </x:row>
    <x:row r="1257" ht="15" hidden="0" customHeight="1">
      <x:c r="A1257" s="53" t="str">
        <x:v>Anjoman accounting - refined.xlsx</x:v>
      </x:c>
      <x:c r="B1257" s="53" t="str">
        <x:v>اسناد و شواهد</x:v>
      </x:c>
      <x:c r="C1257" s="53" t="str">
        <x:v>B81</x:v>
      </x:c>
      <x:c r="D1257" s="53" t="str">
        <x:v>telegram export\photos\photo_12@01-10-2025_18-02-44.jpg</x:v>
      </x:c>
      <x:c r="E1257" s="53"/>
    </x:row>
    <x:row r="1258" ht="15" hidden="0" customHeight="1">
      <x:c r="A1258" s="53" t="str">
        <x:v>Anjoman accounting - refined.xlsx</x:v>
      </x:c>
      <x:c r="B1258" s="53" t="str">
        <x:v>اسناد و شواهد</x:v>
      </x:c>
      <x:c r="C1258" s="53" t="str">
        <x:v>C81</x:v>
      </x:c>
      <x:c r="D1258" s="53" t="str">
        <x:v>jpg</x:v>
      </x:c>
      <x:c r="E1258" s="53"/>
    </x:row>
    <x:row r="1259" ht="15" hidden="0" customHeight="1">
      <x:c r="A1259" s="53" t="str">
        <x:v>Anjoman accounting - refined.xlsx</x:v>
      </x:c>
      <x:c r="B1259" s="53" t="str">
        <x:v>اسناد و شواهد</x:v>
      </x:c>
      <x:c r="C1259" s="53" t="str">
        <x:v>D81</x:v>
      </x:c>
      <x:c r="D1259" s="53" t="str">
        <x:v>48640</x:v>
      </x:c>
      <x:c r="E1259" s="53"/>
    </x:row>
    <x:row r="1260" ht="15" hidden="0" customHeight="1">
      <x:c r="A1260" s="53" t="str">
        <x:v>Anjoman accounting - refined.xlsx</x:v>
      </x:c>
      <x:c r="B1260" s="53" t="str">
        <x:v>اسناد و شواهد</x:v>
      </x:c>
      <x:c r="C1260" s="53" t="str">
        <x:v>E81</x:v>
      </x:c>
      <x:c r="D1260" s="53" t="str">
        <x:v>6295ac27d8bc4463d51132d3a86a8e01dc37946b107ee50d0c77ceffe9470b4c</x:v>
      </x:c>
      <x:c r="E1260" s="53"/>
    </x:row>
    <x:row r="1261" ht="15" hidden="0" customHeight="1">
      <x:c r="A1261" s="53" t="str">
        <x:v>Anjoman accounting - refined.xlsx</x:v>
      </x:c>
      <x:c r="B1261" s="53" t="str">
        <x:v>اسناد و شواهد</x:v>
      </x:c>
      <x:c r="C1261" s="53" t="str">
        <x:v>A82</x:v>
      </x:c>
      <x:c r="D1261" s="53" t="str">
        <x:v>E-0079</x:v>
      </x:c>
      <x:c r="E1261" s="53"/>
    </x:row>
    <x:row r="1262" ht="15" hidden="0" customHeight="1">
      <x:c r="A1262" s="53" t="str">
        <x:v>Anjoman accounting - refined.xlsx</x:v>
      </x:c>
      <x:c r="B1262" s="53" t="str">
        <x:v>اسناد و شواهد</x:v>
      </x:c>
      <x:c r="C1262" s="53" t="str">
        <x:v>B82</x:v>
      </x:c>
      <x:c r="D1262" s="53" t="str">
        <x:v>telegram export\photos\photo_12@01-10-2025_18-02-44_thumb.jpg</x:v>
      </x:c>
      <x:c r="E1262" s="53"/>
    </x:row>
    <x:row r="1263" ht="15" hidden="0" customHeight="1">
      <x:c r="A1263" s="53" t="str">
        <x:v>Anjoman accounting - refined.xlsx</x:v>
      </x:c>
      <x:c r="B1263" s="53" t="str">
        <x:v>اسناد و شواهد</x:v>
      </x:c>
      <x:c r="C1263" s="53" t="str">
        <x:v>C82</x:v>
      </x:c>
      <x:c r="D1263" s="53" t="str">
        <x:v>jpg</x:v>
      </x:c>
      <x:c r="E1263" s="53"/>
    </x:row>
    <x:row r="1264" ht="15" hidden="0" customHeight="1">
      <x:c r="A1264" s="53" t="str">
        <x:v>Anjoman accounting - refined.xlsx</x:v>
      </x:c>
      <x:c r="B1264" s="53" t="str">
        <x:v>اسناد و شواهد</x:v>
      </x:c>
      <x:c r="C1264" s="53" t="str">
        <x:v>D82</x:v>
      </x:c>
      <x:c r="D1264" s="53" t="str">
        <x:v>12829</x:v>
      </x:c>
      <x:c r="E1264" s="53"/>
    </x:row>
    <x:row r="1265" ht="15" hidden="0" customHeight="1">
      <x:c r="A1265" s="53" t="str">
        <x:v>Anjoman accounting - refined.xlsx</x:v>
      </x:c>
      <x:c r="B1265" s="53" t="str">
        <x:v>اسناد و شواهد</x:v>
      </x:c>
      <x:c r="C1265" s="53" t="str">
        <x:v>E82</x:v>
      </x:c>
      <x:c r="D1265" s="53" t="str">
        <x:v>7a3dab5ba89236fe2f1d060e1ff1e30d19943ed70b11df61e58ac0013d5c0848</x:v>
      </x:c>
      <x:c r="E1265" s="53"/>
    </x:row>
    <x:row r="1266" ht="15" hidden="0" customHeight="1">
      <x:c r="A1266" s="53" t="str">
        <x:v>Anjoman accounting - refined.xlsx</x:v>
      </x:c>
      <x:c r="B1266" s="53" t="str">
        <x:v>اسناد و شواهد</x:v>
      </x:c>
      <x:c r="C1266" s="53" t="str">
        <x:v>A83</x:v>
      </x:c>
      <x:c r="D1266" s="53" t="str">
        <x:v>E-0080</x:v>
      </x:c>
      <x:c r="E1266" s="53"/>
    </x:row>
    <x:row r="1267" ht="15" hidden="0" customHeight="1">
      <x:c r="A1267" s="53" t="str">
        <x:v>Anjoman accounting - refined.xlsx</x:v>
      </x:c>
      <x:c r="B1267" s="53" t="str">
        <x:v>اسناد و شواهد</x:v>
      </x:c>
      <x:c r="C1267" s="53" t="str">
        <x:v>B83</x:v>
      </x:c>
      <x:c r="D1267" s="53" t="str">
        <x:v>telegram export\photos\photo_13@12-10-2025_10-24-38.jpg</x:v>
      </x:c>
      <x:c r="E1267" s="53"/>
    </x:row>
    <x:row r="1268" ht="15" hidden="0" customHeight="1">
      <x:c r="A1268" s="53" t="str">
        <x:v>Anjoman accounting - refined.xlsx</x:v>
      </x:c>
      <x:c r="B1268" s="53" t="str">
        <x:v>اسناد و شواهد</x:v>
      </x:c>
      <x:c r="C1268" s="53" t="str">
        <x:v>C83</x:v>
      </x:c>
      <x:c r="D1268" s="53" t="str">
        <x:v>jpg</x:v>
      </x:c>
      <x:c r="E1268" s="53"/>
    </x:row>
    <x:row r="1269" ht="15" hidden="0" customHeight="1">
      <x:c r="A1269" s="53" t="str">
        <x:v>Anjoman accounting - refined.xlsx</x:v>
      </x:c>
      <x:c r="B1269" s="53" t="str">
        <x:v>اسناد و شواهد</x:v>
      </x:c>
      <x:c r="C1269" s="53" t="str">
        <x:v>D83</x:v>
      </x:c>
      <x:c r="D1269" s="53" t="str">
        <x:v>66592</x:v>
      </x:c>
      <x:c r="E1269" s="53"/>
    </x:row>
    <x:row r="1270" ht="15" hidden="0" customHeight="1">
      <x:c r="A1270" s="53" t="str">
        <x:v>Anjoman accounting - refined.xlsx</x:v>
      </x:c>
      <x:c r="B1270" s="53" t="str">
        <x:v>اسناد و شواهد</x:v>
      </x:c>
      <x:c r="C1270" s="53" t="str">
        <x:v>E83</x:v>
      </x:c>
      <x:c r="D1270" s="53" t="str">
        <x:v>6d79bcdee6b1e2fb274811a327e44deb472e519ef16ca2cb2633fddb9da7e083</x:v>
      </x:c>
      <x:c r="E1270" s="53"/>
    </x:row>
    <x:row r="1271" ht="15" hidden="0" customHeight="1">
      <x:c r="A1271" s="53" t="str">
        <x:v>Anjoman accounting - refined.xlsx</x:v>
      </x:c>
      <x:c r="B1271" s="53" t="str">
        <x:v>اسناد و شواهد</x:v>
      </x:c>
      <x:c r="C1271" s="53" t="str">
        <x:v>A84</x:v>
      </x:c>
      <x:c r="D1271" s="53" t="str">
        <x:v>E-0081</x:v>
      </x:c>
      <x:c r="E1271" s="53"/>
    </x:row>
    <x:row r="1272" ht="15" hidden="0" customHeight="1">
      <x:c r="A1272" s="53" t="str">
        <x:v>Anjoman accounting - refined.xlsx</x:v>
      </x:c>
      <x:c r="B1272" s="53" t="str">
        <x:v>اسناد و شواهد</x:v>
      </x:c>
      <x:c r="C1272" s="53" t="str">
        <x:v>B84</x:v>
      </x:c>
      <x:c r="D1272" s="53" t="str">
        <x:v>telegram export\photos\photo_13@12-10-2025_10-24-38_thumb.jpg</x:v>
      </x:c>
      <x:c r="E1272" s="53"/>
    </x:row>
    <x:row r="1273" ht="15" hidden="0" customHeight="1">
      <x:c r="A1273" s="53" t="str">
        <x:v>Anjoman accounting - refined.xlsx</x:v>
      </x:c>
      <x:c r="B1273" s="53" t="str">
        <x:v>اسناد و شواهد</x:v>
      </x:c>
      <x:c r="C1273" s="53" t="str">
        <x:v>C84</x:v>
      </x:c>
      <x:c r="D1273" s="53" t="str">
        <x:v>jpg</x:v>
      </x:c>
      <x:c r="E1273" s="53"/>
    </x:row>
    <x:row r="1274" ht="15" hidden="0" customHeight="1">
      <x:c r="A1274" s="53" t="str">
        <x:v>Anjoman accounting - refined.xlsx</x:v>
      </x:c>
      <x:c r="B1274" s="53" t="str">
        <x:v>اسناد و شواهد</x:v>
      </x:c>
      <x:c r="C1274" s="53" t="str">
        <x:v>D84</x:v>
      </x:c>
      <x:c r="D1274" s="53" t="str">
        <x:v>16419</x:v>
      </x:c>
      <x:c r="E1274" s="53"/>
    </x:row>
    <x:row r="1275" ht="15" hidden="0" customHeight="1">
      <x:c r="A1275" s="53" t="str">
        <x:v>Anjoman accounting - refined.xlsx</x:v>
      </x:c>
      <x:c r="B1275" s="53" t="str">
        <x:v>اسناد و شواهد</x:v>
      </x:c>
      <x:c r="C1275" s="53" t="str">
        <x:v>E84</x:v>
      </x:c>
      <x:c r="D1275" s="53" t="str">
        <x:v>ca78629b1c33be06e039ea82af1ee7c3c83c93d8b32bb6d934df0e15ecd6bf96</x:v>
      </x:c>
      <x:c r="E1275" s="53"/>
    </x:row>
    <x:row r="1276" ht="15" hidden="0" customHeight="1">
      <x:c r="A1276" s="53" t="str">
        <x:v>Anjoman accounting - refined.xlsx</x:v>
      </x:c>
      <x:c r="B1276" s="53" t="str">
        <x:v>اسناد و شواهد</x:v>
      </x:c>
      <x:c r="C1276" s="53" t="str">
        <x:v>A85</x:v>
      </x:c>
      <x:c r="D1276" s="53" t="str">
        <x:v>E-0082</x:v>
      </x:c>
      <x:c r="E1276" s="53"/>
    </x:row>
    <x:row r="1277" ht="15" hidden="0" customHeight="1">
      <x:c r="A1277" s="53" t="str">
        <x:v>Anjoman accounting - refined.xlsx</x:v>
      </x:c>
      <x:c r="B1277" s="53" t="str">
        <x:v>اسناد و شواهد</x:v>
      </x:c>
      <x:c r="C1277" s="53" t="str">
        <x:v>B85</x:v>
      </x:c>
      <x:c r="D1277" s="53" t="str">
        <x:v>telegram export\photos\photo_14@15-10-2025_14-18-25.jpg</x:v>
      </x:c>
      <x:c r="E1277" s="53"/>
    </x:row>
    <x:row r="1278" ht="15" hidden="0" customHeight="1">
      <x:c r="A1278" s="53" t="str">
        <x:v>Anjoman accounting - refined.xlsx</x:v>
      </x:c>
      <x:c r="B1278" s="53" t="str">
        <x:v>اسناد و شواهد</x:v>
      </x:c>
      <x:c r="C1278" s="53" t="str">
        <x:v>C85</x:v>
      </x:c>
      <x:c r="D1278" s="53" t="str">
        <x:v>jpg</x:v>
      </x:c>
      <x:c r="E1278" s="53"/>
    </x:row>
    <x:row r="1279" ht="15" hidden="0" customHeight="1">
      <x:c r="A1279" s="53" t="str">
        <x:v>Anjoman accounting - refined.xlsx</x:v>
      </x:c>
      <x:c r="B1279" s="53" t="str">
        <x:v>اسناد و شواهد</x:v>
      </x:c>
      <x:c r="C1279" s="53" t="str">
        <x:v>D85</x:v>
      </x:c>
      <x:c r="D1279" s="53" t="str">
        <x:v>69226</x:v>
      </x:c>
      <x:c r="E1279" s="53"/>
    </x:row>
    <x:row r="1280" ht="15" hidden="0" customHeight="1">
      <x:c r="A1280" s="53" t="str">
        <x:v>Anjoman accounting - refined.xlsx</x:v>
      </x:c>
      <x:c r="B1280" s="53" t="str">
        <x:v>اسناد و شواهد</x:v>
      </x:c>
      <x:c r="C1280" s="53" t="str">
        <x:v>E85</x:v>
      </x:c>
      <x:c r="D1280" s="53" t="str">
        <x:v>b214b33a77c58bb0428ba09719496e21696b82ae4055292c9711694e4e16fd3b</x:v>
      </x:c>
      <x:c r="E1280" s="53"/>
    </x:row>
    <x:row r="1281" ht="15" hidden="0" customHeight="1">
      <x:c r="A1281" s="53" t="str">
        <x:v>Anjoman accounting - refined.xlsx</x:v>
      </x:c>
      <x:c r="B1281" s="53" t="str">
        <x:v>اسناد و شواهد</x:v>
      </x:c>
      <x:c r="C1281" s="53" t="str">
        <x:v>A86</x:v>
      </x:c>
      <x:c r="D1281" s="53" t="str">
        <x:v>E-0083</x:v>
      </x:c>
      <x:c r="E1281" s="53"/>
    </x:row>
    <x:row r="1282" ht="15" hidden="0" customHeight="1">
      <x:c r="A1282" s="53" t="str">
        <x:v>Anjoman accounting - refined.xlsx</x:v>
      </x:c>
      <x:c r="B1282" s="53" t="str">
        <x:v>اسناد و شواهد</x:v>
      </x:c>
      <x:c r="C1282" s="53" t="str">
        <x:v>B86</x:v>
      </x:c>
      <x:c r="D1282" s="53" t="str">
        <x:v>telegram export\photos\photo_14@15-10-2025_14-18-25_thumb.jpg</x:v>
      </x:c>
      <x:c r="E1282" s="53"/>
    </x:row>
    <x:row r="1283" ht="15" hidden="0" customHeight="1">
      <x:c r="A1283" s="53" t="str">
        <x:v>Anjoman accounting - refined.xlsx</x:v>
      </x:c>
      <x:c r="B1283" s="53" t="str">
        <x:v>اسناد و شواهد</x:v>
      </x:c>
      <x:c r="C1283" s="53" t="str">
        <x:v>C86</x:v>
      </x:c>
      <x:c r="D1283" s="53" t="str">
        <x:v>jpg</x:v>
      </x:c>
      <x:c r="E1283" s="53"/>
    </x:row>
    <x:row r="1284" ht="15" hidden="0" customHeight="1">
      <x:c r="A1284" s="53" t="str">
        <x:v>Anjoman accounting - refined.xlsx</x:v>
      </x:c>
      <x:c r="B1284" s="53" t="str">
        <x:v>اسناد و شواهد</x:v>
      </x:c>
      <x:c r="C1284" s="53" t="str">
        <x:v>D86</x:v>
      </x:c>
      <x:c r="D1284" s="53" t="str">
        <x:v>16784</x:v>
      </x:c>
      <x:c r="E1284" s="53"/>
    </x:row>
    <x:row r="1285" ht="15" hidden="0" customHeight="1">
      <x:c r="A1285" s="53" t="str">
        <x:v>Anjoman accounting - refined.xlsx</x:v>
      </x:c>
      <x:c r="B1285" s="53" t="str">
        <x:v>اسناد و شواهد</x:v>
      </x:c>
      <x:c r="C1285" s="53" t="str">
        <x:v>E86</x:v>
      </x:c>
      <x:c r="D1285" s="53" t="str">
        <x:v>3de324a0cbce4cd86687c8ce373a2a362b257aedc756937245498853e088c631</x:v>
      </x:c>
      <x:c r="E1285" s="53"/>
    </x:row>
    <x:row r="1286" ht="15" hidden="0" customHeight="1">
      <x:c r="A1286" s="53" t="str">
        <x:v>Anjoman accounting - refined.xlsx</x:v>
      </x:c>
      <x:c r="B1286" s="53" t="str">
        <x:v>اسناد و شواهد</x:v>
      </x:c>
      <x:c r="C1286" s="53" t="str">
        <x:v>A87</x:v>
      </x:c>
      <x:c r="D1286" s="53" t="str">
        <x:v>E-0084</x:v>
      </x:c>
      <x:c r="E1286" s="53"/>
    </x:row>
    <x:row r="1287" ht="15" hidden="0" customHeight="1">
      <x:c r="A1287" s="53" t="str">
        <x:v>Anjoman accounting - refined.xlsx</x:v>
      </x:c>
      <x:c r="B1287" s="53" t="str">
        <x:v>اسناد و شواهد</x:v>
      </x:c>
      <x:c r="C1287" s="53" t="str">
        <x:v>B87</x:v>
      </x:c>
      <x:c r="D1287" s="53" t="str">
        <x:v>telegram export\photos\photo_15@15-10-2025_14-18-25.jpg</x:v>
      </x:c>
      <x:c r="E1287" s="53"/>
    </x:row>
    <x:row r="1288" ht="15" hidden="0" customHeight="1">
      <x:c r="A1288" s="53" t="str">
        <x:v>Anjoman accounting - refined.xlsx</x:v>
      </x:c>
      <x:c r="B1288" s="53" t="str">
        <x:v>اسناد و شواهد</x:v>
      </x:c>
      <x:c r="C1288" s="53" t="str">
        <x:v>C87</x:v>
      </x:c>
      <x:c r="D1288" s="53" t="str">
        <x:v>jpg</x:v>
      </x:c>
      <x:c r="E1288" s="53"/>
    </x:row>
    <x:row r="1289" ht="15" hidden="0" customHeight="1">
      <x:c r="A1289" s="53" t="str">
        <x:v>Anjoman accounting - refined.xlsx</x:v>
      </x:c>
      <x:c r="B1289" s="53" t="str">
        <x:v>اسناد و شواهد</x:v>
      </x:c>
      <x:c r="C1289" s="53" t="str">
        <x:v>D87</x:v>
      </x:c>
      <x:c r="D1289" s="53" t="str">
        <x:v>64998</x:v>
      </x:c>
      <x:c r="E1289" s="53"/>
    </x:row>
    <x:row r="1290" ht="15" hidden="0" customHeight="1">
      <x:c r="A1290" s="53" t="str">
        <x:v>Anjoman accounting - refined.xlsx</x:v>
      </x:c>
      <x:c r="B1290" s="53" t="str">
        <x:v>اسناد و شواهد</x:v>
      </x:c>
      <x:c r="C1290" s="53" t="str">
        <x:v>E87</x:v>
      </x:c>
      <x:c r="D1290" s="53" t="str">
        <x:v>f31ffa6bdd2395d18e073911daffc69b21952eaef6f5b1d6bcf7beacb8193f96</x:v>
      </x:c>
      <x:c r="E1290" s="53"/>
    </x:row>
    <x:row r="1291" ht="15" hidden="0" customHeight="1">
      <x:c r="A1291" s="53" t="str">
        <x:v>Anjoman accounting - refined.xlsx</x:v>
      </x:c>
      <x:c r="B1291" s="53" t="str">
        <x:v>اسناد و شواهد</x:v>
      </x:c>
      <x:c r="C1291" s="53" t="str">
        <x:v>A88</x:v>
      </x:c>
      <x:c r="D1291" s="53" t="str">
        <x:v>E-0085</x:v>
      </x:c>
      <x:c r="E1291" s="53"/>
    </x:row>
    <x:row r="1292" ht="15" hidden="0" customHeight="1">
      <x:c r="A1292" s="53" t="str">
        <x:v>Anjoman accounting - refined.xlsx</x:v>
      </x:c>
      <x:c r="B1292" s="53" t="str">
        <x:v>اسناد و شواهد</x:v>
      </x:c>
      <x:c r="C1292" s="53" t="str">
        <x:v>B88</x:v>
      </x:c>
      <x:c r="D1292" s="53" t="str">
        <x:v>telegram export\photos\photo_15@15-10-2025_14-18-25_thumb.jpg</x:v>
      </x:c>
      <x:c r="E1292" s="53"/>
    </x:row>
    <x:row r="1293" ht="15" hidden="0" customHeight="1">
      <x:c r="A1293" s="53" t="str">
        <x:v>Anjoman accounting - refined.xlsx</x:v>
      </x:c>
      <x:c r="B1293" s="53" t="str">
        <x:v>اسناد و شواهد</x:v>
      </x:c>
      <x:c r="C1293" s="53" t="str">
        <x:v>C88</x:v>
      </x:c>
      <x:c r="D1293" s="53" t="str">
        <x:v>jpg</x:v>
      </x:c>
      <x:c r="E1293" s="53"/>
    </x:row>
    <x:row r="1294" ht="15" hidden="0" customHeight="1">
      <x:c r="A1294" s="53" t="str">
        <x:v>Anjoman accounting - refined.xlsx</x:v>
      </x:c>
      <x:c r="B1294" s="53" t="str">
        <x:v>اسناد و شواهد</x:v>
      </x:c>
      <x:c r="C1294" s="53" t="str">
        <x:v>D88</x:v>
      </x:c>
      <x:c r="D1294" s="53" t="str">
        <x:v>15789</x:v>
      </x:c>
      <x:c r="E1294" s="53"/>
    </x:row>
    <x:row r="1295" ht="15" hidden="0" customHeight="1">
      <x:c r="A1295" s="53" t="str">
        <x:v>Anjoman accounting - refined.xlsx</x:v>
      </x:c>
      <x:c r="B1295" s="53" t="str">
        <x:v>اسناد و شواهد</x:v>
      </x:c>
      <x:c r="C1295" s="53" t="str">
        <x:v>E88</x:v>
      </x:c>
      <x:c r="D1295" s="53" t="str">
        <x:v>84fb83569f92c36bf2e3c51ac122373c4e7a8a5d504aea145cb17e75890c355f</x:v>
      </x:c>
      <x:c r="E1295" s="53"/>
    </x:row>
    <x:row r="1296" ht="15" hidden="0" customHeight="1">
      <x:c r="A1296" s="53" t="str">
        <x:v>Anjoman accounting - refined.xlsx</x:v>
      </x:c>
      <x:c r="B1296" s="53" t="str">
        <x:v>اسناد و شواهد</x:v>
      </x:c>
      <x:c r="C1296" s="53" t="str">
        <x:v>A89</x:v>
      </x:c>
      <x:c r="D1296" s="53" t="str">
        <x:v>E-0086</x:v>
      </x:c>
      <x:c r="E1296" s="53"/>
    </x:row>
    <x:row r="1297" ht="15" hidden="0" customHeight="1">
      <x:c r="A1297" s="53" t="str">
        <x:v>Anjoman accounting - refined.xlsx</x:v>
      </x:c>
      <x:c r="B1297" s="53" t="str">
        <x:v>اسناد و شواهد</x:v>
      </x:c>
      <x:c r="C1297" s="53" t="str">
        <x:v>B89</x:v>
      </x:c>
      <x:c r="D1297" s="53" t="str">
        <x:v>telegram export\photos\photo_16@15-10-2025_14-18-26.jpg</x:v>
      </x:c>
      <x:c r="E1297" s="53"/>
    </x:row>
    <x:row r="1298" ht="15" hidden="0" customHeight="1">
      <x:c r="A1298" s="53" t="str">
        <x:v>Anjoman accounting - refined.xlsx</x:v>
      </x:c>
      <x:c r="B1298" s="53" t="str">
        <x:v>اسناد و شواهد</x:v>
      </x:c>
      <x:c r="C1298" s="53" t="str">
        <x:v>C89</x:v>
      </x:c>
      <x:c r="D1298" s="53" t="str">
        <x:v>jpg</x:v>
      </x:c>
      <x:c r="E1298" s="53"/>
    </x:row>
    <x:row r="1299" ht="15" hidden="0" customHeight="1">
      <x:c r="A1299" s="53" t="str">
        <x:v>Anjoman accounting - refined.xlsx</x:v>
      </x:c>
      <x:c r="B1299" s="53" t="str">
        <x:v>اسناد و شواهد</x:v>
      </x:c>
      <x:c r="C1299" s="53" t="str">
        <x:v>D89</x:v>
      </x:c>
      <x:c r="D1299" s="53" t="str">
        <x:v>68536</x:v>
      </x:c>
      <x:c r="E1299" s="53"/>
    </x:row>
    <x:row r="1300" ht="15" hidden="0" customHeight="1">
      <x:c r="A1300" s="53" t="str">
        <x:v>Anjoman accounting - refined.xlsx</x:v>
      </x:c>
      <x:c r="B1300" s="53" t="str">
        <x:v>اسناد و شواهد</x:v>
      </x:c>
      <x:c r="C1300" s="53" t="str">
        <x:v>E89</x:v>
      </x:c>
      <x:c r="D1300" s="53" t="str">
        <x:v>28db8e201da1e5584cadcf90b8a007d7293f769983b96c5cee2f7e2e3fd3fa83</x:v>
      </x:c>
      <x:c r="E1300" s="53"/>
    </x:row>
    <x:row r="1301" ht="15" hidden="0" customHeight="1">
      <x:c r="A1301" s="53" t="str">
        <x:v>Anjoman accounting - refined.xlsx</x:v>
      </x:c>
      <x:c r="B1301" s="53" t="str">
        <x:v>اسناد و شواهد</x:v>
      </x:c>
      <x:c r="C1301" s="53" t="str">
        <x:v>A90</x:v>
      </x:c>
      <x:c r="D1301" s="53" t="str">
        <x:v>E-0087</x:v>
      </x:c>
      <x:c r="E1301" s="53"/>
    </x:row>
    <x:row r="1302" ht="15" hidden="0" customHeight="1">
      <x:c r="A1302" s="53" t="str">
        <x:v>Anjoman accounting - refined.xlsx</x:v>
      </x:c>
      <x:c r="B1302" s="53" t="str">
        <x:v>اسناد و شواهد</x:v>
      </x:c>
      <x:c r="C1302" s="53" t="str">
        <x:v>B90</x:v>
      </x:c>
      <x:c r="D1302" s="53" t="str">
        <x:v>telegram export\photos\photo_16@15-10-2025_14-18-26_thumb.jpg</x:v>
      </x:c>
      <x:c r="E1302" s="53"/>
    </x:row>
    <x:row r="1303" ht="15" hidden="0" customHeight="1">
      <x:c r="A1303" s="53" t="str">
        <x:v>Anjoman accounting - refined.xlsx</x:v>
      </x:c>
      <x:c r="B1303" s="53" t="str">
        <x:v>اسناد و شواهد</x:v>
      </x:c>
      <x:c r="C1303" s="53" t="str">
        <x:v>C90</x:v>
      </x:c>
      <x:c r="D1303" s="53" t="str">
        <x:v>jpg</x:v>
      </x:c>
      <x:c r="E1303" s="53"/>
    </x:row>
    <x:row r="1304" ht="15" hidden="0" customHeight="1">
      <x:c r="A1304" s="53" t="str">
        <x:v>Anjoman accounting - refined.xlsx</x:v>
      </x:c>
      <x:c r="B1304" s="53" t="str">
        <x:v>اسناد و شواهد</x:v>
      </x:c>
      <x:c r="C1304" s="53" t="str">
        <x:v>D90</x:v>
      </x:c>
      <x:c r="D1304" s="53" t="str">
        <x:v>16693</x:v>
      </x:c>
      <x:c r="E1304" s="53"/>
    </x:row>
    <x:row r="1305" ht="15" hidden="0" customHeight="1">
      <x:c r="A1305" s="53" t="str">
        <x:v>Anjoman accounting - refined.xlsx</x:v>
      </x:c>
      <x:c r="B1305" s="53" t="str">
        <x:v>اسناد و شواهد</x:v>
      </x:c>
      <x:c r="C1305" s="53" t="str">
        <x:v>E90</x:v>
      </x:c>
      <x:c r="D1305" s="53" t="str">
        <x:v>c7bd027fc6bd99deb502d1822fd56939c697dda1833cfd10a129ee0bd2105649</x:v>
      </x:c>
      <x:c r="E1305" s="53"/>
    </x:row>
    <x:row r="1306" ht="15" hidden="0" customHeight="1">
      <x:c r="A1306" s="53" t="str">
        <x:v>Anjoman accounting - refined.xlsx</x:v>
      </x:c>
      <x:c r="B1306" s="53" t="str">
        <x:v>اسناد و شواهد</x:v>
      </x:c>
      <x:c r="C1306" s="53" t="str">
        <x:v>A91</x:v>
      </x:c>
      <x:c r="D1306" s="53" t="str">
        <x:v>E-0088</x:v>
      </x:c>
      <x:c r="E1306" s="53"/>
    </x:row>
    <x:row r="1307" ht="15" hidden="0" customHeight="1">
      <x:c r="A1307" s="53" t="str">
        <x:v>Anjoman accounting - refined.xlsx</x:v>
      </x:c>
      <x:c r="B1307" s="53" t="str">
        <x:v>اسناد و شواهد</x:v>
      </x:c>
      <x:c r="C1307" s="53" t="str">
        <x:v>B91</x:v>
      </x:c>
      <x:c r="D1307" s="53" t="str">
        <x:v>telegram export\photos\photo_17@15-10-2025_14-18-26.jpg</x:v>
      </x:c>
      <x:c r="E1307" s="53"/>
    </x:row>
    <x:row r="1308" ht="15" hidden="0" customHeight="1">
      <x:c r="A1308" s="53" t="str">
        <x:v>Anjoman accounting - refined.xlsx</x:v>
      </x:c>
      <x:c r="B1308" s="53" t="str">
        <x:v>اسناد و شواهد</x:v>
      </x:c>
      <x:c r="C1308" s="53" t="str">
        <x:v>C91</x:v>
      </x:c>
      <x:c r="D1308" s="53" t="str">
        <x:v>jpg</x:v>
      </x:c>
      <x:c r="E1308" s="53"/>
    </x:row>
    <x:row r="1309" ht="15" hidden="0" customHeight="1">
      <x:c r="A1309" s="53" t="str">
        <x:v>Anjoman accounting - refined.xlsx</x:v>
      </x:c>
      <x:c r="B1309" s="53" t="str">
        <x:v>اسناد و شواهد</x:v>
      </x:c>
      <x:c r="C1309" s="53" t="str">
        <x:v>D91</x:v>
      </x:c>
      <x:c r="D1309" s="53" t="str">
        <x:v>68859</x:v>
      </x:c>
      <x:c r="E1309" s="53"/>
    </x:row>
    <x:row r="1310" ht="15" hidden="0" customHeight="1">
      <x:c r="A1310" s="53" t="str">
        <x:v>Anjoman accounting - refined.xlsx</x:v>
      </x:c>
      <x:c r="B1310" s="53" t="str">
        <x:v>اسناد و شواهد</x:v>
      </x:c>
      <x:c r="C1310" s="53" t="str">
        <x:v>E91</x:v>
      </x:c>
      <x:c r="D1310" s="53" t="str">
        <x:v>ed8841b0f4a343d505b7aecc8f250fbe6f41fbcf2dcf64ca77e75a72fcf51b2b</x:v>
      </x:c>
      <x:c r="E1310" s="53"/>
    </x:row>
    <x:row r="1311" ht="15" hidden="0" customHeight="1">
      <x:c r="A1311" s="53" t="str">
        <x:v>Anjoman accounting - refined.xlsx</x:v>
      </x:c>
      <x:c r="B1311" s="53" t="str">
        <x:v>اسناد و شواهد</x:v>
      </x:c>
      <x:c r="C1311" s="53" t="str">
        <x:v>A92</x:v>
      </x:c>
      <x:c r="D1311" s="53" t="str">
        <x:v>E-0089</x:v>
      </x:c>
      <x:c r="E1311" s="53"/>
    </x:row>
    <x:row r="1312" ht="15" hidden="0" customHeight="1">
      <x:c r="A1312" s="53" t="str">
        <x:v>Anjoman accounting - refined.xlsx</x:v>
      </x:c>
      <x:c r="B1312" s="53" t="str">
        <x:v>اسناد و شواهد</x:v>
      </x:c>
      <x:c r="C1312" s="53" t="str">
        <x:v>B92</x:v>
      </x:c>
      <x:c r="D1312" s="53" t="str">
        <x:v>telegram export\photos\photo_17@15-10-2025_14-18-26_thumb.jpg</x:v>
      </x:c>
      <x:c r="E1312" s="53"/>
    </x:row>
    <x:row r="1313" ht="15" hidden="0" customHeight="1">
      <x:c r="A1313" s="53" t="str">
        <x:v>Anjoman accounting - refined.xlsx</x:v>
      </x:c>
      <x:c r="B1313" s="53" t="str">
        <x:v>اسناد و شواهد</x:v>
      </x:c>
      <x:c r="C1313" s="53" t="str">
        <x:v>C92</x:v>
      </x:c>
      <x:c r="D1313" s="53" t="str">
        <x:v>jpg</x:v>
      </x:c>
      <x:c r="E1313" s="53"/>
    </x:row>
    <x:row r="1314" ht="15" hidden="0" customHeight="1">
      <x:c r="A1314" s="53" t="str">
        <x:v>Anjoman accounting - refined.xlsx</x:v>
      </x:c>
      <x:c r="B1314" s="53" t="str">
        <x:v>اسناد و شواهد</x:v>
      </x:c>
      <x:c r="C1314" s="53" t="str">
        <x:v>D92</x:v>
      </x:c>
      <x:c r="D1314" s="53" t="str">
        <x:v>16713</x:v>
      </x:c>
      <x:c r="E1314" s="53"/>
    </x:row>
    <x:row r="1315" ht="15" hidden="0" customHeight="1">
      <x:c r="A1315" s="53" t="str">
        <x:v>Anjoman accounting - refined.xlsx</x:v>
      </x:c>
      <x:c r="B1315" s="53" t="str">
        <x:v>اسناد و شواهد</x:v>
      </x:c>
      <x:c r="C1315" s="53" t="str">
        <x:v>E92</x:v>
      </x:c>
      <x:c r="D1315" s="53" t="str">
        <x:v>af6afb8ea0aded3da55da30c939ceaea95050ffdb0cfdbb8f68bf9d88193eec4</x:v>
      </x:c>
      <x:c r="E1315" s="53"/>
    </x:row>
    <x:row r="1316" ht="15" hidden="0" customHeight="1">
      <x:c r="A1316" s="53" t="str">
        <x:v>Anjoman accounting - refined.xlsx</x:v>
      </x:c>
      <x:c r="B1316" s="53" t="str">
        <x:v>اسناد و شواهد</x:v>
      </x:c>
      <x:c r="C1316" s="53" t="str">
        <x:v>A93</x:v>
      </x:c>
      <x:c r="D1316" s="53" t="str">
        <x:v>E-0090</x:v>
      </x:c>
      <x:c r="E1316" s="53"/>
    </x:row>
    <x:row r="1317" ht="15" hidden="0" customHeight="1">
      <x:c r="A1317" s="53" t="str">
        <x:v>Anjoman accounting - refined.xlsx</x:v>
      </x:c>
      <x:c r="B1317" s="53" t="str">
        <x:v>اسناد و شواهد</x:v>
      </x:c>
      <x:c r="C1317" s="53" t="str">
        <x:v>B93</x:v>
      </x:c>
      <x:c r="D1317" s="53" t="str">
        <x:v>telegram export\photos\photo_18@28-10-2025_01-53-01.jpg</x:v>
      </x:c>
      <x:c r="E1317" s="53"/>
    </x:row>
    <x:row r="1318" ht="15" hidden="0" customHeight="1">
      <x:c r="A1318" s="53" t="str">
        <x:v>Anjoman accounting - refined.xlsx</x:v>
      </x:c>
      <x:c r="B1318" s="53" t="str">
        <x:v>اسناد و شواهد</x:v>
      </x:c>
      <x:c r="C1318" s="53" t="str">
        <x:v>C93</x:v>
      </x:c>
      <x:c r="D1318" s="53" t="str">
        <x:v>jpg</x:v>
      </x:c>
      <x:c r="E1318" s="53"/>
    </x:row>
    <x:row r="1319" ht="15" hidden="0" customHeight="1">
      <x:c r="A1319" s="53" t="str">
        <x:v>Anjoman accounting - refined.xlsx</x:v>
      </x:c>
      <x:c r="B1319" s="53" t="str">
        <x:v>اسناد و شواهد</x:v>
      </x:c>
      <x:c r="C1319" s="53" t="str">
        <x:v>D93</x:v>
      </x:c>
      <x:c r="D1319" s="53" t="str">
        <x:v>69491</x:v>
      </x:c>
      <x:c r="E1319" s="53"/>
    </x:row>
    <x:row r="1320" ht="15" hidden="0" customHeight="1">
      <x:c r="A1320" s="53" t="str">
        <x:v>Anjoman accounting - refined.xlsx</x:v>
      </x:c>
      <x:c r="B1320" s="53" t="str">
        <x:v>اسناد و شواهد</x:v>
      </x:c>
      <x:c r="C1320" s="53" t="str">
        <x:v>E93</x:v>
      </x:c>
      <x:c r="D1320" s="53" t="str">
        <x:v>52872081d1c4fc01e8f48c9cae4df8a96c78c269d03384ab89a398a382fda9e2</x:v>
      </x:c>
      <x:c r="E1320" s="53"/>
    </x:row>
    <x:row r="1321" ht="15" hidden="0" customHeight="1">
      <x:c r="A1321" s="53" t="str">
        <x:v>Anjoman accounting - refined.xlsx</x:v>
      </x:c>
      <x:c r="B1321" s="53" t="str">
        <x:v>اسناد و شواهد</x:v>
      </x:c>
      <x:c r="C1321" s="53" t="str">
        <x:v>A94</x:v>
      </x:c>
      <x:c r="D1321" s="53" t="str">
        <x:v>E-0091</x:v>
      </x:c>
      <x:c r="E1321" s="53"/>
    </x:row>
    <x:row r="1322" ht="15" hidden="0" customHeight="1">
      <x:c r="A1322" s="53" t="str">
        <x:v>Anjoman accounting - refined.xlsx</x:v>
      </x:c>
      <x:c r="B1322" s="53" t="str">
        <x:v>اسناد و شواهد</x:v>
      </x:c>
      <x:c r="C1322" s="53" t="str">
        <x:v>B94</x:v>
      </x:c>
      <x:c r="D1322" s="53" t="str">
        <x:v>telegram export\photos\photo_18@28-10-2025_01-53-01_thumb.jpg</x:v>
      </x:c>
      <x:c r="E1322" s="53"/>
    </x:row>
    <x:row r="1323" ht="15" hidden="0" customHeight="1">
      <x:c r="A1323" s="53" t="str">
        <x:v>Anjoman accounting - refined.xlsx</x:v>
      </x:c>
      <x:c r="B1323" s="53" t="str">
        <x:v>اسناد و شواهد</x:v>
      </x:c>
      <x:c r="C1323" s="53" t="str">
        <x:v>C94</x:v>
      </x:c>
      <x:c r="D1323" s="53" t="str">
        <x:v>jpg</x:v>
      </x:c>
      <x:c r="E1323" s="53"/>
    </x:row>
    <x:row r="1324" ht="15" hidden="0" customHeight="1">
      <x:c r="A1324" s="53" t="str">
        <x:v>Anjoman accounting - refined.xlsx</x:v>
      </x:c>
      <x:c r="B1324" s="53" t="str">
        <x:v>اسناد و شواهد</x:v>
      </x:c>
      <x:c r="C1324" s="53" t="str">
        <x:v>D94</x:v>
      </x:c>
      <x:c r="D1324" s="53" t="str">
        <x:v>16622</x:v>
      </x:c>
      <x:c r="E1324" s="53"/>
    </x:row>
    <x:row r="1325" ht="15" hidden="0" customHeight="1">
      <x:c r="A1325" s="53" t="str">
        <x:v>Anjoman accounting - refined.xlsx</x:v>
      </x:c>
      <x:c r="B1325" s="53" t="str">
        <x:v>اسناد و شواهد</x:v>
      </x:c>
      <x:c r="C1325" s="53" t="str">
        <x:v>E94</x:v>
      </x:c>
      <x:c r="D1325" s="53" t="str">
        <x:v>ba9400987c4ce862652ea4cdc5a2749ef5eb964dd21ee34afeed9d767f11135b</x:v>
      </x:c>
      <x:c r="E1325" s="53"/>
    </x:row>
    <x:row r="1326" ht="15" hidden="0" customHeight="1">
      <x:c r="A1326" s="53" t="str">
        <x:v>Anjoman accounting - refined.xlsx</x:v>
      </x:c>
      <x:c r="B1326" s="53" t="str">
        <x:v>اسناد و شواهد</x:v>
      </x:c>
      <x:c r="C1326" s="53" t="str">
        <x:v>A95</x:v>
      </x:c>
      <x:c r="D1326" s="53" t="str">
        <x:v>E-0092</x:v>
      </x:c>
      <x:c r="E1326" s="53"/>
    </x:row>
    <x:row r="1327" ht="15" hidden="0" customHeight="1">
      <x:c r="A1327" s="53" t="str">
        <x:v>Anjoman accounting - refined.xlsx</x:v>
      </x:c>
      <x:c r="B1327" s="53" t="str">
        <x:v>اسناد و شواهد</x:v>
      </x:c>
      <x:c r="C1327" s="53" t="str">
        <x:v>B95</x:v>
      </x:c>
      <x:c r="D1327" s="53" t="str">
        <x:v>telegram export\photos\photo_19@28-10-2025_01-58-07.jpg</x:v>
      </x:c>
      <x:c r="E1327" s="53"/>
    </x:row>
    <x:row r="1328" ht="15" hidden="0" customHeight="1">
      <x:c r="A1328" s="53" t="str">
        <x:v>Anjoman accounting - refined.xlsx</x:v>
      </x:c>
      <x:c r="B1328" s="53" t="str">
        <x:v>اسناد و شواهد</x:v>
      </x:c>
      <x:c r="C1328" s="53" t="str">
        <x:v>C95</x:v>
      </x:c>
      <x:c r="D1328" s="53" t="str">
        <x:v>jpg</x:v>
      </x:c>
      <x:c r="E1328" s="53"/>
    </x:row>
    <x:row r="1329" ht="15" hidden="0" customHeight="1">
      <x:c r="A1329" s="53" t="str">
        <x:v>Anjoman accounting - refined.xlsx</x:v>
      </x:c>
      <x:c r="B1329" s="53" t="str">
        <x:v>اسناد و شواهد</x:v>
      </x:c>
      <x:c r="C1329" s="53" t="str">
        <x:v>D95</x:v>
      </x:c>
      <x:c r="D1329" s="53" t="str">
        <x:v>65290</x:v>
      </x:c>
      <x:c r="E1329" s="53"/>
    </x:row>
    <x:row r="1330" ht="15" hidden="0" customHeight="1">
      <x:c r="A1330" s="53" t="str">
        <x:v>Anjoman accounting - refined.xlsx</x:v>
      </x:c>
      <x:c r="B1330" s="53" t="str">
        <x:v>اسناد و شواهد</x:v>
      </x:c>
      <x:c r="C1330" s="53" t="str">
        <x:v>E95</x:v>
      </x:c>
      <x:c r="D1330" s="53" t="str">
        <x:v>6406d711ff22151beab2efc5ad32dff29634b42c4df6d6c1de3e76cff738b2ca</x:v>
      </x:c>
      <x:c r="E1330" s="53"/>
    </x:row>
    <x:row r="1331" ht="15" hidden="0" customHeight="1">
      <x:c r="A1331" s="53" t="str">
        <x:v>Anjoman accounting - refined.xlsx</x:v>
      </x:c>
      <x:c r="B1331" s="53" t="str">
        <x:v>اسناد و شواهد</x:v>
      </x:c>
      <x:c r="C1331" s="53" t="str">
        <x:v>A96</x:v>
      </x:c>
      <x:c r="D1331" s="53" t="str">
        <x:v>E-0093</x:v>
      </x:c>
      <x:c r="E1331" s="53"/>
    </x:row>
    <x:row r="1332" ht="15" hidden="0" customHeight="1">
      <x:c r="A1332" s="53" t="str">
        <x:v>Anjoman accounting - refined.xlsx</x:v>
      </x:c>
      <x:c r="B1332" s="53" t="str">
        <x:v>اسناد و شواهد</x:v>
      </x:c>
      <x:c r="C1332" s="53" t="str">
        <x:v>B96</x:v>
      </x:c>
      <x:c r="D1332" s="53" t="str">
        <x:v>telegram export\photos\photo_19@28-10-2025_01-58-07_thumb.jpg</x:v>
      </x:c>
      <x:c r="E1332" s="53"/>
    </x:row>
    <x:row r="1333" ht="15" hidden="0" customHeight="1">
      <x:c r="A1333" s="53" t="str">
        <x:v>Anjoman accounting - refined.xlsx</x:v>
      </x:c>
      <x:c r="B1333" s="53" t="str">
        <x:v>اسناد و شواهد</x:v>
      </x:c>
      <x:c r="C1333" s="53" t="str">
        <x:v>C96</x:v>
      </x:c>
      <x:c r="D1333" s="53" t="str">
        <x:v>jpg</x:v>
      </x:c>
      <x:c r="E1333" s="53"/>
    </x:row>
    <x:row r="1334" ht="15" hidden="0" customHeight="1">
      <x:c r="A1334" s="53" t="str">
        <x:v>Anjoman accounting - refined.xlsx</x:v>
      </x:c>
      <x:c r="B1334" s="53" t="str">
        <x:v>اسناد و شواهد</x:v>
      </x:c>
      <x:c r="C1334" s="53" t="str">
        <x:v>D96</x:v>
      </x:c>
      <x:c r="D1334" s="53" t="str">
        <x:v>15953</x:v>
      </x:c>
      <x:c r="E1334" s="53"/>
    </x:row>
    <x:row r="1335" ht="15" hidden="0" customHeight="1">
      <x:c r="A1335" s="53" t="str">
        <x:v>Anjoman accounting - refined.xlsx</x:v>
      </x:c>
      <x:c r="B1335" s="53" t="str">
        <x:v>اسناد و شواهد</x:v>
      </x:c>
      <x:c r="C1335" s="53" t="str">
        <x:v>E96</x:v>
      </x:c>
      <x:c r="D1335" s="53" t="str">
        <x:v>d73cf6078c5dd5fe790c237a9ee677dbe5c77af8936bd6999dd20e61d97cab6b</x:v>
      </x:c>
      <x:c r="E1335" s="53"/>
    </x:row>
    <x:row r="1336" ht="15" hidden="0" customHeight="1">
      <x:c r="A1336" s="53" t="str">
        <x:v>Anjoman accounting - refined.xlsx</x:v>
      </x:c>
      <x:c r="B1336" s="53" t="str">
        <x:v>اسناد و شواهد</x:v>
      </x:c>
      <x:c r="C1336" s="53" t="str">
        <x:v>A97</x:v>
      </x:c>
      <x:c r="D1336" s="53" t="str">
        <x:v>E-0094</x:v>
      </x:c>
      <x:c r="E1336" s="53"/>
    </x:row>
    <x:row r="1337" ht="15" hidden="0" customHeight="1">
      <x:c r="A1337" s="53" t="str">
        <x:v>Anjoman accounting - refined.xlsx</x:v>
      </x:c>
      <x:c r="B1337" s="53" t="str">
        <x:v>اسناد و شواهد</x:v>
      </x:c>
      <x:c r="C1337" s="53" t="str">
        <x:v>B97</x:v>
      </x:c>
      <x:c r="D1337" s="53" t="str">
        <x:v>telegram export\photos\photo_1@24-07-2025_21-00-16.jpg</x:v>
      </x:c>
      <x:c r="E1337" s="53"/>
    </x:row>
    <x:row r="1338" ht="15" hidden="0" customHeight="1">
      <x:c r="A1338" s="53" t="str">
        <x:v>Anjoman accounting - refined.xlsx</x:v>
      </x:c>
      <x:c r="B1338" s="53" t="str">
        <x:v>اسناد و شواهد</x:v>
      </x:c>
      <x:c r="C1338" s="53" t="str">
        <x:v>C97</x:v>
      </x:c>
      <x:c r="D1338" s="53" t="str">
        <x:v>jpg</x:v>
      </x:c>
      <x:c r="E1338" s="53"/>
    </x:row>
    <x:row r="1339" ht="15" hidden="0" customHeight="1">
      <x:c r="A1339" s="53" t="str">
        <x:v>Anjoman accounting - refined.xlsx</x:v>
      </x:c>
      <x:c r="B1339" s="53" t="str">
        <x:v>اسناد و شواهد</x:v>
      </x:c>
      <x:c r="C1339" s="53" t="str">
        <x:v>D97</x:v>
      </x:c>
      <x:c r="D1339" s="53" t="str">
        <x:v>73477</x:v>
      </x:c>
      <x:c r="E1339" s="53"/>
    </x:row>
    <x:row r="1340" ht="15" hidden="0" customHeight="1">
      <x:c r="A1340" s="53" t="str">
        <x:v>Anjoman accounting - refined.xlsx</x:v>
      </x:c>
      <x:c r="B1340" s="53" t="str">
        <x:v>اسناد و شواهد</x:v>
      </x:c>
      <x:c r="C1340" s="53" t="str">
        <x:v>E97</x:v>
      </x:c>
      <x:c r="D1340" s="53" t="str">
        <x:v>79265bb04e6428f336712238ba43edcc9065f4a4313a8b75c7f937a113c99ce2</x:v>
      </x:c>
      <x:c r="E1340" s="53"/>
    </x:row>
    <x:row r="1341" ht="15" hidden="0" customHeight="1">
      <x:c r="A1341" s="53" t="str">
        <x:v>Anjoman accounting - refined.xlsx</x:v>
      </x:c>
      <x:c r="B1341" s="53" t="str">
        <x:v>اسناد و شواهد</x:v>
      </x:c>
      <x:c r="C1341" s="53" t="str">
        <x:v>A98</x:v>
      </x:c>
      <x:c r="D1341" s="53" t="str">
        <x:v>E-0095</x:v>
      </x:c>
      <x:c r="E1341" s="53"/>
    </x:row>
    <x:row r="1342" ht="15" hidden="0" customHeight="1">
      <x:c r="A1342" s="53" t="str">
        <x:v>Anjoman accounting - refined.xlsx</x:v>
      </x:c>
      <x:c r="B1342" s="53" t="str">
        <x:v>اسناد و شواهد</x:v>
      </x:c>
      <x:c r="C1342" s="53" t="str">
        <x:v>B98</x:v>
      </x:c>
      <x:c r="D1342" s="53" t="str">
        <x:v>telegram export\photos\photo_1@24-07-2025_21-00-16_thumb.jpg</x:v>
      </x:c>
      <x:c r="E1342" s="53"/>
    </x:row>
    <x:row r="1343" ht="15" hidden="0" customHeight="1">
      <x:c r="A1343" s="53" t="str">
        <x:v>Anjoman accounting - refined.xlsx</x:v>
      </x:c>
      <x:c r="B1343" s="53" t="str">
        <x:v>اسناد و شواهد</x:v>
      </x:c>
      <x:c r="C1343" s="53" t="str">
        <x:v>C98</x:v>
      </x:c>
      <x:c r="D1343" s="53" t="str">
        <x:v>jpg</x:v>
      </x:c>
      <x:c r="E1343" s="53"/>
    </x:row>
    <x:row r="1344" ht="15" hidden="0" customHeight="1">
      <x:c r="A1344" s="53" t="str">
        <x:v>Anjoman accounting - refined.xlsx</x:v>
      </x:c>
      <x:c r="B1344" s="53" t="str">
        <x:v>اسناد و شواهد</x:v>
      </x:c>
      <x:c r="C1344" s="53" t="str">
        <x:v>D98</x:v>
      </x:c>
      <x:c r="D1344" s="53" t="str">
        <x:v>19181</x:v>
      </x:c>
      <x:c r="E1344" s="53"/>
    </x:row>
    <x:row r="1345" ht="15" hidden="0" customHeight="1">
      <x:c r="A1345" s="53" t="str">
        <x:v>Anjoman accounting - refined.xlsx</x:v>
      </x:c>
      <x:c r="B1345" s="53" t="str">
        <x:v>اسناد و شواهد</x:v>
      </x:c>
      <x:c r="C1345" s="53" t="str">
        <x:v>E98</x:v>
      </x:c>
      <x:c r="D1345" s="53" t="str">
        <x:v>9a3f8444cbf313e927f97d5afc0d168e2a4505602b7fe6440e05c446a15a32dc</x:v>
      </x:c>
      <x:c r="E1345" s="53"/>
    </x:row>
    <x:row r="1346" ht="15" hidden="0" customHeight="1">
      <x:c r="A1346" s="53" t="str">
        <x:v>Anjoman accounting - refined.xlsx</x:v>
      </x:c>
      <x:c r="B1346" s="53" t="str">
        <x:v>اسناد و شواهد</x:v>
      </x:c>
      <x:c r="C1346" s="53" t="str">
        <x:v>A99</x:v>
      </x:c>
      <x:c r="D1346" s="53" t="str">
        <x:v>E-0096</x:v>
      </x:c>
      <x:c r="E1346" s="53"/>
    </x:row>
    <x:row r="1347" ht="15" hidden="0" customHeight="1">
      <x:c r="A1347" s="53" t="str">
        <x:v>Anjoman accounting - refined.xlsx</x:v>
      </x:c>
      <x:c r="B1347" s="53" t="str">
        <x:v>اسناد و شواهد</x:v>
      </x:c>
      <x:c r="C1347" s="53" t="str">
        <x:v>B99</x:v>
      </x:c>
      <x:c r="D1347" s="53" t="str">
        <x:v>telegram export\photos\photo_20@28-10-2025_22-07-57.jpg</x:v>
      </x:c>
      <x:c r="E1347" s="53"/>
    </x:row>
    <x:row r="1348" ht="15" hidden="0" customHeight="1">
      <x:c r="A1348" s="53" t="str">
        <x:v>Anjoman accounting - refined.xlsx</x:v>
      </x:c>
      <x:c r="B1348" s="53" t="str">
        <x:v>اسناد و شواهد</x:v>
      </x:c>
      <x:c r="C1348" s="53" t="str">
        <x:v>C99</x:v>
      </x:c>
      <x:c r="D1348" s="53" t="str">
        <x:v>jpg</x:v>
      </x:c>
      <x:c r="E1348" s="53"/>
    </x:row>
    <x:row r="1349" ht="15" hidden="0" customHeight="1">
      <x:c r="A1349" s="53" t="str">
        <x:v>Anjoman accounting - refined.xlsx</x:v>
      </x:c>
      <x:c r="B1349" s="53" t="str">
        <x:v>اسناد و شواهد</x:v>
      </x:c>
      <x:c r="C1349" s="53" t="str">
        <x:v>D99</x:v>
      </x:c>
      <x:c r="D1349" s="53" t="str">
        <x:v>145202</x:v>
      </x:c>
      <x:c r="E1349" s="53"/>
    </x:row>
    <x:row r="1350" ht="15" hidden="0" customHeight="1">
      <x:c r="A1350" s="53" t="str">
        <x:v>Anjoman accounting - refined.xlsx</x:v>
      </x:c>
      <x:c r="B1350" s="53" t="str">
        <x:v>اسناد و شواهد</x:v>
      </x:c>
      <x:c r="C1350" s="53" t="str">
        <x:v>E99</x:v>
      </x:c>
      <x:c r="D1350" s="53" t="str">
        <x:v>18a41c8ef151421d6a8438c0c292c313bd9d69817efed89507abf1bb0e852e6b</x:v>
      </x:c>
      <x:c r="E1350" s="53"/>
    </x:row>
    <x:row r="1351" ht="15" hidden="0" customHeight="1">
      <x:c r="A1351" s="53" t="str">
        <x:v>Anjoman accounting - refined.xlsx</x:v>
      </x:c>
      <x:c r="B1351" s="53" t="str">
        <x:v>اسناد و شواهد</x:v>
      </x:c>
      <x:c r="C1351" s="53" t="str">
        <x:v>A100</x:v>
      </x:c>
      <x:c r="D1351" s="53" t="str">
        <x:v>E-0097</x:v>
      </x:c>
      <x:c r="E1351" s="53"/>
    </x:row>
    <x:row r="1352" ht="15" hidden="0" customHeight="1">
      <x:c r="A1352" s="53" t="str">
        <x:v>Anjoman accounting - refined.xlsx</x:v>
      </x:c>
      <x:c r="B1352" s="53" t="str">
        <x:v>اسناد و شواهد</x:v>
      </x:c>
      <x:c r="C1352" s="53" t="str">
        <x:v>B100</x:v>
      </x:c>
      <x:c r="D1352" s="53" t="str">
        <x:v>telegram export\photos\photo_20@28-10-2025_22-07-57_thumb.jpg</x:v>
      </x:c>
      <x:c r="E1352" s="53"/>
    </x:row>
    <x:row r="1353" ht="15" hidden="0" customHeight="1">
      <x:c r="A1353" s="53" t="str">
        <x:v>Anjoman accounting - refined.xlsx</x:v>
      </x:c>
      <x:c r="B1353" s="53" t="str">
        <x:v>اسناد و شواهد</x:v>
      </x:c>
      <x:c r="C1353" s="53" t="str">
        <x:v>C100</x:v>
      </x:c>
      <x:c r="D1353" s="53" t="str">
        <x:v>jpg</x:v>
      </x:c>
      <x:c r="E1353" s="53"/>
    </x:row>
    <x:row r="1354" ht="15" hidden="0" customHeight="1">
      <x:c r="A1354" s="53" t="str">
        <x:v>Anjoman accounting - refined.xlsx</x:v>
      </x:c>
      <x:c r="B1354" s="53" t="str">
        <x:v>اسناد و شواهد</x:v>
      </x:c>
      <x:c r="C1354" s="53" t="str">
        <x:v>D100</x:v>
      </x:c>
      <x:c r="D1354" s="53" t="str">
        <x:v>20871</x:v>
      </x:c>
      <x:c r="E1354" s="53"/>
    </x:row>
    <x:row r="1355" ht="15" hidden="0" customHeight="1">
      <x:c r="A1355" s="53" t="str">
        <x:v>Anjoman accounting - refined.xlsx</x:v>
      </x:c>
      <x:c r="B1355" s="53" t="str">
        <x:v>اسناد و شواهد</x:v>
      </x:c>
      <x:c r="C1355" s="53" t="str">
        <x:v>E100</x:v>
      </x:c>
      <x:c r="D1355" s="53" t="str">
        <x:v>0d0db25211669ae89444ea3dc5a9fdc934c48b9e200db0615285f3b128c3edfc</x:v>
      </x:c>
      <x:c r="E1355" s="53"/>
    </x:row>
    <x:row r="1356" ht="15" hidden="0" customHeight="1">
      <x:c r="A1356" s="53" t="str">
        <x:v>Anjoman accounting - refined.xlsx</x:v>
      </x:c>
      <x:c r="B1356" s="53" t="str">
        <x:v>اسناد و شواهد</x:v>
      </x:c>
      <x:c r="C1356" s="53" t="str">
        <x:v>A101</x:v>
      </x:c>
      <x:c r="D1356" s="53" t="str">
        <x:v>E-0098</x:v>
      </x:c>
      <x:c r="E1356" s="53"/>
    </x:row>
    <x:row r="1357" ht="15" hidden="0" customHeight="1">
      <x:c r="A1357" s="53" t="str">
        <x:v>Anjoman accounting - refined.xlsx</x:v>
      </x:c>
      <x:c r="B1357" s="53" t="str">
        <x:v>اسناد و شواهد</x:v>
      </x:c>
      <x:c r="C1357" s="53" t="str">
        <x:v>B101</x:v>
      </x:c>
      <x:c r="D1357" s="53" t="str">
        <x:v>telegram export\photos\photo_21@09-11-2025_23-16-09.jpg</x:v>
      </x:c>
      <x:c r="E1357" s="53"/>
    </x:row>
    <x:row r="1358" ht="15" hidden="0" customHeight="1">
      <x:c r="A1358" s="53" t="str">
        <x:v>Anjoman accounting - refined.xlsx</x:v>
      </x:c>
      <x:c r="B1358" s="53" t="str">
        <x:v>اسناد و شواهد</x:v>
      </x:c>
      <x:c r="C1358" s="53" t="str">
        <x:v>C101</x:v>
      </x:c>
      <x:c r="D1358" s="53" t="str">
        <x:v>jpg</x:v>
      </x:c>
      <x:c r="E1358" s="53"/>
    </x:row>
    <x:row r="1359" ht="15" hidden="0" customHeight="1">
      <x:c r="A1359" s="53" t="str">
        <x:v>Anjoman accounting - refined.xlsx</x:v>
      </x:c>
      <x:c r="B1359" s="53" t="str">
        <x:v>اسناد و شواهد</x:v>
      </x:c>
      <x:c r="C1359" s="53" t="str">
        <x:v>D101</x:v>
      </x:c>
      <x:c r="D1359" s="53" t="str">
        <x:v>89073</x:v>
      </x:c>
      <x:c r="E1359" s="53"/>
    </x:row>
    <x:row r="1360" ht="15" hidden="0" customHeight="1">
      <x:c r="A1360" s="53" t="str">
        <x:v>Anjoman accounting - refined.xlsx</x:v>
      </x:c>
      <x:c r="B1360" s="53" t="str">
        <x:v>اسناد و شواهد</x:v>
      </x:c>
      <x:c r="C1360" s="53" t="str">
        <x:v>E101</x:v>
      </x:c>
      <x:c r="D1360" s="53" t="str">
        <x:v>430d605cb4bf4e4aaaf901e209b69c43c2d82946451612543b40ef112ba1fe22</x:v>
      </x:c>
      <x:c r="E1360" s="53"/>
    </x:row>
    <x:row r="1361" ht="15" hidden="0" customHeight="1">
      <x:c r="A1361" s="53" t="str">
        <x:v>Anjoman accounting - refined.xlsx</x:v>
      </x:c>
      <x:c r="B1361" s="53" t="str">
        <x:v>اسناد و شواهد</x:v>
      </x:c>
      <x:c r="C1361" s="53" t="str">
        <x:v>A102</x:v>
      </x:c>
      <x:c r="D1361" s="53" t="str">
        <x:v>E-0099</x:v>
      </x:c>
      <x:c r="E1361" s="53"/>
    </x:row>
    <x:row r="1362" ht="15" hidden="0" customHeight="1">
      <x:c r="A1362" s="53" t="str">
        <x:v>Anjoman accounting - refined.xlsx</x:v>
      </x:c>
      <x:c r="B1362" s="53" t="str">
        <x:v>اسناد و شواهد</x:v>
      </x:c>
      <x:c r="C1362" s="53" t="str">
        <x:v>B102</x:v>
      </x:c>
      <x:c r="D1362" s="53" t="str">
        <x:v>telegram export\photos\photo_21@09-11-2025_23-16-09_thumb.jpg</x:v>
      </x:c>
      <x:c r="E1362" s="53"/>
    </x:row>
    <x:row r="1363" ht="15" hidden="0" customHeight="1">
      <x:c r="A1363" s="53" t="str">
        <x:v>Anjoman accounting - refined.xlsx</x:v>
      </x:c>
      <x:c r="B1363" s="53" t="str">
        <x:v>اسناد و شواهد</x:v>
      </x:c>
      <x:c r="C1363" s="53" t="str">
        <x:v>C102</x:v>
      </x:c>
      <x:c r="D1363" s="53" t="str">
        <x:v>jpg</x:v>
      </x:c>
      <x:c r="E1363" s="53"/>
    </x:row>
    <x:row r="1364" ht="15" hidden="0" customHeight="1">
      <x:c r="A1364" s="53" t="str">
        <x:v>Anjoman accounting - refined.xlsx</x:v>
      </x:c>
      <x:c r="B1364" s="53" t="str">
        <x:v>اسناد و شواهد</x:v>
      </x:c>
      <x:c r="C1364" s="53" t="str">
        <x:v>D102</x:v>
      </x:c>
      <x:c r="D1364" s="53" t="str">
        <x:v>18519</x:v>
      </x:c>
      <x:c r="E1364" s="53"/>
    </x:row>
    <x:row r="1365" ht="15" hidden="0" customHeight="1">
      <x:c r="A1365" s="53" t="str">
        <x:v>Anjoman accounting - refined.xlsx</x:v>
      </x:c>
      <x:c r="B1365" s="53" t="str">
        <x:v>اسناد و شواهد</x:v>
      </x:c>
      <x:c r="C1365" s="53" t="str">
        <x:v>E102</x:v>
      </x:c>
      <x:c r="D1365" s="53" t="str">
        <x:v>3c9a1b7b10dfae82193793e9a2520ff1b984bf12c5ab6ae262d88acb5b2a985b</x:v>
      </x:c>
      <x:c r="E1365" s="53"/>
    </x:row>
    <x:row r="1366" ht="15" hidden="0" customHeight="1">
      <x:c r="A1366" s="53" t="str">
        <x:v>Anjoman accounting - refined.xlsx</x:v>
      </x:c>
      <x:c r="B1366" s="53" t="str">
        <x:v>اسناد و شواهد</x:v>
      </x:c>
      <x:c r="C1366" s="53" t="str">
        <x:v>A103</x:v>
      </x:c>
      <x:c r="D1366" s="53" t="str">
        <x:v>E-0100</x:v>
      </x:c>
      <x:c r="E1366" s="53"/>
    </x:row>
    <x:row r="1367" ht="15" hidden="0" customHeight="1">
      <x:c r="A1367" s="53" t="str">
        <x:v>Anjoman accounting - refined.xlsx</x:v>
      </x:c>
      <x:c r="B1367" s="53" t="str">
        <x:v>اسناد و شواهد</x:v>
      </x:c>
      <x:c r="C1367" s="53" t="str">
        <x:v>B103</x:v>
      </x:c>
      <x:c r="D1367" s="53" t="str">
        <x:v>telegram export\photos\photo_22@09-11-2025_23-16-15.jpg</x:v>
      </x:c>
      <x:c r="E1367" s="53"/>
    </x:row>
    <x:row r="1368" ht="15" hidden="0" customHeight="1">
      <x:c r="A1368" s="53" t="str">
        <x:v>Anjoman accounting - refined.xlsx</x:v>
      </x:c>
      <x:c r="B1368" s="53" t="str">
        <x:v>اسناد و شواهد</x:v>
      </x:c>
      <x:c r="C1368" s="53" t="str">
        <x:v>C103</x:v>
      </x:c>
      <x:c r="D1368" s="53" t="str">
        <x:v>jpg</x:v>
      </x:c>
      <x:c r="E1368" s="53"/>
    </x:row>
    <x:row r="1369" ht="15" hidden="0" customHeight="1">
      <x:c r="A1369" s="53" t="str">
        <x:v>Anjoman accounting - refined.xlsx</x:v>
      </x:c>
      <x:c r="B1369" s="53" t="str">
        <x:v>اسناد و شواهد</x:v>
      </x:c>
      <x:c r="C1369" s="53" t="str">
        <x:v>D103</x:v>
      </x:c>
      <x:c r="D1369" s="53" t="str">
        <x:v>84952</x:v>
      </x:c>
      <x:c r="E1369" s="53"/>
    </x:row>
    <x:row r="1370" ht="15" hidden="0" customHeight="1">
      <x:c r="A1370" s="53" t="str">
        <x:v>Anjoman accounting - refined.xlsx</x:v>
      </x:c>
      <x:c r="B1370" s="53" t="str">
        <x:v>اسناد و شواهد</x:v>
      </x:c>
      <x:c r="C1370" s="53" t="str">
        <x:v>E103</x:v>
      </x:c>
      <x:c r="D1370" s="53" t="str">
        <x:v>64e9c8107140b08a348e146533350e8bd264e2f59b1f09ade0e80ba76639f360</x:v>
      </x:c>
      <x:c r="E1370" s="53"/>
    </x:row>
    <x:row r="1371" ht="15" hidden="0" customHeight="1">
      <x:c r="A1371" s="53" t="str">
        <x:v>Anjoman accounting - refined.xlsx</x:v>
      </x:c>
      <x:c r="B1371" s="53" t="str">
        <x:v>اسناد و شواهد</x:v>
      </x:c>
      <x:c r="C1371" s="53" t="str">
        <x:v>A104</x:v>
      </x:c>
      <x:c r="D1371" s="53" t="str">
        <x:v>E-0101</x:v>
      </x:c>
      <x:c r="E1371" s="53"/>
    </x:row>
    <x:row r="1372" ht="15" hidden="0" customHeight="1">
      <x:c r="A1372" s="53" t="str">
        <x:v>Anjoman accounting - refined.xlsx</x:v>
      </x:c>
      <x:c r="B1372" s="53" t="str">
        <x:v>اسناد و شواهد</x:v>
      </x:c>
      <x:c r="C1372" s="53" t="str">
        <x:v>B104</x:v>
      </x:c>
      <x:c r="D1372" s="53" t="str">
        <x:v>telegram export\photos\photo_22@09-11-2025_23-16-15_thumb.jpg</x:v>
      </x:c>
      <x:c r="E1372" s="53"/>
    </x:row>
    <x:row r="1373" ht="15" hidden="0" customHeight="1">
      <x:c r="A1373" s="53" t="str">
        <x:v>Anjoman accounting - refined.xlsx</x:v>
      </x:c>
      <x:c r="B1373" s="53" t="str">
        <x:v>اسناد و شواهد</x:v>
      </x:c>
      <x:c r="C1373" s="53" t="str">
        <x:v>C104</x:v>
      </x:c>
      <x:c r="D1373" s="53" t="str">
        <x:v>jpg</x:v>
      </x:c>
      <x:c r="E1373" s="53"/>
    </x:row>
    <x:row r="1374" ht="15" hidden="0" customHeight="1">
      <x:c r="A1374" s="53" t="str">
        <x:v>Anjoman accounting - refined.xlsx</x:v>
      </x:c>
      <x:c r="B1374" s="53" t="str">
        <x:v>اسناد و شواهد</x:v>
      </x:c>
      <x:c r="C1374" s="53" t="str">
        <x:v>D104</x:v>
      </x:c>
      <x:c r="D1374" s="53" t="str">
        <x:v>17127</x:v>
      </x:c>
      <x:c r="E1374" s="53"/>
    </x:row>
    <x:row r="1375" ht="15" hidden="0" customHeight="1">
      <x:c r="A1375" s="53" t="str">
        <x:v>Anjoman accounting - refined.xlsx</x:v>
      </x:c>
      <x:c r="B1375" s="53" t="str">
        <x:v>اسناد و شواهد</x:v>
      </x:c>
      <x:c r="C1375" s="53" t="str">
        <x:v>E104</x:v>
      </x:c>
      <x:c r="D1375" s="53" t="str">
        <x:v>223fb06780f3e800faa594cac7eec7de79fccb5ab7a14b63a200dc0606164f71</x:v>
      </x:c>
      <x:c r="E1375" s="53"/>
    </x:row>
    <x:row r="1376" ht="15" hidden="0" customHeight="1">
      <x:c r="A1376" s="53" t="str">
        <x:v>Anjoman accounting - refined.xlsx</x:v>
      </x:c>
      <x:c r="B1376" s="53" t="str">
        <x:v>اسناد و شواهد</x:v>
      </x:c>
      <x:c r="C1376" s="53" t="str">
        <x:v>A105</x:v>
      </x:c>
      <x:c r="D1376" s="53" t="str">
        <x:v>E-0102</x:v>
      </x:c>
      <x:c r="E1376" s="53"/>
    </x:row>
    <x:row r="1377" ht="15" hidden="0" customHeight="1">
      <x:c r="A1377" s="53" t="str">
        <x:v>Anjoman accounting - refined.xlsx</x:v>
      </x:c>
      <x:c r="B1377" s="53" t="str">
        <x:v>اسناد و شواهد</x:v>
      </x:c>
      <x:c r="C1377" s="53" t="str">
        <x:v>B105</x:v>
      </x:c>
      <x:c r="D1377" s="53" t="str">
        <x:v>telegram export\photos\photo_23@14-11-2025_04-07-19.jpg</x:v>
      </x:c>
      <x:c r="E1377" s="53"/>
    </x:row>
    <x:row r="1378" ht="15" hidden="0" customHeight="1">
      <x:c r="A1378" s="53" t="str">
        <x:v>Anjoman accounting - refined.xlsx</x:v>
      </x:c>
      <x:c r="B1378" s="53" t="str">
        <x:v>اسناد و شواهد</x:v>
      </x:c>
      <x:c r="C1378" s="53" t="str">
        <x:v>C105</x:v>
      </x:c>
      <x:c r="D1378" s="53" t="str">
        <x:v>jpg</x:v>
      </x:c>
      <x:c r="E1378" s="53"/>
    </x:row>
    <x:row r="1379" ht="15" hidden="0" customHeight="1">
      <x:c r="A1379" s="53" t="str">
        <x:v>Anjoman accounting - refined.xlsx</x:v>
      </x:c>
      <x:c r="B1379" s="53" t="str">
        <x:v>اسناد و شواهد</x:v>
      </x:c>
      <x:c r="C1379" s="53" t="str">
        <x:v>D105</x:v>
      </x:c>
      <x:c r="D1379" s="53" t="str">
        <x:v>65632</x:v>
      </x:c>
      <x:c r="E1379" s="53"/>
    </x:row>
    <x:row r="1380" ht="15" hidden="0" customHeight="1">
      <x:c r="A1380" s="53" t="str">
        <x:v>Anjoman accounting - refined.xlsx</x:v>
      </x:c>
      <x:c r="B1380" s="53" t="str">
        <x:v>اسناد و شواهد</x:v>
      </x:c>
      <x:c r="C1380" s="53" t="str">
        <x:v>E105</x:v>
      </x:c>
      <x:c r="D1380" s="53" t="str">
        <x:v>7003f7a94da98c211e78490a0c98ad1e5681266cb40708889b8d9b8cb66f3455</x:v>
      </x:c>
      <x:c r="E1380" s="53"/>
    </x:row>
    <x:row r="1381" ht="15" hidden="0" customHeight="1">
      <x:c r="A1381" s="53" t="str">
        <x:v>Anjoman accounting - refined.xlsx</x:v>
      </x:c>
      <x:c r="B1381" s="53" t="str">
        <x:v>اسناد و شواهد</x:v>
      </x:c>
      <x:c r="C1381" s="53" t="str">
        <x:v>A106</x:v>
      </x:c>
      <x:c r="D1381" s="53" t="str">
        <x:v>E-0103</x:v>
      </x:c>
      <x:c r="E1381" s="53"/>
    </x:row>
    <x:row r="1382" ht="15" hidden="0" customHeight="1">
      <x:c r="A1382" s="53" t="str">
        <x:v>Anjoman accounting - refined.xlsx</x:v>
      </x:c>
      <x:c r="B1382" s="53" t="str">
        <x:v>اسناد و شواهد</x:v>
      </x:c>
      <x:c r="C1382" s="53" t="str">
        <x:v>B106</x:v>
      </x:c>
      <x:c r="D1382" s="53" t="str">
        <x:v>telegram export\photos\photo_23@14-11-2025_04-07-19_thumb.jpg</x:v>
      </x:c>
      <x:c r="E1382" s="53"/>
    </x:row>
    <x:row r="1383" ht="15" hidden="0" customHeight="1">
      <x:c r="A1383" s="53" t="str">
        <x:v>Anjoman accounting - refined.xlsx</x:v>
      </x:c>
      <x:c r="B1383" s="53" t="str">
        <x:v>اسناد و شواهد</x:v>
      </x:c>
      <x:c r="C1383" s="53" t="str">
        <x:v>C106</x:v>
      </x:c>
      <x:c r="D1383" s="53" t="str">
        <x:v>jpg</x:v>
      </x:c>
      <x:c r="E1383" s="53"/>
    </x:row>
    <x:row r="1384" ht="15" hidden="0" customHeight="1">
      <x:c r="A1384" s="53" t="str">
        <x:v>Anjoman accounting - refined.xlsx</x:v>
      </x:c>
      <x:c r="B1384" s="53" t="str">
        <x:v>اسناد و شواهد</x:v>
      </x:c>
      <x:c r="C1384" s="53" t="str">
        <x:v>D106</x:v>
      </x:c>
      <x:c r="D1384" s="53" t="str">
        <x:v>16038</x:v>
      </x:c>
      <x:c r="E1384" s="53"/>
    </x:row>
    <x:row r="1385" ht="15" hidden="0" customHeight="1">
      <x:c r="A1385" s="53" t="str">
        <x:v>Anjoman accounting - refined.xlsx</x:v>
      </x:c>
      <x:c r="B1385" s="53" t="str">
        <x:v>اسناد و شواهد</x:v>
      </x:c>
      <x:c r="C1385" s="53" t="str">
        <x:v>E106</x:v>
      </x:c>
      <x:c r="D1385" s="53" t="str">
        <x:v>3d731a87bf9b4b2bbc8b8859bb6e1bb59b5fec3ccf7c9e0e97703cc31be5827f</x:v>
      </x:c>
      <x:c r="E1385" s="53"/>
    </x:row>
    <x:row r="1386" ht="15" hidden="0" customHeight="1">
      <x:c r="A1386" s="53" t="str">
        <x:v>Anjoman accounting - refined.xlsx</x:v>
      </x:c>
      <x:c r="B1386" s="53" t="str">
        <x:v>اسناد و شواهد</x:v>
      </x:c>
      <x:c r="C1386" s="53" t="str">
        <x:v>A107</x:v>
      </x:c>
      <x:c r="D1386" s="53" t="str">
        <x:v>E-0104</x:v>
      </x:c>
      <x:c r="E1386" s="53"/>
    </x:row>
    <x:row r="1387" ht="15" hidden="0" customHeight="1">
      <x:c r="A1387" s="53" t="str">
        <x:v>Anjoman accounting - refined.xlsx</x:v>
      </x:c>
      <x:c r="B1387" s="53" t="str">
        <x:v>اسناد و شواهد</x:v>
      </x:c>
      <x:c r="C1387" s="53" t="str">
        <x:v>B107</x:v>
      </x:c>
      <x:c r="D1387" s="53" t="str">
        <x:v>telegram export\photos\photo_24@14-11-2025_04-07-19.jpg</x:v>
      </x:c>
      <x:c r="E1387" s="53"/>
    </x:row>
    <x:row r="1388" ht="15" hidden="0" customHeight="1">
      <x:c r="A1388" s="53" t="str">
        <x:v>Anjoman accounting - refined.xlsx</x:v>
      </x:c>
      <x:c r="B1388" s="53" t="str">
        <x:v>اسناد و شواهد</x:v>
      </x:c>
      <x:c r="C1388" s="53" t="str">
        <x:v>C107</x:v>
      </x:c>
      <x:c r="D1388" s="53" t="str">
        <x:v>jpg</x:v>
      </x:c>
      <x:c r="E1388" s="53"/>
    </x:row>
    <x:row r="1389" ht="15" hidden="0" customHeight="1">
      <x:c r="A1389" s="53" t="str">
        <x:v>Anjoman accounting - refined.xlsx</x:v>
      </x:c>
      <x:c r="B1389" s="53" t="str">
        <x:v>اسناد و شواهد</x:v>
      </x:c>
      <x:c r="C1389" s="53" t="str">
        <x:v>D107</x:v>
      </x:c>
      <x:c r="D1389" s="53" t="str">
        <x:v>66823</x:v>
      </x:c>
      <x:c r="E1389" s="53"/>
    </x:row>
    <x:row r="1390" ht="15" hidden="0" customHeight="1">
      <x:c r="A1390" s="53" t="str">
        <x:v>Anjoman accounting - refined.xlsx</x:v>
      </x:c>
      <x:c r="B1390" s="53" t="str">
        <x:v>اسناد و شواهد</x:v>
      </x:c>
      <x:c r="C1390" s="53" t="str">
        <x:v>E107</x:v>
      </x:c>
      <x:c r="D1390" s="53" t="str">
        <x:v>2944f175b5256a669c1a6407a09eecb566d715c37dd54b80eed0cee2ae943f0c</x:v>
      </x:c>
      <x:c r="E1390" s="53"/>
    </x:row>
    <x:row r="1391" ht="15" hidden="0" customHeight="1">
      <x:c r="A1391" s="53" t="str">
        <x:v>Anjoman accounting - refined.xlsx</x:v>
      </x:c>
      <x:c r="B1391" s="53" t="str">
        <x:v>اسناد و شواهد</x:v>
      </x:c>
      <x:c r="C1391" s="53" t="str">
        <x:v>A108</x:v>
      </x:c>
      <x:c r="D1391" s="53" t="str">
        <x:v>E-0105</x:v>
      </x:c>
      <x:c r="E1391" s="53"/>
    </x:row>
    <x:row r="1392" ht="15" hidden="0" customHeight="1">
      <x:c r="A1392" s="53" t="str">
        <x:v>Anjoman accounting - refined.xlsx</x:v>
      </x:c>
      <x:c r="B1392" s="53" t="str">
        <x:v>اسناد و شواهد</x:v>
      </x:c>
      <x:c r="C1392" s="53" t="str">
        <x:v>B108</x:v>
      </x:c>
      <x:c r="D1392" s="53" t="str">
        <x:v>telegram export\photos\photo_24@14-11-2025_04-07-19_thumb.jpg</x:v>
      </x:c>
      <x:c r="E1392" s="53"/>
    </x:row>
    <x:row r="1393" ht="15" hidden="0" customHeight="1">
      <x:c r="A1393" s="53" t="str">
        <x:v>Anjoman accounting - refined.xlsx</x:v>
      </x:c>
      <x:c r="B1393" s="53" t="str">
        <x:v>اسناد و شواهد</x:v>
      </x:c>
      <x:c r="C1393" s="53" t="str">
        <x:v>C108</x:v>
      </x:c>
      <x:c r="D1393" s="53" t="str">
        <x:v>jpg</x:v>
      </x:c>
      <x:c r="E1393" s="53"/>
    </x:row>
    <x:row r="1394" ht="15" hidden="0" customHeight="1">
      <x:c r="A1394" s="53" t="str">
        <x:v>Anjoman accounting - refined.xlsx</x:v>
      </x:c>
      <x:c r="B1394" s="53" t="str">
        <x:v>اسناد و شواهد</x:v>
      </x:c>
      <x:c r="C1394" s="53" t="str">
        <x:v>D108</x:v>
      </x:c>
      <x:c r="D1394" s="53" t="str">
        <x:v>16187</x:v>
      </x:c>
      <x:c r="E1394" s="53"/>
    </x:row>
    <x:row r="1395" ht="15" hidden="0" customHeight="1">
      <x:c r="A1395" s="53" t="str">
        <x:v>Anjoman accounting - refined.xlsx</x:v>
      </x:c>
      <x:c r="B1395" s="53" t="str">
        <x:v>اسناد و شواهد</x:v>
      </x:c>
      <x:c r="C1395" s="53" t="str">
        <x:v>E108</x:v>
      </x:c>
      <x:c r="D1395" s="53" t="str">
        <x:v>8689affcc732f6f63089395e2c599659665d09295b88f7c2fcdd5196f50a49b2</x:v>
      </x:c>
      <x:c r="E1395" s="53"/>
    </x:row>
    <x:row r="1396" ht="15" hidden="0" customHeight="1">
      <x:c r="A1396" s="53" t="str">
        <x:v>Anjoman accounting - refined.xlsx</x:v>
      </x:c>
      <x:c r="B1396" s="53" t="str">
        <x:v>اسناد و شواهد</x:v>
      </x:c>
      <x:c r="C1396" s="53" t="str">
        <x:v>A109</x:v>
      </x:c>
      <x:c r="D1396" s="53" t="str">
        <x:v>E-0106</x:v>
      </x:c>
      <x:c r="E1396" s="53"/>
    </x:row>
    <x:row r="1397" ht="15" hidden="0" customHeight="1">
      <x:c r="A1397" s="53" t="str">
        <x:v>Anjoman accounting - refined.xlsx</x:v>
      </x:c>
      <x:c r="B1397" s="53" t="str">
        <x:v>اسناد و شواهد</x:v>
      </x:c>
      <x:c r="C1397" s="53" t="str">
        <x:v>B109</x:v>
      </x:c>
      <x:c r="D1397" s="53" t="str">
        <x:v>telegram export\photos\photo_25@19-11-2025_11-46-31.jpg</x:v>
      </x:c>
      <x:c r="E1397" s="53"/>
    </x:row>
    <x:row r="1398" ht="15" hidden="0" customHeight="1">
      <x:c r="A1398" s="53" t="str">
        <x:v>Anjoman accounting - refined.xlsx</x:v>
      </x:c>
      <x:c r="B1398" s="53" t="str">
        <x:v>اسناد و شواهد</x:v>
      </x:c>
      <x:c r="C1398" s="53" t="str">
        <x:v>C109</x:v>
      </x:c>
      <x:c r="D1398" s="53" t="str">
        <x:v>jpg</x:v>
      </x:c>
      <x:c r="E1398" s="53"/>
    </x:row>
    <x:row r="1399" ht="15" hidden="0" customHeight="1">
      <x:c r="A1399" s="53" t="str">
        <x:v>Anjoman accounting - refined.xlsx</x:v>
      </x:c>
      <x:c r="B1399" s="53" t="str">
        <x:v>اسناد و شواهد</x:v>
      </x:c>
      <x:c r="C1399" s="53" t="str">
        <x:v>D109</x:v>
      </x:c>
      <x:c r="D1399" s="53" t="str">
        <x:v>18253</x:v>
      </x:c>
      <x:c r="E1399" s="53"/>
    </x:row>
    <x:row r="1400" ht="15" hidden="0" customHeight="1">
      <x:c r="A1400" s="53" t="str">
        <x:v>Anjoman accounting - refined.xlsx</x:v>
      </x:c>
      <x:c r="B1400" s="53" t="str">
        <x:v>اسناد و شواهد</x:v>
      </x:c>
      <x:c r="C1400" s="53" t="str">
        <x:v>E109</x:v>
      </x:c>
      <x:c r="D1400" s="53" t="str">
        <x:v>5c7d3623f81cfec1c847235a9e6124fc4d7090687911db318684c83dc455de7f</x:v>
      </x:c>
      <x:c r="E1400" s="53"/>
    </x:row>
    <x:row r="1401" ht="15" hidden="0" customHeight="1">
      <x:c r="A1401" s="53" t="str">
        <x:v>Anjoman accounting - refined.xlsx</x:v>
      </x:c>
      <x:c r="B1401" s="53" t="str">
        <x:v>اسناد و شواهد</x:v>
      </x:c>
      <x:c r="C1401" s="53" t="str">
        <x:v>A110</x:v>
      </x:c>
      <x:c r="D1401" s="53" t="str">
        <x:v>E-0107</x:v>
      </x:c>
      <x:c r="E1401" s="53"/>
    </x:row>
    <x:row r="1402" ht="15" hidden="0" customHeight="1">
      <x:c r="A1402" s="53" t="str">
        <x:v>Anjoman accounting - refined.xlsx</x:v>
      </x:c>
      <x:c r="B1402" s="53" t="str">
        <x:v>اسناد و شواهد</x:v>
      </x:c>
      <x:c r="C1402" s="53" t="str">
        <x:v>B110</x:v>
      </x:c>
      <x:c r="D1402" s="53" t="str">
        <x:v>telegram export\photos\photo_25@19-11-2025_11-46-31_thumb.jpg</x:v>
      </x:c>
      <x:c r="E1402" s="53"/>
    </x:row>
    <x:row r="1403" ht="15" hidden="0" customHeight="1">
      <x:c r="A1403" s="53" t="str">
        <x:v>Anjoman accounting - refined.xlsx</x:v>
      </x:c>
      <x:c r="B1403" s="53" t="str">
        <x:v>اسناد و شواهد</x:v>
      </x:c>
      <x:c r="C1403" s="53" t="str">
        <x:v>C110</x:v>
      </x:c>
      <x:c r="D1403" s="53" t="str">
        <x:v>jpg</x:v>
      </x:c>
      <x:c r="E1403" s="53"/>
    </x:row>
    <x:row r="1404" ht="15" hidden="0" customHeight="1">
      <x:c r="A1404" s="53" t="str">
        <x:v>Anjoman accounting - refined.xlsx</x:v>
      </x:c>
      <x:c r="B1404" s="53" t="str">
        <x:v>اسناد و شواهد</x:v>
      </x:c>
      <x:c r="C1404" s="53" t="str">
        <x:v>D110</x:v>
      </x:c>
      <x:c r="D1404" s="53" t="str">
        <x:v>6086</x:v>
      </x:c>
      <x:c r="E1404" s="53"/>
    </x:row>
    <x:row r="1405" ht="15" hidden="0" customHeight="1">
      <x:c r="A1405" s="53" t="str">
        <x:v>Anjoman accounting - refined.xlsx</x:v>
      </x:c>
      <x:c r="B1405" s="53" t="str">
        <x:v>اسناد و شواهد</x:v>
      </x:c>
      <x:c r="C1405" s="53" t="str">
        <x:v>E110</x:v>
      </x:c>
      <x:c r="D1405" s="53" t="str">
        <x:v>c99b032b5b6a845901bffb603d6a8f66b3d147201080bcfad77adbf014d6013d</x:v>
      </x:c>
      <x:c r="E1405" s="53"/>
    </x:row>
    <x:row r="1406" ht="15" hidden="0" customHeight="1">
      <x:c r="A1406" s="53" t="str">
        <x:v>Anjoman accounting - refined.xlsx</x:v>
      </x:c>
      <x:c r="B1406" s="53" t="str">
        <x:v>اسناد و شواهد</x:v>
      </x:c>
      <x:c r="C1406" s="53" t="str">
        <x:v>A111</x:v>
      </x:c>
      <x:c r="D1406" s="53" t="str">
        <x:v>E-0108</x:v>
      </x:c>
      <x:c r="E1406" s="53"/>
    </x:row>
    <x:row r="1407" ht="15" hidden="0" customHeight="1">
      <x:c r="A1407" s="53" t="str">
        <x:v>Anjoman accounting - refined.xlsx</x:v>
      </x:c>
      <x:c r="B1407" s="53" t="str">
        <x:v>اسناد و شواهد</x:v>
      </x:c>
      <x:c r="C1407" s="53" t="str">
        <x:v>B111</x:v>
      </x:c>
      <x:c r="D1407" s="53" t="str">
        <x:v>telegram export\photos\photo_26@21-12-2025_05-36-21.jpg</x:v>
      </x:c>
      <x:c r="E1407" s="53"/>
    </x:row>
    <x:row r="1408" ht="15" hidden="0" customHeight="1">
      <x:c r="A1408" s="53" t="str">
        <x:v>Anjoman accounting - refined.xlsx</x:v>
      </x:c>
      <x:c r="B1408" s="53" t="str">
        <x:v>اسناد و شواهد</x:v>
      </x:c>
      <x:c r="C1408" s="53" t="str">
        <x:v>C111</x:v>
      </x:c>
      <x:c r="D1408" s="53" t="str">
        <x:v>jpg</x:v>
      </x:c>
      <x:c r="E1408" s="53"/>
    </x:row>
    <x:row r="1409" ht="15" hidden="0" customHeight="1">
      <x:c r="A1409" s="53" t="str">
        <x:v>Anjoman accounting - refined.xlsx</x:v>
      </x:c>
      <x:c r="B1409" s="53" t="str">
        <x:v>اسناد و شواهد</x:v>
      </x:c>
      <x:c r="C1409" s="53" t="str">
        <x:v>D111</x:v>
      </x:c>
      <x:c r="D1409" s="53" t="str">
        <x:v>35321</x:v>
      </x:c>
      <x:c r="E1409" s="53"/>
    </x:row>
    <x:row r="1410" ht="15" hidden="0" customHeight="1">
      <x:c r="A1410" s="53" t="str">
        <x:v>Anjoman accounting - refined.xlsx</x:v>
      </x:c>
      <x:c r="B1410" s="53" t="str">
        <x:v>اسناد و شواهد</x:v>
      </x:c>
      <x:c r="C1410" s="53" t="str">
        <x:v>E111</x:v>
      </x:c>
      <x:c r="D1410" s="53" t="str">
        <x:v>a7ff8727fc0c461dc0be5e4bbc9c6c1409720229eae30931e3ae85f417819512</x:v>
      </x:c>
      <x:c r="E1410" s="53"/>
    </x:row>
    <x:row r="1411" ht="15" hidden="0" customHeight="1">
      <x:c r="A1411" s="53" t="str">
        <x:v>Anjoman accounting - refined.xlsx</x:v>
      </x:c>
      <x:c r="B1411" s="53" t="str">
        <x:v>اسناد و شواهد</x:v>
      </x:c>
      <x:c r="C1411" s="53" t="str">
        <x:v>A112</x:v>
      </x:c>
      <x:c r="D1411" s="53" t="str">
        <x:v>E-0109</x:v>
      </x:c>
      <x:c r="E1411" s="53"/>
    </x:row>
    <x:row r="1412" ht="15" hidden="0" customHeight="1">
      <x:c r="A1412" s="53" t="str">
        <x:v>Anjoman accounting - refined.xlsx</x:v>
      </x:c>
      <x:c r="B1412" s="53" t="str">
        <x:v>اسناد و شواهد</x:v>
      </x:c>
      <x:c r="C1412" s="53" t="str">
        <x:v>B112</x:v>
      </x:c>
      <x:c r="D1412" s="53" t="str">
        <x:v>telegram export\photos\photo_26@21-12-2025_05-36-21_thumb.jpg</x:v>
      </x:c>
      <x:c r="E1412" s="53"/>
    </x:row>
    <x:row r="1413" ht="15" hidden="0" customHeight="1">
      <x:c r="A1413" s="53" t="str">
        <x:v>Anjoman accounting - refined.xlsx</x:v>
      </x:c>
      <x:c r="B1413" s="53" t="str">
        <x:v>اسناد و شواهد</x:v>
      </x:c>
      <x:c r="C1413" s="53" t="str">
        <x:v>C112</x:v>
      </x:c>
      <x:c r="D1413" s="53" t="str">
        <x:v>jpg</x:v>
      </x:c>
      <x:c r="E1413" s="53"/>
    </x:row>
    <x:row r="1414" ht="15" hidden="0" customHeight="1">
      <x:c r="A1414" s="53" t="str">
        <x:v>Anjoman accounting - refined.xlsx</x:v>
      </x:c>
      <x:c r="B1414" s="53" t="str">
        <x:v>اسناد و شواهد</x:v>
      </x:c>
      <x:c r="C1414" s="53" t="str">
        <x:v>D112</x:v>
      </x:c>
      <x:c r="D1414" s="53" t="str">
        <x:v>12147</x:v>
      </x:c>
      <x:c r="E1414" s="53"/>
    </x:row>
    <x:row r="1415" ht="15" hidden="0" customHeight="1">
      <x:c r="A1415" s="53" t="str">
        <x:v>Anjoman accounting - refined.xlsx</x:v>
      </x:c>
      <x:c r="B1415" s="53" t="str">
        <x:v>اسناد و شواهد</x:v>
      </x:c>
      <x:c r="C1415" s="53" t="str">
        <x:v>E112</x:v>
      </x:c>
      <x:c r="D1415" s="53" t="str">
        <x:v>f8859f2d098ab865f32aa9561a2a7fb2438915a66e4942adcea3c50e8b70f9a4</x:v>
      </x:c>
      <x:c r="E1415" s="53"/>
    </x:row>
    <x:row r="1416" ht="15" hidden="0" customHeight="1">
      <x:c r="A1416" s="53" t="str">
        <x:v>Anjoman accounting - refined.xlsx</x:v>
      </x:c>
      <x:c r="B1416" s="53" t="str">
        <x:v>اسناد و شواهد</x:v>
      </x:c>
      <x:c r="C1416" s="53" t="str">
        <x:v>A113</x:v>
      </x:c>
      <x:c r="D1416" s="53" t="str">
        <x:v>E-0110</x:v>
      </x:c>
      <x:c r="E1416" s="53"/>
    </x:row>
    <x:row r="1417" ht="15" hidden="0" customHeight="1">
      <x:c r="A1417" s="53" t="str">
        <x:v>Anjoman accounting - refined.xlsx</x:v>
      </x:c>
      <x:c r="B1417" s="53" t="str">
        <x:v>اسناد و شواهد</x:v>
      </x:c>
      <x:c r="C1417" s="53" t="str">
        <x:v>B113</x:v>
      </x:c>
      <x:c r="D1417" s="53" t="str">
        <x:v>telegram export\photos\photo_27@17-05-2026_19-45-07.jpg</x:v>
      </x:c>
      <x:c r="E1417" s="53"/>
    </x:row>
    <x:row r="1418" ht="15" hidden="0" customHeight="1">
      <x:c r="A1418" s="53" t="str">
        <x:v>Anjoman accounting - refined.xlsx</x:v>
      </x:c>
      <x:c r="B1418" s="53" t="str">
        <x:v>اسناد و شواهد</x:v>
      </x:c>
      <x:c r="C1418" s="53" t="str">
        <x:v>C113</x:v>
      </x:c>
      <x:c r="D1418" s="53" t="str">
        <x:v>jpg</x:v>
      </x:c>
      <x:c r="E1418" s="53"/>
    </x:row>
    <x:row r="1419" ht="15" hidden="0" customHeight="1">
      <x:c r="A1419" s="53" t="str">
        <x:v>Anjoman accounting - refined.xlsx</x:v>
      </x:c>
      <x:c r="B1419" s="53" t="str">
        <x:v>اسناد و شواهد</x:v>
      </x:c>
      <x:c r="C1419" s="53" t="str">
        <x:v>D113</x:v>
      </x:c>
      <x:c r="D1419" s="53" t="str">
        <x:v>71982</x:v>
      </x:c>
      <x:c r="E1419" s="53"/>
    </x:row>
    <x:row r="1420" ht="15" hidden="0" customHeight="1">
      <x:c r="A1420" s="53" t="str">
        <x:v>Anjoman accounting - refined.xlsx</x:v>
      </x:c>
      <x:c r="B1420" s="53" t="str">
        <x:v>اسناد و شواهد</x:v>
      </x:c>
      <x:c r="C1420" s="53" t="str">
        <x:v>E113</x:v>
      </x:c>
      <x:c r="D1420" s="53" t="str">
        <x:v>e0e7050e5e9b2018e96723ae4831b7cdcbf4f3d79406e74efb72a47e928fe9e5</x:v>
      </x:c>
      <x:c r="E1420" s="53"/>
    </x:row>
    <x:row r="1421" ht="15" hidden="0" customHeight="1">
      <x:c r="A1421" s="53" t="str">
        <x:v>Anjoman accounting - refined.xlsx</x:v>
      </x:c>
      <x:c r="B1421" s="53" t="str">
        <x:v>اسناد و شواهد</x:v>
      </x:c>
      <x:c r="C1421" s="53" t="str">
        <x:v>A114</x:v>
      </x:c>
      <x:c r="D1421" s="53" t="str">
        <x:v>E-0111</x:v>
      </x:c>
      <x:c r="E1421" s="53"/>
    </x:row>
    <x:row r="1422" ht="15" hidden="0" customHeight="1">
      <x:c r="A1422" s="53" t="str">
        <x:v>Anjoman accounting - refined.xlsx</x:v>
      </x:c>
      <x:c r="B1422" s="53" t="str">
        <x:v>اسناد و شواهد</x:v>
      </x:c>
      <x:c r="C1422" s="53" t="str">
        <x:v>B114</x:v>
      </x:c>
      <x:c r="D1422" s="53" t="str">
        <x:v>telegram export\photos\photo_27@17-05-2026_19-45-07_thumb.jpg</x:v>
      </x:c>
      <x:c r="E1422" s="53"/>
    </x:row>
    <x:row r="1423" ht="15" hidden="0" customHeight="1">
      <x:c r="A1423" s="53" t="str">
        <x:v>Anjoman accounting - refined.xlsx</x:v>
      </x:c>
      <x:c r="B1423" s="53" t="str">
        <x:v>اسناد و شواهد</x:v>
      </x:c>
      <x:c r="C1423" s="53" t="str">
        <x:v>C114</x:v>
      </x:c>
      <x:c r="D1423" s="53" t="str">
        <x:v>jpg</x:v>
      </x:c>
      <x:c r="E1423" s="53"/>
    </x:row>
    <x:row r="1424" ht="15" hidden="0" customHeight="1">
      <x:c r="A1424" s="53" t="str">
        <x:v>Anjoman accounting - refined.xlsx</x:v>
      </x:c>
      <x:c r="B1424" s="53" t="str">
        <x:v>اسناد و شواهد</x:v>
      </x:c>
      <x:c r="C1424" s="53" t="str">
        <x:v>D114</x:v>
      </x:c>
      <x:c r="D1424" s="53" t="str">
        <x:v>17099</x:v>
      </x:c>
      <x:c r="E1424" s="53"/>
    </x:row>
    <x:row r="1425" ht="15" hidden="0" customHeight="1">
      <x:c r="A1425" s="53" t="str">
        <x:v>Anjoman accounting - refined.xlsx</x:v>
      </x:c>
      <x:c r="B1425" s="53" t="str">
        <x:v>اسناد و شواهد</x:v>
      </x:c>
      <x:c r="C1425" s="53" t="str">
        <x:v>E114</x:v>
      </x:c>
      <x:c r="D1425" s="53" t="str">
        <x:v>2c720d92b1c24e952486a187e5286d924ef609e598a88124d9f02bc6cdb1f93d</x:v>
      </x:c>
      <x:c r="E1425" s="53"/>
    </x:row>
    <x:row r="1426" ht="15" hidden="0" customHeight="1">
      <x:c r="A1426" s="53" t="str">
        <x:v>Anjoman accounting - refined.xlsx</x:v>
      </x:c>
      <x:c r="B1426" s="53" t="str">
        <x:v>اسناد و شواهد</x:v>
      </x:c>
      <x:c r="C1426" s="53" t="str">
        <x:v>A115</x:v>
      </x:c>
      <x:c r="D1426" s="53" t="str">
        <x:v>E-0112</x:v>
      </x:c>
      <x:c r="E1426" s="53"/>
    </x:row>
    <x:row r="1427" ht="15" hidden="0" customHeight="1">
      <x:c r="A1427" s="53" t="str">
        <x:v>Anjoman accounting - refined.xlsx</x:v>
      </x:c>
      <x:c r="B1427" s="53" t="str">
        <x:v>اسناد و شواهد</x:v>
      </x:c>
      <x:c r="C1427" s="53" t="str">
        <x:v>B115</x:v>
      </x:c>
      <x:c r="D1427" s="53" t="str">
        <x:v>telegram export\photos\photo_28@17-05-2026_19-45-07.jpg</x:v>
      </x:c>
      <x:c r="E1427" s="53"/>
    </x:row>
    <x:row r="1428" ht="15" hidden="0" customHeight="1">
      <x:c r="A1428" s="53" t="str">
        <x:v>Anjoman accounting - refined.xlsx</x:v>
      </x:c>
      <x:c r="B1428" s="53" t="str">
        <x:v>اسناد و شواهد</x:v>
      </x:c>
      <x:c r="C1428" s="53" t="str">
        <x:v>C115</x:v>
      </x:c>
      <x:c r="D1428" s="53" t="str">
        <x:v>jpg</x:v>
      </x:c>
      <x:c r="E1428" s="53"/>
    </x:row>
    <x:row r="1429" ht="15" hidden="0" customHeight="1">
      <x:c r="A1429" s="53" t="str">
        <x:v>Anjoman accounting - refined.xlsx</x:v>
      </x:c>
      <x:c r="B1429" s="53" t="str">
        <x:v>اسناد و شواهد</x:v>
      </x:c>
      <x:c r="C1429" s="53" t="str">
        <x:v>D115</x:v>
      </x:c>
      <x:c r="D1429" s="53" t="str">
        <x:v>72527</x:v>
      </x:c>
      <x:c r="E1429" s="53"/>
    </x:row>
    <x:row r="1430" ht="15" hidden="0" customHeight="1">
      <x:c r="A1430" s="53" t="str">
        <x:v>Anjoman accounting - refined.xlsx</x:v>
      </x:c>
      <x:c r="B1430" s="53" t="str">
        <x:v>اسناد و شواهد</x:v>
      </x:c>
      <x:c r="C1430" s="53" t="str">
        <x:v>E115</x:v>
      </x:c>
      <x:c r="D1430" s="53" t="str">
        <x:v>a79a95c1f0e5d599fc42a26df85ffafea142c9cc7caa622a0a1b3e9d5b7dae31</x:v>
      </x:c>
      <x:c r="E1430" s="53"/>
    </x:row>
    <x:row r="1431" ht="15" hidden="0" customHeight="1">
      <x:c r="A1431" s="53" t="str">
        <x:v>Anjoman accounting - refined.xlsx</x:v>
      </x:c>
      <x:c r="B1431" s="53" t="str">
        <x:v>اسناد و شواهد</x:v>
      </x:c>
      <x:c r="C1431" s="53" t="str">
        <x:v>A116</x:v>
      </x:c>
      <x:c r="D1431" s="53" t="str">
        <x:v>E-0113</x:v>
      </x:c>
      <x:c r="E1431" s="53"/>
    </x:row>
    <x:row r="1432" ht="15" hidden="0" customHeight="1">
      <x:c r="A1432" s="53" t="str">
        <x:v>Anjoman accounting - refined.xlsx</x:v>
      </x:c>
      <x:c r="B1432" s="53" t="str">
        <x:v>اسناد و شواهد</x:v>
      </x:c>
      <x:c r="C1432" s="53" t="str">
        <x:v>B116</x:v>
      </x:c>
      <x:c r="D1432" s="53" t="str">
        <x:v>telegram export\photos\photo_28@17-05-2026_19-45-07_thumb.jpg</x:v>
      </x:c>
      <x:c r="E1432" s="53"/>
    </x:row>
    <x:row r="1433" ht="15" hidden="0" customHeight="1">
      <x:c r="A1433" s="53" t="str">
        <x:v>Anjoman accounting - refined.xlsx</x:v>
      </x:c>
      <x:c r="B1433" s="53" t="str">
        <x:v>اسناد و شواهد</x:v>
      </x:c>
      <x:c r="C1433" s="53" t="str">
        <x:v>C116</x:v>
      </x:c>
      <x:c r="D1433" s="53" t="str">
        <x:v>jpg</x:v>
      </x:c>
      <x:c r="E1433" s="53"/>
    </x:row>
    <x:row r="1434" ht="15" hidden="0" customHeight="1">
      <x:c r="A1434" s="53" t="str">
        <x:v>Anjoman accounting - refined.xlsx</x:v>
      </x:c>
      <x:c r="B1434" s="53" t="str">
        <x:v>اسناد و شواهد</x:v>
      </x:c>
      <x:c r="C1434" s="53" t="str">
        <x:v>D116</x:v>
      </x:c>
      <x:c r="D1434" s="53" t="str">
        <x:v>17136</x:v>
      </x:c>
      <x:c r="E1434" s="53"/>
    </x:row>
    <x:row r="1435" ht="15" hidden="0" customHeight="1">
      <x:c r="A1435" s="53" t="str">
        <x:v>Anjoman accounting - refined.xlsx</x:v>
      </x:c>
      <x:c r="B1435" s="53" t="str">
        <x:v>اسناد و شواهد</x:v>
      </x:c>
      <x:c r="C1435" s="53" t="str">
        <x:v>E116</x:v>
      </x:c>
      <x:c r="D1435" s="53" t="str">
        <x:v>14ac73af1f9c0b1dd324ff300546cf56a8259e2d3ced8cc746b8f76cdd4ab95b</x:v>
      </x:c>
      <x:c r="E1435" s="53"/>
    </x:row>
    <x:row r="1436" ht="15" hidden="0" customHeight="1">
      <x:c r="A1436" s="53" t="str">
        <x:v>Anjoman accounting - refined.xlsx</x:v>
      </x:c>
      <x:c r="B1436" s="53" t="str">
        <x:v>اسناد و شواهد</x:v>
      </x:c>
      <x:c r="C1436" s="53" t="str">
        <x:v>A117</x:v>
      </x:c>
      <x:c r="D1436" s="53" t="str">
        <x:v>E-0114</x:v>
      </x:c>
      <x:c r="E1436" s="53"/>
    </x:row>
    <x:row r="1437" ht="15" hidden="0" customHeight="1">
      <x:c r="A1437" s="53" t="str">
        <x:v>Anjoman accounting - refined.xlsx</x:v>
      </x:c>
      <x:c r="B1437" s="53" t="str">
        <x:v>اسناد و شواهد</x:v>
      </x:c>
      <x:c r="C1437" s="53" t="str">
        <x:v>B117</x:v>
      </x:c>
      <x:c r="D1437" s="53" t="str">
        <x:v>telegram export\photos\photo_29@27-06-2026_18-24-14.jpg</x:v>
      </x:c>
      <x:c r="E1437" s="53"/>
    </x:row>
    <x:row r="1438" ht="15" hidden="0" customHeight="1">
      <x:c r="A1438" s="53" t="str">
        <x:v>Anjoman accounting - refined.xlsx</x:v>
      </x:c>
      <x:c r="B1438" s="53" t="str">
        <x:v>اسناد و شواهد</x:v>
      </x:c>
      <x:c r="C1438" s="53" t="str">
        <x:v>C117</x:v>
      </x:c>
      <x:c r="D1438" s="53" t="str">
        <x:v>jpg</x:v>
      </x:c>
      <x:c r="E1438" s="53"/>
    </x:row>
    <x:row r="1439" ht="15" hidden="0" customHeight="1">
      <x:c r="A1439" s="53" t="str">
        <x:v>Anjoman accounting - refined.xlsx</x:v>
      </x:c>
      <x:c r="B1439" s="53" t="str">
        <x:v>اسناد و شواهد</x:v>
      </x:c>
      <x:c r="C1439" s="53" t="str">
        <x:v>D117</x:v>
      </x:c>
      <x:c r="D1439" s="53" t="str">
        <x:v>89975</x:v>
      </x:c>
      <x:c r="E1439" s="53"/>
    </x:row>
    <x:row r="1440" ht="15" hidden="0" customHeight="1">
      <x:c r="A1440" s="53" t="str">
        <x:v>Anjoman accounting - refined.xlsx</x:v>
      </x:c>
      <x:c r="B1440" s="53" t="str">
        <x:v>اسناد و شواهد</x:v>
      </x:c>
      <x:c r="C1440" s="53" t="str">
        <x:v>E117</x:v>
      </x:c>
      <x:c r="D1440" s="53" t="str">
        <x:v>fdfebe75ba5891f2dbc84e11ef7625558452b73f3ce3b50b63d9c1745a4385b5</x:v>
      </x:c>
      <x:c r="E1440" s="53"/>
    </x:row>
    <x:row r="1441" ht="15" hidden="0" customHeight="1">
      <x:c r="A1441" s="53" t="str">
        <x:v>Anjoman accounting - refined.xlsx</x:v>
      </x:c>
      <x:c r="B1441" s="53" t="str">
        <x:v>اسناد و شواهد</x:v>
      </x:c>
      <x:c r="C1441" s="53" t="str">
        <x:v>A118</x:v>
      </x:c>
      <x:c r="D1441" s="53" t="str">
        <x:v>E-0115</x:v>
      </x:c>
      <x:c r="E1441" s="53"/>
    </x:row>
    <x:row r="1442" ht="15" hidden="0" customHeight="1">
      <x:c r="A1442" s="53" t="str">
        <x:v>Anjoman accounting - refined.xlsx</x:v>
      </x:c>
      <x:c r="B1442" s="53" t="str">
        <x:v>اسناد و شواهد</x:v>
      </x:c>
      <x:c r="C1442" s="53" t="str">
        <x:v>B118</x:v>
      </x:c>
      <x:c r="D1442" s="53" t="str">
        <x:v>telegram export\photos\photo_29@27-06-2026_18-24-14_thumb.jpg</x:v>
      </x:c>
      <x:c r="E1442" s="53"/>
    </x:row>
    <x:row r="1443" ht="15" hidden="0" customHeight="1">
      <x:c r="A1443" s="53" t="str">
        <x:v>Anjoman accounting - refined.xlsx</x:v>
      </x:c>
      <x:c r="B1443" s="53" t="str">
        <x:v>اسناد و شواهد</x:v>
      </x:c>
      <x:c r="C1443" s="53" t="str">
        <x:v>C118</x:v>
      </x:c>
      <x:c r="D1443" s="53" t="str">
        <x:v>jpg</x:v>
      </x:c>
      <x:c r="E1443" s="53"/>
    </x:row>
    <x:row r="1444" ht="15" hidden="0" customHeight="1">
      <x:c r="A1444" s="53" t="str">
        <x:v>Anjoman accounting - refined.xlsx</x:v>
      </x:c>
      <x:c r="B1444" s="53" t="str">
        <x:v>اسناد و شواهد</x:v>
      </x:c>
      <x:c r="C1444" s="53" t="str">
        <x:v>D118</x:v>
      </x:c>
      <x:c r="D1444" s="53" t="str">
        <x:v>15819</x:v>
      </x:c>
      <x:c r="E1444" s="53"/>
    </x:row>
    <x:row r="1445" ht="15" hidden="0" customHeight="1">
      <x:c r="A1445" s="53" t="str">
        <x:v>Anjoman accounting - refined.xlsx</x:v>
      </x:c>
      <x:c r="B1445" s="53" t="str">
        <x:v>اسناد و شواهد</x:v>
      </x:c>
      <x:c r="C1445" s="53" t="str">
        <x:v>E118</x:v>
      </x:c>
      <x:c r="D1445" s="53" t="str">
        <x:v>046059439c0d12a22219ee7878d8708118c77740f13c2e92dda4664fdeb23719</x:v>
      </x:c>
      <x:c r="E1445" s="53"/>
    </x:row>
    <x:row r="1446" ht="15" hidden="0" customHeight="1">
      <x:c r="A1446" s="53" t="str">
        <x:v>Anjoman accounting - refined.xlsx</x:v>
      </x:c>
      <x:c r="B1446" s="53" t="str">
        <x:v>اسناد و شواهد</x:v>
      </x:c>
      <x:c r="C1446" s="53" t="str">
        <x:v>A119</x:v>
      </x:c>
      <x:c r="D1446" s="53" t="str">
        <x:v>E-0116</x:v>
      </x:c>
      <x:c r="E1446" s="53"/>
    </x:row>
    <x:row r="1447" ht="15" hidden="0" customHeight="1">
      <x:c r="A1447" s="53" t="str">
        <x:v>Anjoman accounting - refined.xlsx</x:v>
      </x:c>
      <x:c r="B1447" s="53" t="str">
        <x:v>اسناد و شواهد</x:v>
      </x:c>
      <x:c r="C1447" s="53" t="str">
        <x:v>B119</x:v>
      </x:c>
      <x:c r="D1447" s="53" t="str">
        <x:v>telegram export\photos\photo_2@24-07-2025_21-00-17.jpg</x:v>
      </x:c>
      <x:c r="E1447" s="53"/>
    </x:row>
    <x:row r="1448" ht="15" hidden="0" customHeight="1">
      <x:c r="A1448" s="53" t="str">
        <x:v>Anjoman accounting - refined.xlsx</x:v>
      </x:c>
      <x:c r="B1448" s="53" t="str">
        <x:v>اسناد و شواهد</x:v>
      </x:c>
      <x:c r="C1448" s="53" t="str">
        <x:v>C119</x:v>
      </x:c>
      <x:c r="D1448" s="53" t="str">
        <x:v>jpg</x:v>
      </x:c>
      <x:c r="E1448" s="53"/>
    </x:row>
    <x:row r="1449" ht="15" hidden="0" customHeight="1">
      <x:c r="A1449" s="53" t="str">
        <x:v>Anjoman accounting - refined.xlsx</x:v>
      </x:c>
      <x:c r="B1449" s="53" t="str">
        <x:v>اسناد و شواهد</x:v>
      </x:c>
      <x:c r="C1449" s="53" t="str">
        <x:v>D119</x:v>
      </x:c>
      <x:c r="D1449" s="53" t="str">
        <x:v>74772</x:v>
      </x:c>
      <x:c r="E1449" s="53"/>
    </x:row>
    <x:row r="1450" ht="15" hidden="0" customHeight="1">
      <x:c r="A1450" s="53" t="str">
        <x:v>Anjoman accounting - refined.xlsx</x:v>
      </x:c>
      <x:c r="B1450" s="53" t="str">
        <x:v>اسناد و شواهد</x:v>
      </x:c>
      <x:c r="C1450" s="53" t="str">
        <x:v>E119</x:v>
      </x:c>
      <x:c r="D1450" s="53" t="str">
        <x:v>9d1cc7913277237d5bf999452661d8ab00c1add42d2751e54bfa96521f756b17</x:v>
      </x:c>
      <x:c r="E1450" s="53"/>
    </x:row>
    <x:row r="1451" ht="15" hidden="0" customHeight="1">
      <x:c r="A1451" s="53" t="str">
        <x:v>Anjoman accounting - refined.xlsx</x:v>
      </x:c>
      <x:c r="B1451" s="53" t="str">
        <x:v>اسناد و شواهد</x:v>
      </x:c>
      <x:c r="C1451" s="53" t="str">
        <x:v>A120</x:v>
      </x:c>
      <x:c r="D1451" s="53" t="str">
        <x:v>E-0117</x:v>
      </x:c>
      <x:c r="E1451" s="53"/>
    </x:row>
    <x:row r="1452" ht="15" hidden="0" customHeight="1">
      <x:c r="A1452" s="53" t="str">
        <x:v>Anjoman accounting - refined.xlsx</x:v>
      </x:c>
      <x:c r="B1452" s="53" t="str">
        <x:v>اسناد و شواهد</x:v>
      </x:c>
      <x:c r="C1452" s="53" t="str">
        <x:v>B120</x:v>
      </x:c>
      <x:c r="D1452" s="53" t="str">
        <x:v>telegram export\photos\photo_2@24-07-2025_21-00-17_thumb.jpg</x:v>
      </x:c>
      <x:c r="E1452" s="53"/>
    </x:row>
    <x:row r="1453" ht="15" hidden="0" customHeight="1">
      <x:c r="A1453" s="53" t="str">
        <x:v>Anjoman accounting - refined.xlsx</x:v>
      </x:c>
      <x:c r="B1453" s="53" t="str">
        <x:v>اسناد و شواهد</x:v>
      </x:c>
      <x:c r="C1453" s="53" t="str">
        <x:v>C120</x:v>
      </x:c>
      <x:c r="D1453" s="53" t="str">
        <x:v>jpg</x:v>
      </x:c>
      <x:c r="E1453" s="53"/>
    </x:row>
    <x:row r="1454" ht="15" hidden="0" customHeight="1">
      <x:c r="A1454" s="53" t="str">
        <x:v>Anjoman accounting - refined.xlsx</x:v>
      </x:c>
      <x:c r="B1454" s="53" t="str">
        <x:v>اسناد و شواهد</x:v>
      </x:c>
      <x:c r="C1454" s="53" t="str">
        <x:v>D120</x:v>
      </x:c>
      <x:c r="D1454" s="53" t="str">
        <x:v>19380</x:v>
      </x:c>
      <x:c r="E1454" s="53"/>
    </x:row>
    <x:row r="1455" ht="15" hidden="0" customHeight="1">
      <x:c r="A1455" s="53" t="str">
        <x:v>Anjoman accounting - refined.xlsx</x:v>
      </x:c>
      <x:c r="B1455" s="53" t="str">
        <x:v>اسناد و شواهد</x:v>
      </x:c>
      <x:c r="C1455" s="53" t="str">
        <x:v>E120</x:v>
      </x:c>
      <x:c r="D1455" s="53" t="str">
        <x:v>45b4c54bf0c938724ba5f4456740260bf193c754914788523bcf8b428fa416ba</x:v>
      </x:c>
      <x:c r="E1455" s="53"/>
    </x:row>
    <x:row r="1456" ht="15" hidden="0" customHeight="1">
      <x:c r="A1456" s="53" t="str">
        <x:v>Anjoman accounting - refined.xlsx</x:v>
      </x:c>
      <x:c r="B1456" s="53" t="str">
        <x:v>اسناد و شواهد</x:v>
      </x:c>
      <x:c r="C1456" s="53" t="str">
        <x:v>A121</x:v>
      </x:c>
      <x:c r="D1456" s="53" t="str">
        <x:v>E-0118</x:v>
      </x:c>
      <x:c r="E1456" s="53"/>
    </x:row>
    <x:row r="1457" ht="15" hidden="0" customHeight="1">
      <x:c r="A1457" s="53" t="str">
        <x:v>Anjoman accounting - refined.xlsx</x:v>
      </x:c>
      <x:c r="B1457" s="53" t="str">
        <x:v>اسناد و شواهد</x:v>
      </x:c>
      <x:c r="C1457" s="53" t="str">
        <x:v>B121</x:v>
      </x:c>
      <x:c r="D1457" s="53" t="str">
        <x:v>telegram export\photos\photo_30@27-06-2026_18-24-31.jpg</x:v>
      </x:c>
      <x:c r="E1457" s="53"/>
    </x:row>
    <x:row r="1458" ht="15" hidden="0" customHeight="1">
      <x:c r="A1458" s="53" t="str">
        <x:v>Anjoman accounting - refined.xlsx</x:v>
      </x:c>
      <x:c r="B1458" s="53" t="str">
        <x:v>اسناد و شواهد</x:v>
      </x:c>
      <x:c r="C1458" s="53" t="str">
        <x:v>C121</x:v>
      </x:c>
      <x:c r="D1458" s="53" t="str">
        <x:v>jpg</x:v>
      </x:c>
      <x:c r="E1458" s="53"/>
    </x:row>
    <x:row r="1459" ht="15" hidden="0" customHeight="1">
      <x:c r="A1459" s="53" t="str">
        <x:v>Anjoman accounting - refined.xlsx</x:v>
      </x:c>
      <x:c r="B1459" s="53" t="str">
        <x:v>اسناد و شواهد</x:v>
      </x:c>
      <x:c r="C1459" s="53" t="str">
        <x:v>D121</x:v>
      </x:c>
      <x:c r="D1459" s="53" t="str">
        <x:v>114397</x:v>
      </x:c>
      <x:c r="E1459" s="53"/>
    </x:row>
    <x:row r="1460" ht="15" hidden="0" customHeight="1">
      <x:c r="A1460" s="53" t="str">
        <x:v>Anjoman accounting - refined.xlsx</x:v>
      </x:c>
      <x:c r="B1460" s="53" t="str">
        <x:v>اسناد و شواهد</x:v>
      </x:c>
      <x:c r="C1460" s="53" t="str">
        <x:v>E121</x:v>
      </x:c>
      <x:c r="D1460" s="53" t="str">
        <x:v>f5569b998adf63c1cebcb144277502c32db8088ce75d731cd3a7d98be3b2c669</x:v>
      </x:c>
      <x:c r="E1460" s="53"/>
    </x:row>
    <x:row r="1461" ht="15" hidden="0" customHeight="1">
      <x:c r="A1461" s="53" t="str">
        <x:v>Anjoman accounting - refined.xlsx</x:v>
      </x:c>
      <x:c r="B1461" s="53" t="str">
        <x:v>اسناد و شواهد</x:v>
      </x:c>
      <x:c r="C1461" s="53" t="str">
        <x:v>A122</x:v>
      </x:c>
      <x:c r="D1461" s="53" t="str">
        <x:v>E-0119</x:v>
      </x:c>
      <x:c r="E1461" s="53"/>
    </x:row>
    <x:row r="1462" ht="15" hidden="0" customHeight="1">
      <x:c r="A1462" s="53" t="str">
        <x:v>Anjoman accounting - refined.xlsx</x:v>
      </x:c>
      <x:c r="B1462" s="53" t="str">
        <x:v>اسناد و شواهد</x:v>
      </x:c>
      <x:c r="C1462" s="53" t="str">
        <x:v>B122</x:v>
      </x:c>
      <x:c r="D1462" s="53" t="str">
        <x:v>telegram export\photos\photo_30@27-06-2026_18-24-31_thumb.jpg</x:v>
      </x:c>
      <x:c r="E1462" s="53"/>
    </x:row>
    <x:row r="1463" ht="15" hidden="0" customHeight="1">
      <x:c r="A1463" s="53" t="str">
        <x:v>Anjoman accounting - refined.xlsx</x:v>
      </x:c>
      <x:c r="B1463" s="53" t="str">
        <x:v>اسناد و شواهد</x:v>
      </x:c>
      <x:c r="C1463" s="53" t="str">
        <x:v>C122</x:v>
      </x:c>
      <x:c r="D1463" s="53" t="str">
        <x:v>jpg</x:v>
      </x:c>
      <x:c r="E1463" s="53"/>
    </x:row>
    <x:row r="1464" ht="15" hidden="0" customHeight="1">
      <x:c r="A1464" s="53" t="str">
        <x:v>Anjoman accounting - refined.xlsx</x:v>
      </x:c>
      <x:c r="B1464" s="53" t="str">
        <x:v>اسناد و شواهد</x:v>
      </x:c>
      <x:c r="C1464" s="53" t="str">
        <x:v>D122</x:v>
      </x:c>
      <x:c r="D1464" s="53" t="str">
        <x:v>16871</x:v>
      </x:c>
      <x:c r="E1464" s="53"/>
    </x:row>
    <x:row r="1465" ht="15" hidden="0" customHeight="1">
      <x:c r="A1465" s="53" t="str">
        <x:v>Anjoman accounting - refined.xlsx</x:v>
      </x:c>
      <x:c r="B1465" s="53" t="str">
        <x:v>اسناد و شواهد</x:v>
      </x:c>
      <x:c r="C1465" s="53" t="str">
        <x:v>E122</x:v>
      </x:c>
      <x:c r="D1465" s="53" t="str">
        <x:v>3d4bb8e1a8ed40fa8cfbfd9cd4bc1ac477eac08927e477324b3b32668df4eb8a</x:v>
      </x:c>
      <x:c r="E1465" s="53"/>
    </x:row>
    <x:row r="1466" ht="15" hidden="0" customHeight="1">
      <x:c r="A1466" s="53" t="str">
        <x:v>Anjoman accounting - refined.xlsx</x:v>
      </x:c>
      <x:c r="B1466" s="53" t="str">
        <x:v>اسناد و شواهد</x:v>
      </x:c>
      <x:c r="C1466" s="53" t="str">
        <x:v>A123</x:v>
      </x:c>
      <x:c r="D1466" s="53" t="str">
        <x:v>E-0120</x:v>
      </x:c>
      <x:c r="E1466" s="53"/>
    </x:row>
    <x:row r="1467" ht="15" hidden="0" customHeight="1">
      <x:c r="A1467" s="53" t="str">
        <x:v>Anjoman accounting - refined.xlsx</x:v>
      </x:c>
      <x:c r="B1467" s="53" t="str">
        <x:v>اسناد و شواهد</x:v>
      </x:c>
      <x:c r="C1467" s="53" t="str">
        <x:v>B123</x:v>
      </x:c>
      <x:c r="D1467" s="53" t="str">
        <x:v>telegram export\photos\photo_31@27-06-2026_18-24-39.jpg</x:v>
      </x:c>
      <x:c r="E1467" s="53"/>
    </x:row>
    <x:row r="1468" ht="15" hidden="0" customHeight="1">
      <x:c r="A1468" s="53" t="str">
        <x:v>Anjoman accounting - refined.xlsx</x:v>
      </x:c>
      <x:c r="B1468" s="53" t="str">
        <x:v>اسناد و شواهد</x:v>
      </x:c>
      <x:c r="C1468" s="53" t="str">
        <x:v>C123</x:v>
      </x:c>
      <x:c r="D1468" s="53" t="str">
        <x:v>jpg</x:v>
      </x:c>
      <x:c r="E1468" s="53"/>
    </x:row>
    <x:row r="1469" ht="15" hidden="0" customHeight="1">
      <x:c r="A1469" s="53" t="str">
        <x:v>Anjoman accounting - refined.xlsx</x:v>
      </x:c>
      <x:c r="B1469" s="53" t="str">
        <x:v>اسناد و شواهد</x:v>
      </x:c>
      <x:c r="C1469" s="53" t="str">
        <x:v>D123</x:v>
      </x:c>
      <x:c r="D1469" s="53" t="str">
        <x:v>51950</x:v>
      </x:c>
      <x:c r="E1469" s="53"/>
    </x:row>
    <x:row r="1470" ht="15" hidden="0" customHeight="1">
      <x:c r="A1470" s="53" t="str">
        <x:v>Anjoman accounting - refined.xlsx</x:v>
      </x:c>
      <x:c r="B1470" s="53" t="str">
        <x:v>اسناد و شواهد</x:v>
      </x:c>
      <x:c r="C1470" s="53" t="str">
        <x:v>E123</x:v>
      </x:c>
      <x:c r="D1470" s="53" t="str">
        <x:v>5e693fc6f8303f5ee512c9ec9b3eadec3f3d7319b2c2f969e9875baca06d790b</x:v>
      </x:c>
      <x:c r="E1470" s="53"/>
    </x:row>
    <x:row r="1471" ht="15" hidden="0" customHeight="1">
      <x:c r="A1471" s="53" t="str">
        <x:v>Anjoman accounting - refined.xlsx</x:v>
      </x:c>
      <x:c r="B1471" s="53" t="str">
        <x:v>اسناد و شواهد</x:v>
      </x:c>
      <x:c r="C1471" s="53" t="str">
        <x:v>A124</x:v>
      </x:c>
      <x:c r="D1471" s="53" t="str">
        <x:v>E-0121</x:v>
      </x:c>
      <x:c r="E1471" s="53"/>
    </x:row>
    <x:row r="1472" ht="15" hidden="0" customHeight="1">
      <x:c r="A1472" s="53" t="str">
        <x:v>Anjoman accounting - refined.xlsx</x:v>
      </x:c>
      <x:c r="B1472" s="53" t="str">
        <x:v>اسناد و شواهد</x:v>
      </x:c>
      <x:c r="C1472" s="53" t="str">
        <x:v>B124</x:v>
      </x:c>
      <x:c r="D1472" s="53" t="str">
        <x:v>telegram export\photos\photo_31@27-06-2026_18-24-39_thumb.jpg</x:v>
      </x:c>
      <x:c r="E1472" s="53"/>
    </x:row>
    <x:row r="1473" ht="15" hidden="0" customHeight="1">
      <x:c r="A1473" s="53" t="str">
        <x:v>Anjoman accounting - refined.xlsx</x:v>
      </x:c>
      <x:c r="B1473" s="53" t="str">
        <x:v>اسناد و شواهد</x:v>
      </x:c>
      <x:c r="C1473" s="53" t="str">
        <x:v>C124</x:v>
      </x:c>
      <x:c r="D1473" s="53" t="str">
        <x:v>jpg</x:v>
      </x:c>
      <x:c r="E1473" s="53"/>
    </x:row>
    <x:row r="1474" ht="15" hidden="0" customHeight="1">
      <x:c r="A1474" s="53" t="str">
        <x:v>Anjoman accounting - refined.xlsx</x:v>
      </x:c>
      <x:c r="B1474" s="53" t="str">
        <x:v>اسناد و شواهد</x:v>
      </x:c>
      <x:c r="C1474" s="53" t="str">
        <x:v>D124</x:v>
      </x:c>
      <x:c r="D1474" s="53" t="str">
        <x:v>9380</x:v>
      </x:c>
      <x:c r="E1474" s="53"/>
    </x:row>
    <x:row r="1475" ht="15" hidden="0" customHeight="1">
      <x:c r="A1475" s="53" t="str">
        <x:v>Anjoman accounting - refined.xlsx</x:v>
      </x:c>
      <x:c r="B1475" s="53" t="str">
        <x:v>اسناد و شواهد</x:v>
      </x:c>
      <x:c r="C1475" s="53" t="str">
        <x:v>E124</x:v>
      </x:c>
      <x:c r="D1475" s="53" t="str">
        <x:v>0f2017a922c55b1e7f525431e0f8285cdee7af85ab4ff1d874a36af21a227132</x:v>
      </x:c>
      <x:c r="E1475" s="53"/>
    </x:row>
    <x:row r="1476" ht="15" hidden="0" customHeight="1">
      <x:c r="A1476" s="53" t="str">
        <x:v>Anjoman accounting - refined.xlsx</x:v>
      </x:c>
      <x:c r="B1476" s="53" t="str">
        <x:v>اسناد و شواهد</x:v>
      </x:c>
      <x:c r="C1476" s="53" t="str">
        <x:v>A125</x:v>
      </x:c>
      <x:c r="D1476" s="53" t="str">
        <x:v>E-0122</x:v>
      </x:c>
      <x:c r="E1476" s="53"/>
    </x:row>
    <x:row r="1477" ht="15" hidden="0" customHeight="1">
      <x:c r="A1477" s="53" t="str">
        <x:v>Anjoman accounting - refined.xlsx</x:v>
      </x:c>
      <x:c r="B1477" s="53" t="str">
        <x:v>اسناد و شواهد</x:v>
      </x:c>
      <x:c r="C1477" s="53" t="str">
        <x:v>B125</x:v>
      </x:c>
      <x:c r="D1477" s="53" t="str">
        <x:v>telegram export\photos\photo_32@27-06-2026_18-24-52.jpg</x:v>
      </x:c>
      <x:c r="E1477" s="53"/>
    </x:row>
    <x:row r="1478" ht="15" hidden="0" customHeight="1">
      <x:c r="A1478" s="53" t="str">
        <x:v>Anjoman accounting - refined.xlsx</x:v>
      </x:c>
      <x:c r="B1478" s="53" t="str">
        <x:v>اسناد و شواهد</x:v>
      </x:c>
      <x:c r="C1478" s="53" t="str">
        <x:v>C125</x:v>
      </x:c>
      <x:c r="D1478" s="53" t="str">
        <x:v>jpg</x:v>
      </x:c>
      <x:c r="E1478" s="53"/>
    </x:row>
    <x:row r="1479" ht="15" hidden="0" customHeight="1">
      <x:c r="A1479" s="53" t="str">
        <x:v>Anjoman accounting - refined.xlsx</x:v>
      </x:c>
      <x:c r="B1479" s="53" t="str">
        <x:v>اسناد و شواهد</x:v>
      </x:c>
      <x:c r="C1479" s="53" t="str">
        <x:v>D125</x:v>
      </x:c>
      <x:c r="D1479" s="53" t="str">
        <x:v>66516</x:v>
      </x:c>
      <x:c r="E1479" s="53"/>
    </x:row>
    <x:row r="1480" ht="15" hidden="0" customHeight="1">
      <x:c r="A1480" s="53" t="str">
        <x:v>Anjoman accounting - refined.xlsx</x:v>
      </x:c>
      <x:c r="B1480" s="53" t="str">
        <x:v>اسناد و شواهد</x:v>
      </x:c>
      <x:c r="C1480" s="53" t="str">
        <x:v>E125</x:v>
      </x:c>
      <x:c r="D1480" s="53" t="str">
        <x:v>7628c00e8636b2fb53053ed1feaab9c04fbc27a578e143dd6f1f16a64d6e00e3</x:v>
      </x:c>
      <x:c r="E1480" s="53"/>
    </x:row>
    <x:row r="1481" ht="15" hidden="0" customHeight="1">
      <x:c r="A1481" s="53" t="str">
        <x:v>Anjoman accounting - refined.xlsx</x:v>
      </x:c>
      <x:c r="B1481" s="53" t="str">
        <x:v>اسناد و شواهد</x:v>
      </x:c>
      <x:c r="C1481" s="53" t="str">
        <x:v>A126</x:v>
      </x:c>
      <x:c r="D1481" s="53" t="str">
        <x:v>E-0123</x:v>
      </x:c>
      <x:c r="E1481" s="53"/>
    </x:row>
    <x:row r="1482" ht="15" hidden="0" customHeight="1">
      <x:c r="A1482" s="53" t="str">
        <x:v>Anjoman accounting - refined.xlsx</x:v>
      </x:c>
      <x:c r="B1482" s="53" t="str">
        <x:v>اسناد و شواهد</x:v>
      </x:c>
      <x:c r="C1482" s="53" t="str">
        <x:v>B126</x:v>
      </x:c>
      <x:c r="D1482" s="53" t="str">
        <x:v>telegram export\photos\photo_32@27-06-2026_18-24-52_thumb.jpg</x:v>
      </x:c>
      <x:c r="E1482" s="53"/>
    </x:row>
    <x:row r="1483" ht="15" hidden="0" customHeight="1">
      <x:c r="A1483" s="53" t="str">
        <x:v>Anjoman accounting - refined.xlsx</x:v>
      </x:c>
      <x:c r="B1483" s="53" t="str">
        <x:v>اسناد و شواهد</x:v>
      </x:c>
      <x:c r="C1483" s="53" t="str">
        <x:v>C126</x:v>
      </x:c>
      <x:c r="D1483" s="53" t="str">
        <x:v>jpg</x:v>
      </x:c>
      <x:c r="E1483" s="53"/>
    </x:row>
    <x:row r="1484" ht="15" hidden="0" customHeight="1">
      <x:c r="A1484" s="53" t="str">
        <x:v>Anjoman accounting - refined.xlsx</x:v>
      </x:c>
      <x:c r="B1484" s="53" t="str">
        <x:v>اسناد و شواهد</x:v>
      </x:c>
      <x:c r="C1484" s="53" t="str">
        <x:v>D126</x:v>
      </x:c>
      <x:c r="D1484" s="53" t="str">
        <x:v>9906</x:v>
      </x:c>
      <x:c r="E1484" s="53"/>
    </x:row>
    <x:row r="1485" ht="15" hidden="0" customHeight="1">
      <x:c r="A1485" s="53" t="str">
        <x:v>Anjoman accounting - refined.xlsx</x:v>
      </x:c>
      <x:c r="B1485" s="53" t="str">
        <x:v>اسناد و شواهد</x:v>
      </x:c>
      <x:c r="C1485" s="53" t="str">
        <x:v>E126</x:v>
      </x:c>
      <x:c r="D1485" s="53" t="str">
        <x:v>f3417f5c4c6b508edbcdb5e4d6c4ad08873e4591d56ca71be71dbd36ca10f329</x:v>
      </x:c>
      <x:c r="E1485" s="53"/>
    </x:row>
    <x:row r="1486" ht="15" hidden="0" customHeight="1">
      <x:c r="A1486" s="53" t="str">
        <x:v>Anjoman accounting - refined.xlsx</x:v>
      </x:c>
      <x:c r="B1486" s="53" t="str">
        <x:v>اسناد و شواهد</x:v>
      </x:c>
      <x:c r="C1486" s="53" t="str">
        <x:v>A127</x:v>
      </x:c>
      <x:c r="D1486" s="53" t="str">
        <x:v>E-0124</x:v>
      </x:c>
      <x:c r="E1486" s="53"/>
    </x:row>
    <x:row r="1487" ht="15" hidden="0" customHeight="1">
      <x:c r="A1487" s="53" t="str">
        <x:v>Anjoman accounting - refined.xlsx</x:v>
      </x:c>
      <x:c r="B1487" s="53" t="str">
        <x:v>اسناد و شواهد</x:v>
      </x:c>
      <x:c r="C1487" s="53" t="str">
        <x:v>B127</x:v>
      </x:c>
      <x:c r="D1487" s="53" t="str">
        <x:v>telegram export\photos\photo_33@27-06-2026_18-25-49.jpg</x:v>
      </x:c>
      <x:c r="E1487" s="53"/>
    </x:row>
    <x:row r="1488" ht="15" hidden="0" customHeight="1">
      <x:c r="A1488" s="53" t="str">
        <x:v>Anjoman accounting - refined.xlsx</x:v>
      </x:c>
      <x:c r="B1488" s="53" t="str">
        <x:v>اسناد و شواهد</x:v>
      </x:c>
      <x:c r="C1488" s="53" t="str">
        <x:v>C127</x:v>
      </x:c>
      <x:c r="D1488" s="53" t="str">
        <x:v>jpg</x:v>
      </x:c>
      <x:c r="E1488" s="53"/>
    </x:row>
    <x:row r="1489" ht="15" hidden="0" customHeight="1">
      <x:c r="A1489" s="53" t="str">
        <x:v>Anjoman accounting - refined.xlsx</x:v>
      </x:c>
      <x:c r="B1489" s="53" t="str">
        <x:v>اسناد و شواهد</x:v>
      </x:c>
      <x:c r="C1489" s="53" t="str">
        <x:v>D127</x:v>
      </x:c>
      <x:c r="D1489" s="53" t="str">
        <x:v>69981</x:v>
      </x:c>
      <x:c r="E1489" s="53"/>
    </x:row>
    <x:row r="1490" ht="15" hidden="0" customHeight="1">
      <x:c r="A1490" s="53" t="str">
        <x:v>Anjoman accounting - refined.xlsx</x:v>
      </x:c>
      <x:c r="B1490" s="53" t="str">
        <x:v>اسناد و شواهد</x:v>
      </x:c>
      <x:c r="C1490" s="53" t="str">
        <x:v>E127</x:v>
      </x:c>
      <x:c r="D1490" s="53" t="str">
        <x:v>a0ebad23be285a1e51b629326f6f3a8dab9f52662632f4ef6194fea9855b2267</x:v>
      </x:c>
      <x:c r="E1490" s="53"/>
    </x:row>
    <x:row r="1491" ht="15" hidden="0" customHeight="1">
      <x:c r="A1491" s="53" t="str">
        <x:v>Anjoman accounting - refined.xlsx</x:v>
      </x:c>
      <x:c r="B1491" s="53" t="str">
        <x:v>اسناد و شواهد</x:v>
      </x:c>
      <x:c r="C1491" s="53" t="str">
        <x:v>A128</x:v>
      </x:c>
      <x:c r="D1491" s="53" t="str">
        <x:v>E-0125</x:v>
      </x:c>
      <x:c r="E1491" s="53"/>
    </x:row>
    <x:row r="1492" ht="15" hidden="0" customHeight="1">
      <x:c r="A1492" s="53" t="str">
        <x:v>Anjoman accounting - refined.xlsx</x:v>
      </x:c>
      <x:c r="B1492" s="53" t="str">
        <x:v>اسناد و شواهد</x:v>
      </x:c>
      <x:c r="C1492" s="53" t="str">
        <x:v>B128</x:v>
      </x:c>
      <x:c r="D1492" s="53" t="str">
        <x:v>telegram export\photos\photo_33@27-06-2026_18-25-49_thumb.jpg</x:v>
      </x:c>
      <x:c r="E1492" s="53"/>
    </x:row>
    <x:row r="1493" ht="15" hidden="0" customHeight="1">
      <x:c r="A1493" s="53" t="str">
        <x:v>Anjoman accounting - refined.xlsx</x:v>
      </x:c>
      <x:c r="B1493" s="53" t="str">
        <x:v>اسناد و شواهد</x:v>
      </x:c>
      <x:c r="C1493" s="53" t="str">
        <x:v>C128</x:v>
      </x:c>
      <x:c r="D1493" s="53" t="str">
        <x:v>jpg</x:v>
      </x:c>
      <x:c r="E1493" s="53"/>
    </x:row>
    <x:row r="1494" ht="15" hidden="0" customHeight="1">
      <x:c r="A1494" s="53" t="str">
        <x:v>Anjoman accounting - refined.xlsx</x:v>
      </x:c>
      <x:c r="B1494" s="53" t="str">
        <x:v>اسناد و شواهد</x:v>
      </x:c>
      <x:c r="C1494" s="53" t="str">
        <x:v>D128</x:v>
      </x:c>
      <x:c r="D1494" s="53" t="str">
        <x:v>9675</x:v>
      </x:c>
      <x:c r="E1494" s="53"/>
    </x:row>
    <x:row r="1495" ht="15" hidden="0" customHeight="1">
      <x:c r="A1495" s="53" t="str">
        <x:v>Anjoman accounting - refined.xlsx</x:v>
      </x:c>
      <x:c r="B1495" s="53" t="str">
        <x:v>اسناد و شواهد</x:v>
      </x:c>
      <x:c r="C1495" s="53" t="str">
        <x:v>E128</x:v>
      </x:c>
      <x:c r="D1495" s="53" t="str">
        <x:v>2ebea433dc4355467fb9a74277e86d37e59f8fefb1964cdb320fb2b97daf236f</x:v>
      </x:c>
      <x:c r="E1495" s="53"/>
    </x:row>
    <x:row r="1496" ht="15" hidden="0" customHeight="1">
      <x:c r="A1496" s="53" t="str">
        <x:v>Anjoman accounting - refined.xlsx</x:v>
      </x:c>
      <x:c r="B1496" s="53" t="str">
        <x:v>اسناد و شواهد</x:v>
      </x:c>
      <x:c r="C1496" s="53" t="str">
        <x:v>A129</x:v>
      </x:c>
      <x:c r="D1496" s="53" t="str">
        <x:v>E-0126</x:v>
      </x:c>
      <x:c r="E1496" s="53"/>
    </x:row>
    <x:row r="1497" ht="15" hidden="0" customHeight="1">
      <x:c r="A1497" s="53" t="str">
        <x:v>Anjoman accounting - refined.xlsx</x:v>
      </x:c>
      <x:c r="B1497" s="53" t="str">
        <x:v>اسناد و شواهد</x:v>
      </x:c>
      <x:c r="C1497" s="53" t="str">
        <x:v>B129</x:v>
      </x:c>
      <x:c r="D1497" s="53" t="str">
        <x:v>telegram export\photos\photo_34@27-06-2026_18-26-03.jpg</x:v>
      </x:c>
      <x:c r="E1497" s="53"/>
    </x:row>
    <x:row r="1498" ht="15" hidden="0" customHeight="1">
      <x:c r="A1498" s="53" t="str">
        <x:v>Anjoman accounting - refined.xlsx</x:v>
      </x:c>
      <x:c r="B1498" s="53" t="str">
        <x:v>اسناد و شواهد</x:v>
      </x:c>
      <x:c r="C1498" s="53" t="str">
        <x:v>C129</x:v>
      </x:c>
      <x:c r="D1498" s="53" t="str">
        <x:v>jpg</x:v>
      </x:c>
      <x:c r="E1498" s="53"/>
    </x:row>
    <x:row r="1499" ht="15" hidden="0" customHeight="1">
      <x:c r="A1499" s="53" t="str">
        <x:v>Anjoman accounting - refined.xlsx</x:v>
      </x:c>
      <x:c r="B1499" s="53" t="str">
        <x:v>اسناد و شواهد</x:v>
      </x:c>
      <x:c r="C1499" s="53" t="str">
        <x:v>D129</x:v>
      </x:c>
      <x:c r="D1499" s="53" t="str">
        <x:v>162060</x:v>
      </x:c>
      <x:c r="E1499" s="53"/>
    </x:row>
    <x:row r="1500" ht="15" hidden="0" customHeight="1">
      <x:c r="A1500" s="53" t="str">
        <x:v>Anjoman accounting - refined.xlsx</x:v>
      </x:c>
      <x:c r="B1500" s="53" t="str">
        <x:v>اسناد و شواهد</x:v>
      </x:c>
      <x:c r="C1500" s="53" t="str">
        <x:v>E129</x:v>
      </x:c>
      <x:c r="D1500" s="53" t="str">
        <x:v>d7091b678efb3e0f2e1da6270bff602fc8d5dd14fd758484945206f09aec6835</x:v>
      </x:c>
      <x:c r="E1500" s="53"/>
    </x:row>
    <x:row r="1501" ht="15" hidden="0" customHeight="1">
      <x:c r="A1501" s="53" t="str">
        <x:v>Anjoman accounting - refined.xlsx</x:v>
      </x:c>
      <x:c r="B1501" s="53" t="str">
        <x:v>اسناد و شواهد</x:v>
      </x:c>
      <x:c r="C1501" s="53" t="str">
        <x:v>A130</x:v>
      </x:c>
      <x:c r="D1501" s="53" t="str">
        <x:v>E-0127</x:v>
      </x:c>
      <x:c r="E1501" s="53"/>
    </x:row>
    <x:row r="1502" ht="15" hidden="0" customHeight="1">
      <x:c r="A1502" s="53" t="str">
        <x:v>Anjoman accounting - refined.xlsx</x:v>
      </x:c>
      <x:c r="B1502" s="53" t="str">
        <x:v>اسناد و شواهد</x:v>
      </x:c>
      <x:c r="C1502" s="53" t="str">
        <x:v>B130</x:v>
      </x:c>
      <x:c r="D1502" s="53" t="str">
        <x:v>telegram export\photos\photo_34@27-06-2026_18-26-03_thumb.jpg</x:v>
      </x:c>
      <x:c r="E1502" s="53"/>
    </x:row>
    <x:row r="1503" ht="15" hidden="0" customHeight="1">
      <x:c r="A1503" s="53" t="str">
        <x:v>Anjoman accounting - refined.xlsx</x:v>
      </x:c>
      <x:c r="B1503" s="53" t="str">
        <x:v>اسناد و شواهد</x:v>
      </x:c>
      <x:c r="C1503" s="53" t="str">
        <x:v>C130</x:v>
      </x:c>
      <x:c r="D1503" s="53" t="str">
        <x:v>jpg</x:v>
      </x:c>
      <x:c r="E1503" s="53"/>
    </x:row>
    <x:row r="1504" ht="15" hidden="0" customHeight="1">
      <x:c r="A1504" s="53" t="str">
        <x:v>Anjoman accounting - refined.xlsx</x:v>
      </x:c>
      <x:c r="B1504" s="53" t="str">
        <x:v>اسناد و شواهد</x:v>
      </x:c>
      <x:c r="C1504" s="53" t="str">
        <x:v>D130</x:v>
      </x:c>
      <x:c r="D1504" s="53" t="str">
        <x:v>29527</x:v>
      </x:c>
      <x:c r="E1504" s="53"/>
    </x:row>
    <x:row r="1505" ht="15" hidden="0" customHeight="1">
      <x:c r="A1505" s="53" t="str">
        <x:v>Anjoman accounting - refined.xlsx</x:v>
      </x:c>
      <x:c r="B1505" s="53" t="str">
        <x:v>اسناد و شواهد</x:v>
      </x:c>
      <x:c r="C1505" s="53" t="str">
        <x:v>E130</x:v>
      </x:c>
      <x:c r="D1505" s="53" t="str">
        <x:v>41fdf3595a7babfdde9bb4b9cf77b8ef8301535fbaca4dc080ce855ff83bcbcf</x:v>
      </x:c>
      <x:c r="E1505" s="53"/>
    </x:row>
    <x:row r="1506" ht="15" hidden="0" customHeight="1">
      <x:c r="A1506" s="53" t="str">
        <x:v>Anjoman accounting - refined.xlsx</x:v>
      </x:c>
      <x:c r="B1506" s="53" t="str">
        <x:v>اسناد و شواهد</x:v>
      </x:c>
      <x:c r="C1506" s="53" t="str">
        <x:v>A131</x:v>
      </x:c>
      <x:c r="D1506" s="53" t="str">
        <x:v>E-0128</x:v>
      </x:c>
      <x:c r="E1506" s="53"/>
    </x:row>
    <x:row r="1507" ht="15" hidden="0" customHeight="1">
      <x:c r="A1507" s="53" t="str">
        <x:v>Anjoman accounting - refined.xlsx</x:v>
      </x:c>
      <x:c r="B1507" s="53" t="str">
        <x:v>اسناد و شواهد</x:v>
      </x:c>
      <x:c r="C1507" s="53" t="str">
        <x:v>B131</x:v>
      </x:c>
      <x:c r="D1507" s="53" t="str">
        <x:v>telegram export\photos\photo_35@27-06-2026_18-26-22.jpg</x:v>
      </x:c>
      <x:c r="E1507" s="53"/>
    </x:row>
    <x:row r="1508" ht="15" hidden="0" customHeight="1">
      <x:c r="A1508" s="53" t="str">
        <x:v>Anjoman accounting - refined.xlsx</x:v>
      </x:c>
      <x:c r="B1508" s="53" t="str">
        <x:v>اسناد و شواهد</x:v>
      </x:c>
      <x:c r="C1508" s="53" t="str">
        <x:v>C131</x:v>
      </x:c>
      <x:c r="D1508" s="53" t="str">
        <x:v>jpg</x:v>
      </x:c>
      <x:c r="E1508" s="53"/>
    </x:row>
    <x:row r="1509" ht="15" hidden="0" customHeight="1">
      <x:c r="A1509" s="53" t="str">
        <x:v>Anjoman accounting - refined.xlsx</x:v>
      </x:c>
      <x:c r="B1509" s="53" t="str">
        <x:v>اسناد و شواهد</x:v>
      </x:c>
      <x:c r="C1509" s="53" t="str">
        <x:v>D131</x:v>
      </x:c>
      <x:c r="D1509" s="53" t="str">
        <x:v>168669</x:v>
      </x:c>
      <x:c r="E1509" s="53"/>
    </x:row>
    <x:row r="1510" ht="15" hidden="0" customHeight="1">
      <x:c r="A1510" s="53" t="str">
        <x:v>Anjoman accounting - refined.xlsx</x:v>
      </x:c>
      <x:c r="B1510" s="53" t="str">
        <x:v>اسناد و شواهد</x:v>
      </x:c>
      <x:c r="C1510" s="53" t="str">
        <x:v>E131</x:v>
      </x:c>
      <x:c r="D1510" s="53" t="str">
        <x:v>df1dad972da0ba8c3da2b76b90ccdd5c9ae6c42488b2b0f50e3eb232ab177028</x:v>
      </x:c>
      <x:c r="E1510" s="53"/>
    </x:row>
    <x:row r="1511" ht="15" hidden="0" customHeight="1">
      <x:c r="A1511" s="53" t="str">
        <x:v>Anjoman accounting - refined.xlsx</x:v>
      </x:c>
      <x:c r="B1511" s="53" t="str">
        <x:v>اسناد و شواهد</x:v>
      </x:c>
      <x:c r="C1511" s="53" t="str">
        <x:v>A132</x:v>
      </x:c>
      <x:c r="D1511" s="53" t="str">
        <x:v>E-0129</x:v>
      </x:c>
      <x:c r="E1511" s="53"/>
    </x:row>
    <x:row r="1512" ht="15" hidden="0" customHeight="1">
      <x:c r="A1512" s="53" t="str">
        <x:v>Anjoman accounting - refined.xlsx</x:v>
      </x:c>
      <x:c r="B1512" s="53" t="str">
        <x:v>اسناد و شواهد</x:v>
      </x:c>
      <x:c r="C1512" s="53" t="str">
        <x:v>B132</x:v>
      </x:c>
      <x:c r="D1512" s="53" t="str">
        <x:v>telegram export\photos\photo_35@27-06-2026_18-26-22_thumb.jpg</x:v>
      </x:c>
      <x:c r="E1512" s="53"/>
    </x:row>
    <x:row r="1513" ht="15" hidden="0" customHeight="1">
      <x:c r="A1513" s="53" t="str">
        <x:v>Anjoman accounting - refined.xlsx</x:v>
      </x:c>
      <x:c r="B1513" s="53" t="str">
        <x:v>اسناد و شواهد</x:v>
      </x:c>
      <x:c r="C1513" s="53" t="str">
        <x:v>C132</x:v>
      </x:c>
      <x:c r="D1513" s="53" t="str">
        <x:v>jpg</x:v>
      </x:c>
      <x:c r="E1513" s="53"/>
    </x:row>
    <x:row r="1514" ht="15" hidden="0" customHeight="1">
      <x:c r="A1514" s="53" t="str">
        <x:v>Anjoman accounting - refined.xlsx</x:v>
      </x:c>
      <x:c r="B1514" s="53" t="str">
        <x:v>اسناد و شواهد</x:v>
      </x:c>
      <x:c r="C1514" s="53" t="str">
        <x:v>D132</x:v>
      </x:c>
      <x:c r="D1514" s="53" t="str">
        <x:v>28996</x:v>
      </x:c>
      <x:c r="E1514" s="53"/>
    </x:row>
    <x:row r="1515" ht="15" hidden="0" customHeight="1">
      <x:c r="A1515" s="53" t="str">
        <x:v>Anjoman accounting - refined.xlsx</x:v>
      </x:c>
      <x:c r="B1515" s="53" t="str">
        <x:v>اسناد و شواهد</x:v>
      </x:c>
      <x:c r="C1515" s="53" t="str">
        <x:v>E132</x:v>
      </x:c>
      <x:c r="D1515" s="53" t="str">
        <x:v>23bb674dfebc8ce7097075a01dda8eeb430a026eb23b1dc2385042c4d25ba1b0</x:v>
      </x:c>
      <x:c r="E1515" s="53"/>
    </x:row>
    <x:row r="1516" ht="15" hidden="0" customHeight="1">
      <x:c r="A1516" s="53" t="str">
        <x:v>Anjoman accounting - refined.xlsx</x:v>
      </x:c>
      <x:c r="B1516" s="53" t="str">
        <x:v>اسناد و شواهد</x:v>
      </x:c>
      <x:c r="C1516" s="53" t="str">
        <x:v>A133</x:v>
      </x:c>
      <x:c r="D1516" s="53" t="str">
        <x:v>E-0130</x:v>
      </x:c>
      <x:c r="E1516" s="53"/>
    </x:row>
    <x:row r="1517" ht="15" hidden="0" customHeight="1">
      <x:c r="A1517" s="53" t="str">
        <x:v>Anjoman accounting - refined.xlsx</x:v>
      </x:c>
      <x:c r="B1517" s="53" t="str">
        <x:v>اسناد و شواهد</x:v>
      </x:c>
      <x:c r="C1517" s="53" t="str">
        <x:v>B133</x:v>
      </x:c>
      <x:c r="D1517" s="53" t="str">
        <x:v>telegram export\photos\photo_36@27-06-2026_18-26-45.jpg</x:v>
      </x:c>
      <x:c r="E1517" s="53"/>
    </x:row>
    <x:row r="1518" ht="15" hidden="0" customHeight="1">
      <x:c r="A1518" s="53" t="str">
        <x:v>Anjoman accounting - refined.xlsx</x:v>
      </x:c>
      <x:c r="B1518" s="53" t="str">
        <x:v>اسناد و شواهد</x:v>
      </x:c>
      <x:c r="C1518" s="53" t="str">
        <x:v>C133</x:v>
      </x:c>
      <x:c r="D1518" s="53" t="str">
        <x:v>jpg</x:v>
      </x:c>
      <x:c r="E1518" s="53"/>
    </x:row>
    <x:row r="1519" ht="15" hidden="0" customHeight="1">
      <x:c r="A1519" s="53" t="str">
        <x:v>Anjoman accounting - refined.xlsx</x:v>
      </x:c>
      <x:c r="B1519" s="53" t="str">
        <x:v>اسناد و شواهد</x:v>
      </x:c>
      <x:c r="C1519" s="53" t="str">
        <x:v>D133</x:v>
      </x:c>
      <x:c r="D1519" s="53" t="str">
        <x:v>56182</x:v>
      </x:c>
      <x:c r="E1519" s="53"/>
    </x:row>
    <x:row r="1520" ht="15" hidden="0" customHeight="1">
      <x:c r="A1520" s="53" t="str">
        <x:v>Anjoman accounting - refined.xlsx</x:v>
      </x:c>
      <x:c r="B1520" s="53" t="str">
        <x:v>اسناد و شواهد</x:v>
      </x:c>
      <x:c r="C1520" s="53" t="str">
        <x:v>E133</x:v>
      </x:c>
      <x:c r="D1520" s="53" t="str">
        <x:v>c76783f3ab2aa8dfafe81fe1d3273e3a70b017cbb8e04ee0aebf20c7896fd8a6</x:v>
      </x:c>
      <x:c r="E1520" s="53"/>
    </x:row>
    <x:row r="1521" ht="15" hidden="0" customHeight="1">
      <x:c r="A1521" s="53" t="str">
        <x:v>Anjoman accounting - refined.xlsx</x:v>
      </x:c>
      <x:c r="B1521" s="53" t="str">
        <x:v>اسناد و شواهد</x:v>
      </x:c>
      <x:c r="C1521" s="53" t="str">
        <x:v>A134</x:v>
      </x:c>
      <x:c r="D1521" s="53" t="str">
        <x:v>E-0131</x:v>
      </x:c>
      <x:c r="E1521" s="53"/>
    </x:row>
    <x:row r="1522" ht="15" hidden="0" customHeight="1">
      <x:c r="A1522" s="53" t="str">
        <x:v>Anjoman accounting - refined.xlsx</x:v>
      </x:c>
      <x:c r="B1522" s="53" t="str">
        <x:v>اسناد و شواهد</x:v>
      </x:c>
      <x:c r="C1522" s="53" t="str">
        <x:v>B134</x:v>
      </x:c>
      <x:c r="D1522" s="53" t="str">
        <x:v>telegram export\photos\photo_36@27-06-2026_18-26-45_thumb.jpg</x:v>
      </x:c>
      <x:c r="E1522" s="53"/>
    </x:row>
    <x:row r="1523" ht="15" hidden="0" customHeight="1">
      <x:c r="A1523" s="53" t="str">
        <x:v>Anjoman accounting - refined.xlsx</x:v>
      </x:c>
      <x:c r="B1523" s="53" t="str">
        <x:v>اسناد و شواهد</x:v>
      </x:c>
      <x:c r="C1523" s="53" t="str">
        <x:v>C134</x:v>
      </x:c>
      <x:c r="D1523" s="53" t="str">
        <x:v>jpg</x:v>
      </x:c>
      <x:c r="E1523" s="53"/>
    </x:row>
    <x:row r="1524" ht="15" hidden="0" customHeight="1">
      <x:c r="A1524" s="53" t="str">
        <x:v>Anjoman accounting - refined.xlsx</x:v>
      </x:c>
      <x:c r="B1524" s="53" t="str">
        <x:v>اسناد و شواهد</x:v>
      </x:c>
      <x:c r="C1524" s="53" t="str">
        <x:v>D134</x:v>
      </x:c>
      <x:c r="D1524" s="53" t="str">
        <x:v>10919</x:v>
      </x:c>
      <x:c r="E1524" s="53"/>
    </x:row>
    <x:row r="1525" ht="15" hidden="0" customHeight="1">
      <x:c r="A1525" s="53" t="str">
        <x:v>Anjoman accounting - refined.xlsx</x:v>
      </x:c>
      <x:c r="B1525" s="53" t="str">
        <x:v>اسناد و شواهد</x:v>
      </x:c>
      <x:c r="C1525" s="53" t="str">
        <x:v>E134</x:v>
      </x:c>
      <x:c r="D1525" s="53" t="str">
        <x:v>10a55a0a047f759345d31e92e84dea750951085596fa8da5be73a539df4b1289</x:v>
      </x:c>
      <x:c r="E1525" s="53"/>
    </x:row>
    <x:row r="1526" ht="15" hidden="0" customHeight="1">
      <x:c r="A1526" s="53" t="str">
        <x:v>Anjoman accounting - refined.xlsx</x:v>
      </x:c>
      <x:c r="B1526" s="53" t="str">
        <x:v>اسناد و شواهد</x:v>
      </x:c>
      <x:c r="C1526" s="53" t="str">
        <x:v>A135</x:v>
      </x:c>
      <x:c r="D1526" s="53" t="str">
        <x:v>E-0132</x:v>
      </x:c>
      <x:c r="E1526" s="53"/>
    </x:row>
    <x:row r="1527" ht="15" hidden="0" customHeight="1">
      <x:c r="A1527" s="53" t="str">
        <x:v>Anjoman accounting - refined.xlsx</x:v>
      </x:c>
      <x:c r="B1527" s="53" t="str">
        <x:v>اسناد و شواهد</x:v>
      </x:c>
      <x:c r="C1527" s="53" t="str">
        <x:v>B135</x:v>
      </x:c>
      <x:c r="D1527" s="53" t="str">
        <x:v>telegram export\photos\photo_37@27-06-2026_18-27-12.jpg</x:v>
      </x:c>
      <x:c r="E1527" s="53"/>
    </x:row>
    <x:row r="1528" ht="15" hidden="0" customHeight="1">
      <x:c r="A1528" s="53" t="str">
        <x:v>Anjoman accounting - refined.xlsx</x:v>
      </x:c>
      <x:c r="B1528" s="53" t="str">
        <x:v>اسناد و شواهد</x:v>
      </x:c>
      <x:c r="C1528" s="53" t="str">
        <x:v>C135</x:v>
      </x:c>
      <x:c r="D1528" s="53" t="str">
        <x:v>jpg</x:v>
      </x:c>
      <x:c r="E1528" s="53"/>
    </x:row>
    <x:row r="1529" ht="15" hidden="0" customHeight="1">
      <x:c r="A1529" s="53" t="str">
        <x:v>Anjoman accounting - refined.xlsx</x:v>
      </x:c>
      <x:c r="B1529" s="53" t="str">
        <x:v>اسناد و شواهد</x:v>
      </x:c>
      <x:c r="C1529" s="53" t="str">
        <x:v>D135</x:v>
      </x:c>
      <x:c r="D1529" s="53" t="str">
        <x:v>45970</x:v>
      </x:c>
      <x:c r="E1529" s="53"/>
    </x:row>
    <x:row r="1530" ht="15" hidden="0" customHeight="1">
      <x:c r="A1530" s="53" t="str">
        <x:v>Anjoman accounting - refined.xlsx</x:v>
      </x:c>
      <x:c r="B1530" s="53" t="str">
        <x:v>اسناد و شواهد</x:v>
      </x:c>
      <x:c r="C1530" s="53" t="str">
        <x:v>E135</x:v>
      </x:c>
      <x:c r="D1530" s="53" t="str">
        <x:v>9a1f8890689207a4000e3fe0fc271e522bb56ace944c1646ccf84577b88f9405</x:v>
      </x:c>
      <x:c r="E1530" s="53"/>
    </x:row>
    <x:row r="1531" ht="15" hidden="0" customHeight="1">
      <x:c r="A1531" s="53" t="str">
        <x:v>Anjoman accounting - refined.xlsx</x:v>
      </x:c>
      <x:c r="B1531" s="53" t="str">
        <x:v>اسناد و شواهد</x:v>
      </x:c>
      <x:c r="C1531" s="53" t="str">
        <x:v>A136</x:v>
      </x:c>
      <x:c r="D1531" s="53" t="str">
        <x:v>E-0133</x:v>
      </x:c>
      <x:c r="E1531" s="53"/>
    </x:row>
    <x:row r="1532" ht="15" hidden="0" customHeight="1">
      <x:c r="A1532" s="53" t="str">
        <x:v>Anjoman accounting - refined.xlsx</x:v>
      </x:c>
      <x:c r="B1532" s="53" t="str">
        <x:v>اسناد و شواهد</x:v>
      </x:c>
      <x:c r="C1532" s="53" t="str">
        <x:v>B136</x:v>
      </x:c>
      <x:c r="D1532" s="53" t="str">
        <x:v>telegram export\photos\photo_37@27-06-2026_18-27-12_thumb.jpg</x:v>
      </x:c>
      <x:c r="E1532" s="53"/>
    </x:row>
    <x:row r="1533" ht="15" hidden="0" customHeight="1">
      <x:c r="A1533" s="53" t="str">
        <x:v>Anjoman accounting - refined.xlsx</x:v>
      </x:c>
      <x:c r="B1533" s="53" t="str">
        <x:v>اسناد و شواهد</x:v>
      </x:c>
      <x:c r="C1533" s="53" t="str">
        <x:v>C136</x:v>
      </x:c>
      <x:c r="D1533" s="53" t="str">
        <x:v>jpg</x:v>
      </x:c>
      <x:c r="E1533" s="53"/>
    </x:row>
    <x:row r="1534" ht="15" hidden="0" customHeight="1">
      <x:c r="A1534" s="53" t="str">
        <x:v>Anjoman accounting - refined.xlsx</x:v>
      </x:c>
      <x:c r="B1534" s="53" t="str">
        <x:v>اسناد و شواهد</x:v>
      </x:c>
      <x:c r="C1534" s="53" t="str">
        <x:v>D136</x:v>
      </x:c>
      <x:c r="D1534" s="53" t="str">
        <x:v>8732</x:v>
      </x:c>
      <x:c r="E1534" s="53"/>
    </x:row>
    <x:row r="1535" ht="15" hidden="0" customHeight="1">
      <x:c r="A1535" s="53" t="str">
        <x:v>Anjoman accounting - refined.xlsx</x:v>
      </x:c>
      <x:c r="B1535" s="53" t="str">
        <x:v>اسناد و شواهد</x:v>
      </x:c>
      <x:c r="C1535" s="53" t="str">
        <x:v>E136</x:v>
      </x:c>
      <x:c r="D1535" s="53" t="str">
        <x:v>f74b5060d7abc668787c6bb71a87496aff72298fe33dc4aff7aea83344f6a195</x:v>
      </x:c>
      <x:c r="E1535" s="53"/>
    </x:row>
    <x:row r="1536" ht="15" hidden="0" customHeight="1">
      <x:c r="A1536" s="53" t="str">
        <x:v>Anjoman accounting - refined.xlsx</x:v>
      </x:c>
      <x:c r="B1536" s="53" t="str">
        <x:v>اسناد و شواهد</x:v>
      </x:c>
      <x:c r="C1536" s="53" t="str">
        <x:v>A137</x:v>
      </x:c>
      <x:c r="D1536" s="53" t="str">
        <x:v>E-0134</x:v>
      </x:c>
      <x:c r="E1536" s="53"/>
    </x:row>
    <x:row r="1537" ht="15" hidden="0" customHeight="1">
      <x:c r="A1537" s="53" t="str">
        <x:v>Anjoman accounting - refined.xlsx</x:v>
      </x:c>
      <x:c r="B1537" s="53" t="str">
        <x:v>اسناد و شواهد</x:v>
      </x:c>
      <x:c r="C1537" s="53" t="str">
        <x:v>B137</x:v>
      </x:c>
      <x:c r="D1537" s="53" t="str">
        <x:v>telegram export\photos\photo_38@27-06-2026_18-27-25.jpg</x:v>
      </x:c>
      <x:c r="E1537" s="53"/>
    </x:row>
    <x:row r="1538" ht="15" hidden="0" customHeight="1">
      <x:c r="A1538" s="53" t="str">
        <x:v>Anjoman accounting - refined.xlsx</x:v>
      </x:c>
      <x:c r="B1538" s="53" t="str">
        <x:v>اسناد و شواهد</x:v>
      </x:c>
      <x:c r="C1538" s="53" t="str">
        <x:v>C137</x:v>
      </x:c>
      <x:c r="D1538" s="53" t="str">
        <x:v>jpg</x:v>
      </x:c>
      <x:c r="E1538" s="53"/>
    </x:row>
    <x:row r="1539" ht="15" hidden="0" customHeight="1">
      <x:c r="A1539" s="53" t="str">
        <x:v>Anjoman accounting - refined.xlsx</x:v>
      </x:c>
      <x:c r="B1539" s="53" t="str">
        <x:v>اسناد و شواهد</x:v>
      </x:c>
      <x:c r="C1539" s="53" t="str">
        <x:v>D137</x:v>
      </x:c>
      <x:c r="D1539" s="53" t="str">
        <x:v>41070</x:v>
      </x:c>
      <x:c r="E1539" s="53"/>
    </x:row>
    <x:row r="1540" ht="15" hidden="0" customHeight="1">
      <x:c r="A1540" s="53" t="str">
        <x:v>Anjoman accounting - refined.xlsx</x:v>
      </x:c>
      <x:c r="B1540" s="53" t="str">
        <x:v>اسناد و شواهد</x:v>
      </x:c>
      <x:c r="C1540" s="53" t="str">
        <x:v>E137</x:v>
      </x:c>
      <x:c r="D1540" s="53" t="str">
        <x:v>e8a6c9ba9556546fa4abbc8e152e35df08dcc2c6669884f9dc12679882029c3e</x:v>
      </x:c>
      <x:c r="E1540" s="53"/>
    </x:row>
    <x:row r="1541" ht="15" hidden="0" customHeight="1">
      <x:c r="A1541" s="53" t="str">
        <x:v>Anjoman accounting - refined.xlsx</x:v>
      </x:c>
      <x:c r="B1541" s="53" t="str">
        <x:v>اسناد و شواهد</x:v>
      </x:c>
      <x:c r="C1541" s="53" t="str">
        <x:v>A138</x:v>
      </x:c>
      <x:c r="D1541" s="53" t="str">
        <x:v>E-0135</x:v>
      </x:c>
      <x:c r="E1541" s="53"/>
    </x:row>
    <x:row r="1542" ht="15" hidden="0" customHeight="1">
      <x:c r="A1542" s="53" t="str">
        <x:v>Anjoman accounting - refined.xlsx</x:v>
      </x:c>
      <x:c r="B1542" s="53" t="str">
        <x:v>اسناد و شواهد</x:v>
      </x:c>
      <x:c r="C1542" s="53" t="str">
        <x:v>B138</x:v>
      </x:c>
      <x:c r="D1542" s="53" t="str">
        <x:v>telegram export\photos\photo_38@27-06-2026_18-27-25_thumb.jpg</x:v>
      </x:c>
      <x:c r="E1542" s="53"/>
    </x:row>
    <x:row r="1543" ht="15" hidden="0" customHeight="1">
      <x:c r="A1543" s="53" t="str">
        <x:v>Anjoman accounting - refined.xlsx</x:v>
      </x:c>
      <x:c r="B1543" s="53" t="str">
        <x:v>اسناد و شواهد</x:v>
      </x:c>
      <x:c r="C1543" s="53" t="str">
        <x:v>C138</x:v>
      </x:c>
      <x:c r="D1543" s="53" t="str">
        <x:v>jpg</x:v>
      </x:c>
      <x:c r="E1543" s="53"/>
    </x:row>
    <x:row r="1544" ht="15" hidden="0" customHeight="1">
      <x:c r="A1544" s="53" t="str">
        <x:v>Anjoman accounting - refined.xlsx</x:v>
      </x:c>
      <x:c r="B1544" s="53" t="str">
        <x:v>اسناد و شواهد</x:v>
      </x:c>
      <x:c r="C1544" s="53" t="str">
        <x:v>D138</x:v>
      </x:c>
      <x:c r="D1544" s="53" t="str">
        <x:v>12094</x:v>
      </x:c>
      <x:c r="E1544" s="53"/>
    </x:row>
    <x:row r="1545" ht="15" hidden="0" customHeight="1">
      <x:c r="A1545" s="53" t="str">
        <x:v>Anjoman accounting - refined.xlsx</x:v>
      </x:c>
      <x:c r="B1545" s="53" t="str">
        <x:v>اسناد و شواهد</x:v>
      </x:c>
      <x:c r="C1545" s="53" t="str">
        <x:v>E138</x:v>
      </x:c>
      <x:c r="D1545" s="53" t="str">
        <x:v>d08637443dc93c0eb89c08d2194ebbcf777c7042ae83f60fc559ccae164b9e5a</x:v>
      </x:c>
      <x:c r="E1545" s="53"/>
    </x:row>
    <x:row r="1546" ht="15" hidden="0" customHeight="1">
      <x:c r="A1546" s="53" t="str">
        <x:v>Anjoman accounting - refined.xlsx</x:v>
      </x:c>
      <x:c r="B1546" s="53" t="str">
        <x:v>اسناد و شواهد</x:v>
      </x:c>
      <x:c r="C1546" s="53" t="str">
        <x:v>A139</x:v>
      </x:c>
      <x:c r="D1546" s="53" t="str">
        <x:v>E-0136</x:v>
      </x:c>
      <x:c r="E1546" s="53"/>
    </x:row>
    <x:row r="1547" ht="15" hidden="0" customHeight="1">
      <x:c r="A1547" s="53" t="str">
        <x:v>Anjoman accounting - refined.xlsx</x:v>
      </x:c>
      <x:c r="B1547" s="53" t="str">
        <x:v>اسناد و شواهد</x:v>
      </x:c>
      <x:c r="C1547" s="53" t="str">
        <x:v>B139</x:v>
      </x:c>
      <x:c r="D1547" s="53" t="str">
        <x:v>telegram export\photos\photo_39@27-06-2026_18-29-10.jpg</x:v>
      </x:c>
      <x:c r="E1547" s="53"/>
    </x:row>
    <x:row r="1548" ht="15" hidden="0" customHeight="1">
      <x:c r="A1548" s="53" t="str">
        <x:v>Anjoman accounting - refined.xlsx</x:v>
      </x:c>
      <x:c r="B1548" s="53" t="str">
        <x:v>اسناد و شواهد</x:v>
      </x:c>
      <x:c r="C1548" s="53" t="str">
        <x:v>C139</x:v>
      </x:c>
      <x:c r="D1548" s="53" t="str">
        <x:v>jpg</x:v>
      </x:c>
      <x:c r="E1548" s="53"/>
    </x:row>
    <x:row r="1549" ht="15" hidden="0" customHeight="1">
      <x:c r="A1549" s="53" t="str">
        <x:v>Anjoman accounting - refined.xlsx</x:v>
      </x:c>
      <x:c r="B1549" s="53" t="str">
        <x:v>اسناد و شواهد</x:v>
      </x:c>
      <x:c r="C1549" s="53" t="str">
        <x:v>D139</x:v>
      </x:c>
      <x:c r="D1549" s="53" t="str">
        <x:v>62596</x:v>
      </x:c>
      <x:c r="E1549" s="53"/>
    </x:row>
    <x:row r="1550" ht="15" hidden="0" customHeight="1">
      <x:c r="A1550" s="53" t="str">
        <x:v>Anjoman accounting - refined.xlsx</x:v>
      </x:c>
      <x:c r="B1550" s="53" t="str">
        <x:v>اسناد و شواهد</x:v>
      </x:c>
      <x:c r="C1550" s="53" t="str">
        <x:v>E139</x:v>
      </x:c>
      <x:c r="D1550" s="53" t="str">
        <x:v>2cc0dda007136a8eb626cca071cf976fa2faea1a3ec9461e2f9e61d426d539da</x:v>
      </x:c>
      <x:c r="E1550" s="53"/>
    </x:row>
    <x:row r="1551" ht="15" hidden="0" customHeight="1">
      <x:c r="A1551" s="53" t="str">
        <x:v>Anjoman accounting - refined.xlsx</x:v>
      </x:c>
      <x:c r="B1551" s="53" t="str">
        <x:v>اسناد و شواهد</x:v>
      </x:c>
      <x:c r="C1551" s="53" t="str">
        <x:v>A140</x:v>
      </x:c>
      <x:c r="D1551" s="53" t="str">
        <x:v>E-0137</x:v>
      </x:c>
      <x:c r="E1551" s="53"/>
    </x:row>
    <x:row r="1552" ht="15" hidden="0" customHeight="1">
      <x:c r="A1552" s="53" t="str">
        <x:v>Anjoman accounting - refined.xlsx</x:v>
      </x:c>
      <x:c r="B1552" s="53" t="str">
        <x:v>اسناد و شواهد</x:v>
      </x:c>
      <x:c r="C1552" s="53" t="str">
        <x:v>B140</x:v>
      </x:c>
      <x:c r="D1552" s="53" t="str">
        <x:v>telegram export\photos\photo_39@27-06-2026_18-29-10_thumb.jpg</x:v>
      </x:c>
      <x:c r="E1552" s="53"/>
    </x:row>
    <x:row r="1553" ht="15" hidden="0" customHeight="1">
      <x:c r="A1553" s="53" t="str">
        <x:v>Anjoman accounting - refined.xlsx</x:v>
      </x:c>
      <x:c r="B1553" s="53" t="str">
        <x:v>اسناد و شواهد</x:v>
      </x:c>
      <x:c r="C1553" s="53" t="str">
        <x:v>C140</x:v>
      </x:c>
      <x:c r="D1553" s="53" t="str">
        <x:v>jpg</x:v>
      </x:c>
      <x:c r="E1553" s="53"/>
    </x:row>
    <x:row r="1554" ht="15" hidden="0" customHeight="1">
      <x:c r="A1554" s="53" t="str">
        <x:v>Anjoman accounting - refined.xlsx</x:v>
      </x:c>
      <x:c r="B1554" s="53" t="str">
        <x:v>اسناد و شواهد</x:v>
      </x:c>
      <x:c r="C1554" s="53" t="str">
        <x:v>D140</x:v>
      </x:c>
      <x:c r="D1554" s="53" t="str">
        <x:v>15163</x:v>
      </x:c>
      <x:c r="E1554" s="53"/>
    </x:row>
    <x:row r="1555" ht="15" hidden="0" customHeight="1">
      <x:c r="A1555" s="53" t="str">
        <x:v>Anjoman accounting - refined.xlsx</x:v>
      </x:c>
      <x:c r="B1555" s="53" t="str">
        <x:v>اسناد و شواهد</x:v>
      </x:c>
      <x:c r="C1555" s="53" t="str">
        <x:v>E140</x:v>
      </x:c>
      <x:c r="D1555" s="53" t="str">
        <x:v>5541655ae333b6bf558bbfc41eb25765066e2fe9dd69ca3a7c08f4c028441594</x:v>
      </x:c>
      <x:c r="E1555" s="53"/>
    </x:row>
    <x:row r="1556" ht="15" hidden="0" customHeight="1">
      <x:c r="A1556" s="53" t="str">
        <x:v>Anjoman accounting - refined.xlsx</x:v>
      </x:c>
      <x:c r="B1556" s="53" t="str">
        <x:v>اسناد و شواهد</x:v>
      </x:c>
      <x:c r="C1556" s="53" t="str">
        <x:v>A141</x:v>
      </x:c>
      <x:c r="D1556" s="53" t="str">
        <x:v>E-0138</x:v>
      </x:c>
      <x:c r="E1556" s="53"/>
    </x:row>
    <x:row r="1557" ht="15" hidden="0" customHeight="1">
      <x:c r="A1557" s="53" t="str">
        <x:v>Anjoman accounting - refined.xlsx</x:v>
      </x:c>
      <x:c r="B1557" s="53" t="str">
        <x:v>اسناد و شواهد</x:v>
      </x:c>
      <x:c r="C1557" s="53" t="str">
        <x:v>B141</x:v>
      </x:c>
      <x:c r="D1557" s="53" t="str">
        <x:v>telegram export\photos\photo_3@24-07-2025_21-02-51.jpg</x:v>
      </x:c>
      <x:c r="E1557" s="53"/>
    </x:row>
    <x:row r="1558" ht="15" hidden="0" customHeight="1">
      <x:c r="A1558" s="53" t="str">
        <x:v>Anjoman accounting - refined.xlsx</x:v>
      </x:c>
      <x:c r="B1558" s="53" t="str">
        <x:v>اسناد و شواهد</x:v>
      </x:c>
      <x:c r="C1558" s="53" t="str">
        <x:v>C141</x:v>
      </x:c>
      <x:c r="D1558" s="53" t="str">
        <x:v>jpg</x:v>
      </x:c>
      <x:c r="E1558" s="53"/>
    </x:row>
    <x:row r="1559" ht="15" hidden="0" customHeight="1">
      <x:c r="A1559" s="53" t="str">
        <x:v>Anjoman accounting - refined.xlsx</x:v>
      </x:c>
      <x:c r="B1559" s="53" t="str">
        <x:v>اسناد و شواهد</x:v>
      </x:c>
      <x:c r="C1559" s="53" t="str">
        <x:v>D141</x:v>
      </x:c>
      <x:c r="D1559" s="53" t="str">
        <x:v>71647</x:v>
      </x:c>
      <x:c r="E1559" s="53"/>
    </x:row>
    <x:row r="1560" ht="15" hidden="0" customHeight="1">
      <x:c r="A1560" s="53" t="str">
        <x:v>Anjoman accounting - refined.xlsx</x:v>
      </x:c>
      <x:c r="B1560" s="53" t="str">
        <x:v>اسناد و شواهد</x:v>
      </x:c>
      <x:c r="C1560" s="53" t="str">
        <x:v>E141</x:v>
      </x:c>
      <x:c r="D1560" s="53" t="str">
        <x:v>3a30db869e1f6a6c63f03739af4268b7b0405346be7199ac5e26f23dc73806fc</x:v>
      </x:c>
      <x:c r="E1560" s="53"/>
    </x:row>
    <x:row r="1561" ht="15" hidden="0" customHeight="1">
      <x:c r="A1561" s="53" t="str">
        <x:v>Anjoman accounting - refined.xlsx</x:v>
      </x:c>
      <x:c r="B1561" s="53" t="str">
        <x:v>اسناد و شواهد</x:v>
      </x:c>
      <x:c r="C1561" s="53" t="str">
        <x:v>A142</x:v>
      </x:c>
      <x:c r="D1561" s="53" t="str">
        <x:v>E-0139</x:v>
      </x:c>
      <x:c r="E1561" s="53"/>
    </x:row>
    <x:row r="1562" ht="15" hidden="0" customHeight="1">
      <x:c r="A1562" s="53" t="str">
        <x:v>Anjoman accounting - refined.xlsx</x:v>
      </x:c>
      <x:c r="B1562" s="53" t="str">
        <x:v>اسناد و شواهد</x:v>
      </x:c>
      <x:c r="C1562" s="53" t="str">
        <x:v>B142</x:v>
      </x:c>
      <x:c r="D1562" s="53" t="str">
        <x:v>telegram export\photos\photo_3@24-07-2025_21-02-51_thumb.jpg</x:v>
      </x:c>
      <x:c r="E1562" s="53"/>
    </x:row>
    <x:row r="1563" ht="15" hidden="0" customHeight="1">
      <x:c r="A1563" s="53" t="str">
        <x:v>Anjoman accounting - refined.xlsx</x:v>
      </x:c>
      <x:c r="B1563" s="53" t="str">
        <x:v>اسناد و شواهد</x:v>
      </x:c>
      <x:c r="C1563" s="53" t="str">
        <x:v>C142</x:v>
      </x:c>
      <x:c r="D1563" s="53" t="str">
        <x:v>jpg</x:v>
      </x:c>
      <x:c r="E1563" s="53"/>
    </x:row>
    <x:row r="1564" ht="15" hidden="0" customHeight="1">
      <x:c r="A1564" s="53" t="str">
        <x:v>Anjoman accounting - refined.xlsx</x:v>
      </x:c>
      <x:c r="B1564" s="53" t="str">
        <x:v>اسناد و شواهد</x:v>
      </x:c>
      <x:c r="C1564" s="53" t="str">
        <x:v>D142</x:v>
      </x:c>
      <x:c r="D1564" s="53" t="str">
        <x:v>18957</x:v>
      </x:c>
      <x:c r="E1564" s="53"/>
    </x:row>
    <x:row r="1565" ht="15" hidden="0" customHeight="1">
      <x:c r="A1565" s="53" t="str">
        <x:v>Anjoman accounting - refined.xlsx</x:v>
      </x:c>
      <x:c r="B1565" s="53" t="str">
        <x:v>اسناد و شواهد</x:v>
      </x:c>
      <x:c r="C1565" s="53" t="str">
        <x:v>E142</x:v>
      </x:c>
      <x:c r="D1565" s="53" t="str">
        <x:v>acce1bb5524913066e4c6891cb48b9a328f2068d9210ed87799f7dd7b6cb215c</x:v>
      </x:c>
      <x:c r="E1565" s="53"/>
    </x:row>
    <x:row r="1566" ht="15" hidden="0" customHeight="1">
      <x:c r="A1566" s="53" t="str">
        <x:v>Anjoman accounting - refined.xlsx</x:v>
      </x:c>
      <x:c r="B1566" s="53" t="str">
        <x:v>اسناد و شواهد</x:v>
      </x:c>
      <x:c r="C1566" s="53" t="str">
        <x:v>A143</x:v>
      </x:c>
      <x:c r="D1566" s="53" t="str">
        <x:v>E-0140</x:v>
      </x:c>
      <x:c r="E1566" s="53"/>
    </x:row>
    <x:row r="1567" ht="15" hidden="0" customHeight="1">
      <x:c r="A1567" s="53" t="str">
        <x:v>Anjoman accounting - refined.xlsx</x:v>
      </x:c>
      <x:c r="B1567" s="53" t="str">
        <x:v>اسناد و شواهد</x:v>
      </x:c>
      <x:c r="C1567" s="53" t="str">
        <x:v>B143</x:v>
      </x:c>
      <x:c r="D1567" s="53" t="str">
        <x:v>telegram export\photos\photo_40@27-06-2026_18-31-08.jpg</x:v>
      </x:c>
      <x:c r="E1567" s="53"/>
    </x:row>
    <x:row r="1568" ht="15" hidden="0" customHeight="1">
      <x:c r="A1568" s="53" t="str">
        <x:v>Anjoman accounting - refined.xlsx</x:v>
      </x:c>
      <x:c r="B1568" s="53" t="str">
        <x:v>اسناد و شواهد</x:v>
      </x:c>
      <x:c r="C1568" s="53" t="str">
        <x:v>C143</x:v>
      </x:c>
      <x:c r="D1568" s="53" t="str">
        <x:v>jpg</x:v>
      </x:c>
      <x:c r="E1568" s="53"/>
    </x:row>
    <x:row r="1569" ht="15" hidden="0" customHeight="1">
      <x:c r="A1569" s="53" t="str">
        <x:v>Anjoman accounting - refined.xlsx</x:v>
      </x:c>
      <x:c r="B1569" s="53" t="str">
        <x:v>اسناد و شواهد</x:v>
      </x:c>
      <x:c r="C1569" s="53" t="str">
        <x:v>D143</x:v>
      </x:c>
      <x:c r="D1569" s="53" t="str">
        <x:v>59578</x:v>
      </x:c>
      <x:c r="E1569" s="53"/>
    </x:row>
    <x:row r="1570" ht="15" hidden="0" customHeight="1">
      <x:c r="A1570" s="53" t="str">
        <x:v>Anjoman accounting - refined.xlsx</x:v>
      </x:c>
      <x:c r="B1570" s="53" t="str">
        <x:v>اسناد و شواهد</x:v>
      </x:c>
      <x:c r="C1570" s="53" t="str">
        <x:v>E143</x:v>
      </x:c>
      <x:c r="D1570" s="53" t="str">
        <x:v>8e9cb970ead01179e35ef3181ee0017987b3e8de78c03c3bb37fc20f4f3ef402</x:v>
      </x:c>
      <x:c r="E1570" s="53"/>
    </x:row>
    <x:row r="1571" ht="15" hidden="0" customHeight="1">
      <x:c r="A1571" s="53" t="str">
        <x:v>Anjoman accounting - refined.xlsx</x:v>
      </x:c>
      <x:c r="B1571" s="53" t="str">
        <x:v>اسناد و شواهد</x:v>
      </x:c>
      <x:c r="C1571" s="53" t="str">
        <x:v>A144</x:v>
      </x:c>
      <x:c r="D1571" s="53" t="str">
        <x:v>E-0141</x:v>
      </x:c>
      <x:c r="E1571" s="53"/>
    </x:row>
    <x:row r="1572" ht="15" hidden="0" customHeight="1">
      <x:c r="A1572" s="53" t="str">
        <x:v>Anjoman accounting - refined.xlsx</x:v>
      </x:c>
      <x:c r="B1572" s="53" t="str">
        <x:v>اسناد و شواهد</x:v>
      </x:c>
      <x:c r="C1572" s="53" t="str">
        <x:v>B144</x:v>
      </x:c>
      <x:c r="D1572" s="53" t="str">
        <x:v>telegram export\photos\photo_40@27-06-2026_18-31-08_thumb.jpg</x:v>
      </x:c>
      <x:c r="E1572" s="53"/>
    </x:row>
    <x:row r="1573" ht="15" hidden="0" customHeight="1">
      <x:c r="A1573" s="53" t="str">
        <x:v>Anjoman accounting - refined.xlsx</x:v>
      </x:c>
      <x:c r="B1573" s="53" t="str">
        <x:v>اسناد و شواهد</x:v>
      </x:c>
      <x:c r="C1573" s="53" t="str">
        <x:v>C144</x:v>
      </x:c>
      <x:c r="D1573" s="53" t="str">
        <x:v>jpg</x:v>
      </x:c>
      <x:c r="E1573" s="53"/>
    </x:row>
    <x:row r="1574" ht="15" hidden="0" customHeight="1">
      <x:c r="A1574" s="53" t="str">
        <x:v>Anjoman accounting - refined.xlsx</x:v>
      </x:c>
      <x:c r="B1574" s="53" t="str">
        <x:v>اسناد و شواهد</x:v>
      </x:c>
      <x:c r="C1574" s="53" t="str">
        <x:v>D144</x:v>
      </x:c>
      <x:c r="D1574" s="53" t="str">
        <x:v>10736</x:v>
      </x:c>
      <x:c r="E1574" s="53"/>
    </x:row>
    <x:row r="1575" ht="15" hidden="0" customHeight="1">
      <x:c r="A1575" s="53" t="str">
        <x:v>Anjoman accounting - refined.xlsx</x:v>
      </x:c>
      <x:c r="B1575" s="53" t="str">
        <x:v>اسناد و شواهد</x:v>
      </x:c>
      <x:c r="C1575" s="53" t="str">
        <x:v>E144</x:v>
      </x:c>
      <x:c r="D1575" s="53" t="str">
        <x:v>475b8f9e9d6d7857a536fd51c97eefbff25a0d15a46706933b616e52e9820b87</x:v>
      </x:c>
      <x:c r="E1575" s="53"/>
    </x:row>
    <x:row r="1576" ht="15" hidden="0" customHeight="1">
      <x:c r="A1576" s="53" t="str">
        <x:v>Anjoman accounting - refined.xlsx</x:v>
      </x:c>
      <x:c r="B1576" s="53" t="str">
        <x:v>اسناد و شواهد</x:v>
      </x:c>
      <x:c r="C1576" s="53" t="str">
        <x:v>A145</x:v>
      </x:c>
      <x:c r="D1576" s="53" t="str">
        <x:v>E-0142</x:v>
      </x:c>
      <x:c r="E1576" s="53"/>
    </x:row>
    <x:row r="1577" ht="15" hidden="0" customHeight="1">
      <x:c r="A1577" s="53" t="str">
        <x:v>Anjoman accounting - refined.xlsx</x:v>
      </x:c>
      <x:c r="B1577" s="53" t="str">
        <x:v>اسناد و شواهد</x:v>
      </x:c>
      <x:c r="C1577" s="53" t="str">
        <x:v>B145</x:v>
      </x:c>
      <x:c r="D1577" s="53" t="str">
        <x:v>telegram export\photos\photo_41@27-06-2026_18-36-09.jpg</x:v>
      </x:c>
      <x:c r="E1577" s="53"/>
    </x:row>
    <x:row r="1578" ht="15" hidden="0" customHeight="1">
      <x:c r="A1578" s="53" t="str">
        <x:v>Anjoman accounting - refined.xlsx</x:v>
      </x:c>
      <x:c r="B1578" s="53" t="str">
        <x:v>اسناد و شواهد</x:v>
      </x:c>
      <x:c r="C1578" s="53" t="str">
        <x:v>C145</x:v>
      </x:c>
      <x:c r="D1578" s="53" t="str">
        <x:v>jpg</x:v>
      </x:c>
      <x:c r="E1578" s="53"/>
    </x:row>
    <x:row r="1579" ht="15" hidden="0" customHeight="1">
      <x:c r="A1579" s="53" t="str">
        <x:v>Anjoman accounting - refined.xlsx</x:v>
      </x:c>
      <x:c r="B1579" s="53" t="str">
        <x:v>اسناد و شواهد</x:v>
      </x:c>
      <x:c r="C1579" s="53" t="str">
        <x:v>D145</x:v>
      </x:c>
      <x:c r="D1579" s="53" t="str">
        <x:v>77996</x:v>
      </x:c>
      <x:c r="E1579" s="53"/>
    </x:row>
    <x:row r="1580" ht="15" hidden="0" customHeight="1">
      <x:c r="A1580" s="53" t="str">
        <x:v>Anjoman accounting - refined.xlsx</x:v>
      </x:c>
      <x:c r="B1580" s="53" t="str">
        <x:v>اسناد و شواهد</x:v>
      </x:c>
      <x:c r="C1580" s="53" t="str">
        <x:v>E145</x:v>
      </x:c>
      <x:c r="D1580" s="53" t="str">
        <x:v>78ad7571d728263883b5dc1bb9cd22848b5c2e67370643caa12c8c8935da2b20</x:v>
      </x:c>
      <x:c r="E1580" s="53"/>
    </x:row>
    <x:row r="1581" ht="15" hidden="0" customHeight="1">
      <x:c r="A1581" s="53" t="str">
        <x:v>Anjoman accounting - refined.xlsx</x:v>
      </x:c>
      <x:c r="B1581" s="53" t="str">
        <x:v>اسناد و شواهد</x:v>
      </x:c>
      <x:c r="C1581" s="53" t="str">
        <x:v>A146</x:v>
      </x:c>
      <x:c r="D1581" s="53" t="str">
        <x:v>E-0143</x:v>
      </x:c>
      <x:c r="E1581" s="53"/>
    </x:row>
    <x:row r="1582" ht="15" hidden="0" customHeight="1">
      <x:c r="A1582" s="53" t="str">
        <x:v>Anjoman accounting - refined.xlsx</x:v>
      </x:c>
      <x:c r="B1582" s="53" t="str">
        <x:v>اسناد و شواهد</x:v>
      </x:c>
      <x:c r="C1582" s="53" t="str">
        <x:v>B146</x:v>
      </x:c>
      <x:c r="D1582" s="53" t="str">
        <x:v>telegram export\photos\photo_41@27-06-2026_18-36-09_thumb.jpg</x:v>
      </x:c>
      <x:c r="E1582" s="53"/>
    </x:row>
    <x:row r="1583" ht="15" hidden="0" customHeight="1">
      <x:c r="A1583" s="53" t="str">
        <x:v>Anjoman accounting - refined.xlsx</x:v>
      </x:c>
      <x:c r="B1583" s="53" t="str">
        <x:v>اسناد و شواهد</x:v>
      </x:c>
      <x:c r="C1583" s="53" t="str">
        <x:v>C146</x:v>
      </x:c>
      <x:c r="D1583" s="53" t="str">
        <x:v>jpg</x:v>
      </x:c>
      <x:c r="E1583" s="53"/>
    </x:row>
    <x:row r="1584" ht="15" hidden="0" customHeight="1">
      <x:c r="A1584" s="53" t="str">
        <x:v>Anjoman accounting - refined.xlsx</x:v>
      </x:c>
      <x:c r="B1584" s="53" t="str">
        <x:v>اسناد و شواهد</x:v>
      </x:c>
      <x:c r="C1584" s="53" t="str">
        <x:v>D146</x:v>
      </x:c>
      <x:c r="D1584" s="53" t="str">
        <x:v>20997</x:v>
      </x:c>
      <x:c r="E1584" s="53"/>
    </x:row>
    <x:row r="1585" ht="15" hidden="0" customHeight="1">
      <x:c r="A1585" s="53" t="str">
        <x:v>Anjoman accounting - refined.xlsx</x:v>
      </x:c>
      <x:c r="B1585" s="53" t="str">
        <x:v>اسناد و شواهد</x:v>
      </x:c>
      <x:c r="C1585" s="53" t="str">
        <x:v>E146</x:v>
      </x:c>
      <x:c r="D1585" s="53" t="str">
        <x:v>d7cfde7a096842521a7335b5d5d76d2114dc2c56e92caedad0f5667a0fef805a</x:v>
      </x:c>
      <x:c r="E1585" s="53"/>
    </x:row>
    <x:row r="1586" ht="15" hidden="0" customHeight="1">
      <x:c r="A1586" s="53" t="str">
        <x:v>Anjoman accounting - refined.xlsx</x:v>
      </x:c>
      <x:c r="B1586" s="53" t="str">
        <x:v>اسناد و شواهد</x:v>
      </x:c>
      <x:c r="C1586" s="53" t="str">
        <x:v>A147</x:v>
      </x:c>
      <x:c r="D1586" s="53" t="str">
        <x:v>E-0144</x:v>
      </x:c>
      <x:c r="E1586" s="53"/>
    </x:row>
    <x:row r="1587" ht="15" hidden="0" customHeight="1">
      <x:c r="A1587" s="53" t="str">
        <x:v>Anjoman accounting - refined.xlsx</x:v>
      </x:c>
      <x:c r="B1587" s="53" t="str">
        <x:v>اسناد و شواهد</x:v>
      </x:c>
      <x:c r="C1587" s="53" t="str">
        <x:v>B147</x:v>
      </x:c>
      <x:c r="D1587" s="53" t="str">
        <x:v>telegram export\photos\photo_42@27-06-2026_18-36-09.jpg</x:v>
      </x:c>
      <x:c r="E1587" s="53"/>
    </x:row>
    <x:row r="1588" ht="15" hidden="0" customHeight="1">
      <x:c r="A1588" s="53" t="str">
        <x:v>Anjoman accounting - refined.xlsx</x:v>
      </x:c>
      <x:c r="B1588" s="53" t="str">
        <x:v>اسناد و شواهد</x:v>
      </x:c>
      <x:c r="C1588" s="53" t="str">
        <x:v>C147</x:v>
      </x:c>
      <x:c r="D1588" s="53" t="str">
        <x:v>jpg</x:v>
      </x:c>
      <x:c r="E1588" s="53"/>
    </x:row>
    <x:row r="1589" ht="15" hidden="0" customHeight="1">
      <x:c r="A1589" s="53" t="str">
        <x:v>Anjoman accounting - refined.xlsx</x:v>
      </x:c>
      <x:c r="B1589" s="53" t="str">
        <x:v>اسناد و شواهد</x:v>
      </x:c>
      <x:c r="C1589" s="53" t="str">
        <x:v>D147</x:v>
      </x:c>
      <x:c r="D1589" s="53" t="str">
        <x:v>77238</x:v>
      </x:c>
      <x:c r="E1589" s="53"/>
    </x:row>
    <x:row r="1590" ht="15" hidden="0" customHeight="1">
      <x:c r="A1590" s="53" t="str">
        <x:v>Anjoman accounting - refined.xlsx</x:v>
      </x:c>
      <x:c r="B1590" s="53" t="str">
        <x:v>اسناد و شواهد</x:v>
      </x:c>
      <x:c r="C1590" s="53" t="str">
        <x:v>E147</x:v>
      </x:c>
      <x:c r="D1590" s="53" t="str">
        <x:v>94ca1e41dc1aa15b41dd5ec0b9bb664d54733c8559fe9e348d1adc782f316712</x:v>
      </x:c>
      <x:c r="E1590" s="53"/>
    </x:row>
    <x:row r="1591" ht="15" hidden="0" customHeight="1">
      <x:c r="A1591" s="53" t="str">
        <x:v>Anjoman accounting - refined.xlsx</x:v>
      </x:c>
      <x:c r="B1591" s="53" t="str">
        <x:v>اسناد و شواهد</x:v>
      </x:c>
      <x:c r="C1591" s="53" t="str">
        <x:v>A148</x:v>
      </x:c>
      <x:c r="D1591" s="53" t="str">
        <x:v>E-0145</x:v>
      </x:c>
      <x:c r="E1591" s="53"/>
    </x:row>
    <x:row r="1592" ht="15" hidden="0" customHeight="1">
      <x:c r="A1592" s="53" t="str">
        <x:v>Anjoman accounting - refined.xlsx</x:v>
      </x:c>
      <x:c r="B1592" s="53" t="str">
        <x:v>اسناد و شواهد</x:v>
      </x:c>
      <x:c r="C1592" s="53" t="str">
        <x:v>B148</x:v>
      </x:c>
      <x:c r="D1592" s="53" t="str">
        <x:v>telegram export\photos\photo_42@27-06-2026_18-36-09_thumb.jpg</x:v>
      </x:c>
      <x:c r="E1592" s="53"/>
    </x:row>
    <x:row r="1593" ht="15" hidden="0" customHeight="1">
      <x:c r="A1593" s="53" t="str">
        <x:v>Anjoman accounting - refined.xlsx</x:v>
      </x:c>
      <x:c r="B1593" s="53" t="str">
        <x:v>اسناد و شواهد</x:v>
      </x:c>
      <x:c r="C1593" s="53" t="str">
        <x:v>C148</x:v>
      </x:c>
      <x:c r="D1593" s="53" t="str">
        <x:v>jpg</x:v>
      </x:c>
      <x:c r="E1593" s="53"/>
    </x:row>
    <x:row r="1594" ht="15" hidden="0" customHeight="1">
      <x:c r="A1594" s="53" t="str">
        <x:v>Anjoman accounting - refined.xlsx</x:v>
      </x:c>
      <x:c r="B1594" s="53" t="str">
        <x:v>اسناد و شواهد</x:v>
      </x:c>
      <x:c r="C1594" s="53" t="str">
        <x:v>D148</x:v>
      </x:c>
      <x:c r="D1594" s="53" t="str">
        <x:v>20873</x:v>
      </x:c>
      <x:c r="E1594" s="53"/>
    </x:row>
    <x:row r="1595" ht="15" hidden="0" customHeight="1">
      <x:c r="A1595" s="53" t="str">
        <x:v>Anjoman accounting - refined.xlsx</x:v>
      </x:c>
      <x:c r="B1595" s="53" t="str">
        <x:v>اسناد و شواهد</x:v>
      </x:c>
      <x:c r="C1595" s="53" t="str">
        <x:v>E148</x:v>
      </x:c>
      <x:c r="D1595" s="53" t="str">
        <x:v>a5ffa1f6734f1697a7561713efd62e907ddce39c216df02c3f5d3b8c205a7fd6</x:v>
      </x:c>
      <x:c r="E1595" s="53"/>
    </x:row>
    <x:row r="1596" ht="15" hidden="0" customHeight="1">
      <x:c r="A1596" s="53" t="str">
        <x:v>Anjoman accounting - refined.xlsx</x:v>
      </x:c>
      <x:c r="B1596" s="53" t="str">
        <x:v>اسناد و شواهد</x:v>
      </x:c>
      <x:c r="C1596" s="53" t="str">
        <x:v>A149</x:v>
      </x:c>
      <x:c r="D1596" s="53" t="str">
        <x:v>E-0146</x:v>
      </x:c>
      <x:c r="E1596" s="53"/>
    </x:row>
    <x:row r="1597" ht="15" hidden="0" customHeight="1">
      <x:c r="A1597" s="53" t="str">
        <x:v>Anjoman accounting - refined.xlsx</x:v>
      </x:c>
      <x:c r="B1597" s="53" t="str">
        <x:v>اسناد و شواهد</x:v>
      </x:c>
      <x:c r="C1597" s="53" t="str">
        <x:v>B149</x:v>
      </x:c>
      <x:c r="D1597" s="53" t="str">
        <x:v>telegram export\photos\photo_43@27-06-2026_18-36-09.jpg</x:v>
      </x:c>
      <x:c r="E1597" s="53"/>
    </x:row>
    <x:row r="1598" ht="15" hidden="0" customHeight="1">
      <x:c r="A1598" s="53" t="str">
        <x:v>Anjoman accounting - refined.xlsx</x:v>
      </x:c>
      <x:c r="B1598" s="53" t="str">
        <x:v>اسناد و شواهد</x:v>
      </x:c>
      <x:c r="C1598" s="53" t="str">
        <x:v>C149</x:v>
      </x:c>
      <x:c r="D1598" s="53" t="str">
        <x:v>jpg</x:v>
      </x:c>
      <x:c r="E1598" s="53"/>
    </x:row>
    <x:row r="1599" ht="15" hidden="0" customHeight="1">
      <x:c r="A1599" s="53" t="str">
        <x:v>Anjoman accounting - refined.xlsx</x:v>
      </x:c>
      <x:c r="B1599" s="53" t="str">
        <x:v>اسناد و شواهد</x:v>
      </x:c>
      <x:c r="C1599" s="53" t="str">
        <x:v>D149</x:v>
      </x:c>
      <x:c r="D1599" s="53" t="str">
        <x:v>85618</x:v>
      </x:c>
      <x:c r="E1599" s="53"/>
    </x:row>
    <x:row r="1600" ht="15" hidden="0" customHeight="1">
      <x:c r="A1600" s="53" t="str">
        <x:v>Anjoman accounting - refined.xlsx</x:v>
      </x:c>
      <x:c r="B1600" s="53" t="str">
        <x:v>اسناد و شواهد</x:v>
      </x:c>
      <x:c r="C1600" s="53" t="str">
        <x:v>E149</x:v>
      </x:c>
      <x:c r="D1600" s="53" t="str">
        <x:v>35428512edee92243496c3104d792d4fd07c6d43257d697c19937ccfa0a98517</x:v>
      </x:c>
      <x:c r="E1600" s="53"/>
    </x:row>
    <x:row r="1601" ht="15" hidden="0" customHeight="1">
      <x:c r="A1601" s="53" t="str">
        <x:v>Anjoman accounting - refined.xlsx</x:v>
      </x:c>
      <x:c r="B1601" s="53" t="str">
        <x:v>اسناد و شواهد</x:v>
      </x:c>
      <x:c r="C1601" s="53" t="str">
        <x:v>A150</x:v>
      </x:c>
      <x:c r="D1601" s="53" t="str">
        <x:v>E-0147</x:v>
      </x:c>
      <x:c r="E1601" s="53"/>
    </x:row>
    <x:row r="1602" ht="15" hidden="0" customHeight="1">
      <x:c r="A1602" s="53" t="str">
        <x:v>Anjoman accounting - refined.xlsx</x:v>
      </x:c>
      <x:c r="B1602" s="53" t="str">
        <x:v>اسناد و شواهد</x:v>
      </x:c>
      <x:c r="C1602" s="53" t="str">
        <x:v>B150</x:v>
      </x:c>
      <x:c r="D1602" s="53" t="str">
        <x:v>telegram export\photos\photo_43@27-06-2026_18-36-09_thumb.jpg</x:v>
      </x:c>
      <x:c r="E1602" s="53"/>
    </x:row>
    <x:row r="1603" ht="15" hidden="0" customHeight="1">
      <x:c r="A1603" s="53" t="str">
        <x:v>Anjoman accounting - refined.xlsx</x:v>
      </x:c>
      <x:c r="B1603" s="53" t="str">
        <x:v>اسناد و شواهد</x:v>
      </x:c>
      <x:c r="C1603" s="53" t="str">
        <x:v>C150</x:v>
      </x:c>
      <x:c r="D1603" s="53" t="str">
        <x:v>jpg</x:v>
      </x:c>
      <x:c r="E1603" s="53"/>
    </x:row>
    <x:row r="1604" ht="15" hidden="0" customHeight="1">
      <x:c r="A1604" s="53" t="str">
        <x:v>Anjoman accounting - refined.xlsx</x:v>
      </x:c>
      <x:c r="B1604" s="53" t="str">
        <x:v>اسناد و شواهد</x:v>
      </x:c>
      <x:c r="C1604" s="53" t="str">
        <x:v>D150</x:v>
      </x:c>
      <x:c r="D1604" s="53" t="str">
        <x:v>23016</x:v>
      </x:c>
      <x:c r="E1604" s="53"/>
    </x:row>
    <x:row r="1605" ht="15" hidden="0" customHeight="1">
      <x:c r="A1605" s="53" t="str">
        <x:v>Anjoman accounting - refined.xlsx</x:v>
      </x:c>
      <x:c r="B1605" s="53" t="str">
        <x:v>اسناد و شواهد</x:v>
      </x:c>
      <x:c r="C1605" s="53" t="str">
        <x:v>E150</x:v>
      </x:c>
      <x:c r="D1605" s="53" t="str">
        <x:v>e41e56f083a0e7e83869ec1f74b77a894e4df8073df193ae1673883f1c94ed70</x:v>
      </x:c>
      <x:c r="E1605" s="53"/>
    </x:row>
    <x:row r="1606" ht="15" hidden="0" customHeight="1">
      <x:c r="A1606" s="53" t="str">
        <x:v>Anjoman accounting - refined.xlsx</x:v>
      </x:c>
      <x:c r="B1606" s="53" t="str">
        <x:v>اسناد و شواهد</x:v>
      </x:c>
      <x:c r="C1606" s="53" t="str">
        <x:v>A151</x:v>
      </x:c>
      <x:c r="D1606" s="53" t="str">
        <x:v>E-0148</x:v>
      </x:c>
      <x:c r="E1606" s="53"/>
    </x:row>
    <x:row r="1607" ht="15" hidden="0" customHeight="1">
      <x:c r="A1607" s="53" t="str">
        <x:v>Anjoman accounting - refined.xlsx</x:v>
      </x:c>
      <x:c r="B1607" s="53" t="str">
        <x:v>اسناد و شواهد</x:v>
      </x:c>
      <x:c r="C1607" s="53" t="str">
        <x:v>B151</x:v>
      </x:c>
      <x:c r="D1607" s="53" t="str">
        <x:v>telegram export\photos\photo_44@27-06-2026_18-36-09.jpg</x:v>
      </x:c>
      <x:c r="E1607" s="53"/>
    </x:row>
    <x:row r="1608" ht="15" hidden="0" customHeight="1">
      <x:c r="A1608" s="53" t="str">
        <x:v>Anjoman accounting - refined.xlsx</x:v>
      </x:c>
      <x:c r="B1608" s="53" t="str">
        <x:v>اسناد و شواهد</x:v>
      </x:c>
      <x:c r="C1608" s="53" t="str">
        <x:v>C151</x:v>
      </x:c>
      <x:c r="D1608" s="53" t="str">
        <x:v>jpg</x:v>
      </x:c>
      <x:c r="E1608" s="53"/>
    </x:row>
    <x:row r="1609" ht="15" hidden="0" customHeight="1">
      <x:c r="A1609" s="53" t="str">
        <x:v>Anjoman accounting - refined.xlsx</x:v>
      </x:c>
      <x:c r="B1609" s="53" t="str">
        <x:v>اسناد و شواهد</x:v>
      </x:c>
      <x:c r="C1609" s="53" t="str">
        <x:v>D151</x:v>
      </x:c>
      <x:c r="D1609" s="53" t="str">
        <x:v>85772</x:v>
      </x:c>
      <x:c r="E1609" s="53"/>
    </x:row>
    <x:row r="1610" ht="15" hidden="0" customHeight="1">
      <x:c r="A1610" s="53" t="str">
        <x:v>Anjoman accounting - refined.xlsx</x:v>
      </x:c>
      <x:c r="B1610" s="53" t="str">
        <x:v>اسناد و شواهد</x:v>
      </x:c>
      <x:c r="C1610" s="53" t="str">
        <x:v>E151</x:v>
      </x:c>
      <x:c r="D1610" s="53" t="str">
        <x:v>552ed592df76565fdf834836abf1da6c4b9784e66039b1efaa36e162e69d855b</x:v>
      </x:c>
      <x:c r="E1610" s="53"/>
    </x:row>
    <x:row r="1611" ht="15" hidden="0" customHeight="1">
      <x:c r="A1611" s="53" t="str">
        <x:v>Anjoman accounting - refined.xlsx</x:v>
      </x:c>
      <x:c r="B1611" s="53" t="str">
        <x:v>اسناد و شواهد</x:v>
      </x:c>
      <x:c r="C1611" s="53" t="str">
        <x:v>A152</x:v>
      </x:c>
      <x:c r="D1611" s="53" t="str">
        <x:v>E-0149</x:v>
      </x:c>
      <x:c r="E1611" s="53"/>
    </x:row>
    <x:row r="1612" ht="15" hidden="0" customHeight="1">
      <x:c r="A1612" s="53" t="str">
        <x:v>Anjoman accounting - refined.xlsx</x:v>
      </x:c>
      <x:c r="B1612" s="53" t="str">
        <x:v>اسناد و شواهد</x:v>
      </x:c>
      <x:c r="C1612" s="53" t="str">
        <x:v>B152</x:v>
      </x:c>
      <x:c r="D1612" s="53" t="str">
        <x:v>telegram export\photos\photo_44@27-06-2026_18-36-09_thumb.jpg</x:v>
      </x:c>
      <x:c r="E1612" s="53"/>
    </x:row>
    <x:row r="1613" ht="15" hidden="0" customHeight="1">
      <x:c r="A1613" s="53" t="str">
        <x:v>Anjoman accounting - refined.xlsx</x:v>
      </x:c>
      <x:c r="B1613" s="53" t="str">
        <x:v>اسناد و شواهد</x:v>
      </x:c>
      <x:c r="C1613" s="53" t="str">
        <x:v>C152</x:v>
      </x:c>
      <x:c r="D1613" s="53" t="str">
        <x:v>jpg</x:v>
      </x:c>
      <x:c r="E1613" s="53"/>
    </x:row>
    <x:row r="1614" ht="15" hidden="0" customHeight="1">
      <x:c r="A1614" s="53" t="str">
        <x:v>Anjoman accounting - refined.xlsx</x:v>
      </x:c>
      <x:c r="B1614" s="53" t="str">
        <x:v>اسناد و شواهد</x:v>
      </x:c>
      <x:c r="C1614" s="53" t="str">
        <x:v>D152</x:v>
      </x:c>
      <x:c r="D1614" s="53" t="str">
        <x:v>23156</x:v>
      </x:c>
      <x:c r="E1614" s="53"/>
    </x:row>
    <x:row r="1615" ht="15" hidden="0" customHeight="1">
      <x:c r="A1615" s="53" t="str">
        <x:v>Anjoman accounting - refined.xlsx</x:v>
      </x:c>
      <x:c r="B1615" s="53" t="str">
        <x:v>اسناد و شواهد</x:v>
      </x:c>
      <x:c r="C1615" s="53" t="str">
        <x:v>E152</x:v>
      </x:c>
      <x:c r="D1615" s="53" t="str">
        <x:v>08693d24e4fe7d93d4d5367bd7374b7a67a119e4d81e269c19e01394a86afa6d</x:v>
      </x:c>
      <x:c r="E1615" s="53"/>
    </x:row>
    <x:row r="1616" ht="15" hidden="0" customHeight="1">
      <x:c r="A1616" s="53" t="str">
        <x:v>Anjoman accounting - refined.xlsx</x:v>
      </x:c>
      <x:c r="B1616" s="53" t="str">
        <x:v>اسناد و شواهد</x:v>
      </x:c>
      <x:c r="C1616" s="53" t="str">
        <x:v>A153</x:v>
      </x:c>
      <x:c r="D1616" s="53" t="str">
        <x:v>E-0150</x:v>
      </x:c>
      <x:c r="E1616" s="53"/>
    </x:row>
    <x:row r="1617" ht="15" hidden="0" customHeight="1">
      <x:c r="A1617" s="53" t="str">
        <x:v>Anjoman accounting - refined.xlsx</x:v>
      </x:c>
      <x:c r="B1617" s="53" t="str">
        <x:v>اسناد و شواهد</x:v>
      </x:c>
      <x:c r="C1617" s="53" t="str">
        <x:v>B153</x:v>
      </x:c>
      <x:c r="D1617" s="53" t="str">
        <x:v>telegram export\photos\photo_45@27-06-2026_18-36-09.jpg</x:v>
      </x:c>
      <x:c r="E1617" s="53"/>
    </x:row>
    <x:row r="1618" ht="15" hidden="0" customHeight="1">
      <x:c r="A1618" s="53" t="str">
        <x:v>Anjoman accounting - refined.xlsx</x:v>
      </x:c>
      <x:c r="B1618" s="53" t="str">
        <x:v>اسناد و شواهد</x:v>
      </x:c>
      <x:c r="C1618" s="53" t="str">
        <x:v>C153</x:v>
      </x:c>
      <x:c r="D1618" s="53" t="str">
        <x:v>jpg</x:v>
      </x:c>
      <x:c r="E1618" s="53"/>
    </x:row>
    <x:row r="1619" ht="15" hidden="0" customHeight="1">
      <x:c r="A1619" s="53" t="str">
        <x:v>Anjoman accounting - refined.xlsx</x:v>
      </x:c>
      <x:c r="B1619" s="53" t="str">
        <x:v>اسناد و شواهد</x:v>
      </x:c>
      <x:c r="C1619" s="53" t="str">
        <x:v>D153</x:v>
      </x:c>
      <x:c r="D1619" s="53" t="str">
        <x:v>65390</x:v>
      </x:c>
      <x:c r="E1619" s="53"/>
    </x:row>
    <x:row r="1620" ht="15" hidden="0" customHeight="1">
      <x:c r="A1620" s="53" t="str">
        <x:v>Anjoman accounting - refined.xlsx</x:v>
      </x:c>
      <x:c r="B1620" s="53" t="str">
        <x:v>اسناد و شواهد</x:v>
      </x:c>
      <x:c r="C1620" s="53" t="str">
        <x:v>E153</x:v>
      </x:c>
      <x:c r="D1620" s="53" t="str">
        <x:v>d3cd5d400ad26b008c54a467ede8e780c9606b0a9a460d51c2e11bf69ede9a39</x:v>
      </x:c>
      <x:c r="E1620" s="53"/>
    </x:row>
    <x:row r="1621" ht="15" hidden="0" customHeight="1">
      <x:c r="A1621" s="53" t="str">
        <x:v>Anjoman accounting - refined.xlsx</x:v>
      </x:c>
      <x:c r="B1621" s="53" t="str">
        <x:v>اسناد و شواهد</x:v>
      </x:c>
      <x:c r="C1621" s="53" t="str">
        <x:v>A154</x:v>
      </x:c>
      <x:c r="D1621" s="53" t="str">
        <x:v>E-0151</x:v>
      </x:c>
      <x:c r="E1621" s="53"/>
    </x:row>
    <x:row r="1622" ht="15" hidden="0" customHeight="1">
      <x:c r="A1622" s="53" t="str">
        <x:v>Anjoman accounting - refined.xlsx</x:v>
      </x:c>
      <x:c r="B1622" s="53" t="str">
        <x:v>اسناد و شواهد</x:v>
      </x:c>
      <x:c r="C1622" s="53" t="str">
        <x:v>B154</x:v>
      </x:c>
      <x:c r="D1622" s="53" t="str">
        <x:v>telegram export\photos\photo_45@27-06-2026_18-36-09_thumb.jpg</x:v>
      </x:c>
      <x:c r="E1622" s="53"/>
    </x:row>
    <x:row r="1623" ht="15" hidden="0" customHeight="1">
      <x:c r="A1623" s="53" t="str">
        <x:v>Anjoman accounting - refined.xlsx</x:v>
      </x:c>
      <x:c r="B1623" s="53" t="str">
        <x:v>اسناد و شواهد</x:v>
      </x:c>
      <x:c r="C1623" s="53" t="str">
        <x:v>C154</x:v>
      </x:c>
      <x:c r="D1623" s="53" t="str">
        <x:v>jpg</x:v>
      </x:c>
      <x:c r="E1623" s="53"/>
    </x:row>
    <x:row r="1624" ht="15" hidden="0" customHeight="1">
      <x:c r="A1624" s="53" t="str">
        <x:v>Anjoman accounting - refined.xlsx</x:v>
      </x:c>
      <x:c r="B1624" s="53" t="str">
        <x:v>اسناد و شواهد</x:v>
      </x:c>
      <x:c r="C1624" s="53" t="str">
        <x:v>D154</x:v>
      </x:c>
      <x:c r="D1624" s="53" t="str">
        <x:v>15934</x:v>
      </x:c>
      <x:c r="E1624" s="53"/>
    </x:row>
    <x:row r="1625" ht="15" hidden="0" customHeight="1">
      <x:c r="A1625" s="53" t="str">
        <x:v>Anjoman accounting - refined.xlsx</x:v>
      </x:c>
      <x:c r="B1625" s="53" t="str">
        <x:v>اسناد و شواهد</x:v>
      </x:c>
      <x:c r="C1625" s="53" t="str">
        <x:v>E154</x:v>
      </x:c>
      <x:c r="D1625" s="53" t="str">
        <x:v>191eb597892e591a2f4e631dda89c8c46217cf567623a308bf5d67467c6e8c9b</x:v>
      </x:c>
      <x:c r="E1625" s="53"/>
    </x:row>
    <x:row r="1626" ht="15" hidden="0" customHeight="1">
      <x:c r="A1626" s="53" t="str">
        <x:v>Anjoman accounting - refined.xlsx</x:v>
      </x:c>
      <x:c r="B1626" s="53" t="str">
        <x:v>اسناد و شواهد</x:v>
      </x:c>
      <x:c r="C1626" s="53" t="str">
        <x:v>A155</x:v>
      </x:c>
      <x:c r="D1626" s="53" t="str">
        <x:v>E-0152</x:v>
      </x:c>
      <x:c r="E1626" s="53"/>
    </x:row>
    <x:row r="1627" ht="15" hidden="0" customHeight="1">
      <x:c r="A1627" s="53" t="str">
        <x:v>Anjoman accounting - refined.xlsx</x:v>
      </x:c>
      <x:c r="B1627" s="53" t="str">
        <x:v>اسناد و شواهد</x:v>
      </x:c>
      <x:c r="C1627" s="53" t="str">
        <x:v>B155</x:v>
      </x:c>
      <x:c r="D1627" s="53" t="str">
        <x:v>telegram export\photos\photo_46@27-06-2026_18-38-52.jpg</x:v>
      </x:c>
      <x:c r="E1627" s="53"/>
    </x:row>
    <x:row r="1628" ht="15" hidden="0" customHeight="1">
      <x:c r="A1628" s="53" t="str">
        <x:v>Anjoman accounting - refined.xlsx</x:v>
      </x:c>
      <x:c r="B1628" s="53" t="str">
        <x:v>اسناد و شواهد</x:v>
      </x:c>
      <x:c r="C1628" s="53" t="str">
        <x:v>C155</x:v>
      </x:c>
      <x:c r="D1628" s="53" t="str">
        <x:v>jpg</x:v>
      </x:c>
      <x:c r="E1628" s="53"/>
    </x:row>
    <x:row r="1629" ht="15" hidden="0" customHeight="1">
      <x:c r="A1629" s="53" t="str">
        <x:v>Anjoman accounting - refined.xlsx</x:v>
      </x:c>
      <x:c r="B1629" s="53" t="str">
        <x:v>اسناد و شواهد</x:v>
      </x:c>
      <x:c r="C1629" s="53" t="str">
        <x:v>D155</x:v>
      </x:c>
      <x:c r="D1629" s="53" t="str">
        <x:v>145310</x:v>
      </x:c>
      <x:c r="E1629" s="53"/>
    </x:row>
    <x:row r="1630" ht="15" hidden="0" customHeight="1">
      <x:c r="A1630" s="53" t="str">
        <x:v>Anjoman accounting - refined.xlsx</x:v>
      </x:c>
      <x:c r="B1630" s="53" t="str">
        <x:v>اسناد و شواهد</x:v>
      </x:c>
      <x:c r="C1630" s="53" t="str">
        <x:v>E155</x:v>
      </x:c>
      <x:c r="D1630" s="53" t="str">
        <x:v>22c0f55d35b72f746c979bd91c0f23f9862ff7f5a4851ab2293686a796fab727</x:v>
      </x:c>
      <x:c r="E1630" s="53"/>
    </x:row>
    <x:row r="1631" ht="15" hidden="0" customHeight="1">
      <x:c r="A1631" s="53" t="str">
        <x:v>Anjoman accounting - refined.xlsx</x:v>
      </x:c>
      <x:c r="B1631" s="53" t="str">
        <x:v>اسناد و شواهد</x:v>
      </x:c>
      <x:c r="C1631" s="53" t="str">
        <x:v>A156</x:v>
      </x:c>
      <x:c r="D1631" s="53" t="str">
        <x:v>E-0153</x:v>
      </x:c>
      <x:c r="E1631" s="53"/>
    </x:row>
    <x:row r="1632" ht="15" hidden="0" customHeight="1">
      <x:c r="A1632" s="53" t="str">
        <x:v>Anjoman accounting - refined.xlsx</x:v>
      </x:c>
      <x:c r="B1632" s="53" t="str">
        <x:v>اسناد و شواهد</x:v>
      </x:c>
      <x:c r="C1632" s="53" t="str">
        <x:v>B156</x:v>
      </x:c>
      <x:c r="D1632" s="53" t="str">
        <x:v>telegram export\photos\photo_46@27-06-2026_18-38-52_thumb.jpg</x:v>
      </x:c>
      <x:c r="E1632" s="53"/>
    </x:row>
    <x:row r="1633" ht="15" hidden="0" customHeight="1">
      <x:c r="A1633" s="53" t="str">
        <x:v>Anjoman accounting - refined.xlsx</x:v>
      </x:c>
      <x:c r="B1633" s="53" t="str">
        <x:v>اسناد و شواهد</x:v>
      </x:c>
      <x:c r="C1633" s="53" t="str">
        <x:v>C156</x:v>
      </x:c>
      <x:c r="D1633" s="53" t="str">
        <x:v>jpg</x:v>
      </x:c>
      <x:c r="E1633" s="53"/>
    </x:row>
    <x:row r="1634" ht="15" hidden="0" customHeight="1">
      <x:c r="A1634" s="53" t="str">
        <x:v>Anjoman accounting - refined.xlsx</x:v>
      </x:c>
      <x:c r="B1634" s="53" t="str">
        <x:v>اسناد و شواهد</x:v>
      </x:c>
      <x:c r="C1634" s="53" t="str">
        <x:v>D156</x:v>
      </x:c>
      <x:c r="D1634" s="53" t="str">
        <x:v>21027</x:v>
      </x:c>
      <x:c r="E1634" s="53"/>
    </x:row>
    <x:row r="1635" ht="15" hidden="0" customHeight="1">
      <x:c r="A1635" s="53" t="str">
        <x:v>Anjoman accounting - refined.xlsx</x:v>
      </x:c>
      <x:c r="B1635" s="53" t="str">
        <x:v>اسناد و شواهد</x:v>
      </x:c>
      <x:c r="C1635" s="53" t="str">
        <x:v>E156</x:v>
      </x:c>
      <x:c r="D1635" s="53" t="str">
        <x:v>70d5b7f1a70653de2322b22d6ecec86cab00add70221b3b888143f568da1ed9e</x:v>
      </x:c>
      <x:c r="E1635" s="53"/>
    </x:row>
    <x:row r="1636" ht="15" hidden="0" customHeight="1">
      <x:c r="A1636" s="53" t="str">
        <x:v>Anjoman accounting - refined.xlsx</x:v>
      </x:c>
      <x:c r="B1636" s="53" t="str">
        <x:v>اسناد و شواهد</x:v>
      </x:c>
      <x:c r="C1636" s="53" t="str">
        <x:v>A157</x:v>
      </x:c>
      <x:c r="D1636" s="53" t="str">
        <x:v>E-0154</x:v>
      </x:c>
      <x:c r="E1636" s="53"/>
    </x:row>
    <x:row r="1637" ht="15" hidden="0" customHeight="1">
      <x:c r="A1637" s="53" t="str">
        <x:v>Anjoman accounting - refined.xlsx</x:v>
      </x:c>
      <x:c r="B1637" s="53" t="str">
        <x:v>اسناد و شواهد</x:v>
      </x:c>
      <x:c r="C1637" s="53" t="str">
        <x:v>B157</x:v>
      </x:c>
      <x:c r="D1637" s="53" t="str">
        <x:v>telegram export\photos\photo_47@27-06-2026_18-43-30.jpg</x:v>
      </x:c>
      <x:c r="E1637" s="53"/>
    </x:row>
    <x:row r="1638" ht="15" hidden="0" customHeight="1">
      <x:c r="A1638" s="53" t="str">
        <x:v>Anjoman accounting - refined.xlsx</x:v>
      </x:c>
      <x:c r="B1638" s="53" t="str">
        <x:v>اسناد و شواهد</x:v>
      </x:c>
      <x:c r="C1638" s="53" t="str">
        <x:v>C157</x:v>
      </x:c>
      <x:c r="D1638" s="53" t="str">
        <x:v>jpg</x:v>
      </x:c>
      <x:c r="E1638" s="53"/>
    </x:row>
    <x:row r="1639" ht="15" hidden="0" customHeight="1">
      <x:c r="A1639" s="53" t="str">
        <x:v>Anjoman accounting - refined.xlsx</x:v>
      </x:c>
      <x:c r="B1639" s="53" t="str">
        <x:v>اسناد و شواهد</x:v>
      </x:c>
      <x:c r="C1639" s="53" t="str">
        <x:v>D157</x:v>
      </x:c>
      <x:c r="D1639" s="53" t="str">
        <x:v>145095</x:v>
      </x:c>
      <x:c r="E1639" s="53"/>
    </x:row>
    <x:row r="1640" ht="15" hidden="0" customHeight="1">
      <x:c r="A1640" s="53" t="str">
        <x:v>Anjoman accounting - refined.xlsx</x:v>
      </x:c>
      <x:c r="B1640" s="53" t="str">
        <x:v>اسناد و شواهد</x:v>
      </x:c>
      <x:c r="C1640" s="53" t="str">
        <x:v>E157</x:v>
      </x:c>
      <x:c r="D1640" s="53" t="str">
        <x:v>65c4560d70bc56c79da398701f9c98c8ae2ffada8d71d2c3e111e2e24ae1cd86</x:v>
      </x:c>
      <x:c r="E1640" s="53"/>
    </x:row>
    <x:row r="1641" ht="15" hidden="0" customHeight="1">
      <x:c r="A1641" s="53" t="str">
        <x:v>Anjoman accounting - refined.xlsx</x:v>
      </x:c>
      <x:c r="B1641" s="53" t="str">
        <x:v>اسناد و شواهد</x:v>
      </x:c>
      <x:c r="C1641" s="53" t="str">
        <x:v>A158</x:v>
      </x:c>
      <x:c r="D1641" s="53" t="str">
        <x:v>E-0155</x:v>
      </x:c>
      <x:c r="E1641" s="53"/>
    </x:row>
    <x:row r="1642" ht="15" hidden="0" customHeight="1">
      <x:c r="A1642" s="53" t="str">
        <x:v>Anjoman accounting - refined.xlsx</x:v>
      </x:c>
      <x:c r="B1642" s="53" t="str">
        <x:v>اسناد و شواهد</x:v>
      </x:c>
      <x:c r="C1642" s="53" t="str">
        <x:v>B158</x:v>
      </x:c>
      <x:c r="D1642" s="53" t="str">
        <x:v>telegram export\photos\photo_47@27-06-2026_18-43-30_thumb.jpg</x:v>
      </x:c>
      <x:c r="E1642" s="53"/>
    </x:row>
    <x:row r="1643" ht="15" hidden="0" customHeight="1">
      <x:c r="A1643" s="53" t="str">
        <x:v>Anjoman accounting - refined.xlsx</x:v>
      </x:c>
      <x:c r="B1643" s="53" t="str">
        <x:v>اسناد و شواهد</x:v>
      </x:c>
      <x:c r="C1643" s="53" t="str">
        <x:v>C158</x:v>
      </x:c>
      <x:c r="D1643" s="53" t="str">
        <x:v>jpg</x:v>
      </x:c>
      <x:c r="E1643" s="53"/>
    </x:row>
    <x:row r="1644" ht="15" hidden="0" customHeight="1">
      <x:c r="A1644" s="53" t="str">
        <x:v>Anjoman accounting - refined.xlsx</x:v>
      </x:c>
      <x:c r="B1644" s="53" t="str">
        <x:v>اسناد و شواهد</x:v>
      </x:c>
      <x:c r="C1644" s="53" t="str">
        <x:v>D158</x:v>
      </x:c>
      <x:c r="D1644" s="53" t="str">
        <x:v>20791</x:v>
      </x:c>
      <x:c r="E1644" s="53"/>
    </x:row>
    <x:row r="1645" ht="15" hidden="0" customHeight="1">
      <x:c r="A1645" s="53" t="str">
        <x:v>Anjoman accounting - refined.xlsx</x:v>
      </x:c>
      <x:c r="B1645" s="53" t="str">
        <x:v>اسناد و شواهد</x:v>
      </x:c>
      <x:c r="C1645" s="53" t="str">
        <x:v>E158</x:v>
      </x:c>
      <x:c r="D1645" s="53" t="str">
        <x:v>7c11d25d710870120c0c37637a411db4d2139333005c9016a759163a20208b85</x:v>
      </x:c>
      <x:c r="E1645" s="53"/>
    </x:row>
    <x:row r="1646" ht="15" hidden="0" customHeight="1">
      <x:c r="A1646" s="53" t="str">
        <x:v>Anjoman accounting - refined.xlsx</x:v>
      </x:c>
      <x:c r="B1646" s="53" t="str">
        <x:v>اسناد و شواهد</x:v>
      </x:c>
      <x:c r="C1646" s="53" t="str">
        <x:v>A159</x:v>
      </x:c>
      <x:c r="D1646" s="53" t="str">
        <x:v>E-0156</x:v>
      </x:c>
      <x:c r="E1646" s="53"/>
    </x:row>
    <x:row r="1647" ht="15" hidden="0" customHeight="1">
      <x:c r="A1647" s="53" t="str">
        <x:v>Anjoman accounting - refined.xlsx</x:v>
      </x:c>
      <x:c r="B1647" s="53" t="str">
        <x:v>اسناد و شواهد</x:v>
      </x:c>
      <x:c r="C1647" s="53" t="str">
        <x:v>B159</x:v>
      </x:c>
      <x:c r="D1647" s="53" t="str">
        <x:v>telegram export\photos\photo_48@27-06-2026_18-43-30.jpg</x:v>
      </x:c>
      <x:c r="E1647" s="53"/>
    </x:row>
    <x:row r="1648" ht="15" hidden="0" customHeight="1">
      <x:c r="A1648" s="53" t="str">
        <x:v>Anjoman accounting - refined.xlsx</x:v>
      </x:c>
      <x:c r="B1648" s="53" t="str">
        <x:v>اسناد و شواهد</x:v>
      </x:c>
      <x:c r="C1648" s="53" t="str">
        <x:v>C159</x:v>
      </x:c>
      <x:c r="D1648" s="53" t="str">
        <x:v>jpg</x:v>
      </x:c>
      <x:c r="E1648" s="53"/>
    </x:row>
    <x:row r="1649" ht="15" hidden="0" customHeight="1">
      <x:c r="A1649" s="53" t="str">
        <x:v>Anjoman accounting - refined.xlsx</x:v>
      </x:c>
      <x:c r="B1649" s="53" t="str">
        <x:v>اسناد و شواهد</x:v>
      </x:c>
      <x:c r="C1649" s="53" t="str">
        <x:v>D159</x:v>
      </x:c>
      <x:c r="D1649" s="53" t="str">
        <x:v>64244</x:v>
      </x:c>
      <x:c r="E1649" s="53"/>
    </x:row>
    <x:row r="1650" ht="15" hidden="0" customHeight="1">
      <x:c r="A1650" s="53" t="str">
        <x:v>Anjoman accounting - refined.xlsx</x:v>
      </x:c>
      <x:c r="B1650" s="53" t="str">
        <x:v>اسناد و شواهد</x:v>
      </x:c>
      <x:c r="C1650" s="53" t="str">
        <x:v>E159</x:v>
      </x:c>
      <x:c r="D1650" s="53" t="str">
        <x:v>20df96b527f0c957a11188d14f66f9281587d18e0b3e31457b0db70daf899449</x:v>
      </x:c>
      <x:c r="E1650" s="53"/>
    </x:row>
    <x:row r="1651" ht="15" hidden="0" customHeight="1">
      <x:c r="A1651" s="53" t="str">
        <x:v>Anjoman accounting - refined.xlsx</x:v>
      </x:c>
      <x:c r="B1651" s="53" t="str">
        <x:v>اسناد و شواهد</x:v>
      </x:c>
      <x:c r="C1651" s="53" t="str">
        <x:v>A160</x:v>
      </x:c>
      <x:c r="D1651" s="53" t="str">
        <x:v>E-0157</x:v>
      </x:c>
      <x:c r="E1651" s="53"/>
    </x:row>
    <x:row r="1652" ht="15" hidden="0" customHeight="1">
      <x:c r="A1652" s="53" t="str">
        <x:v>Anjoman accounting - refined.xlsx</x:v>
      </x:c>
      <x:c r="B1652" s="53" t="str">
        <x:v>اسناد و شواهد</x:v>
      </x:c>
      <x:c r="C1652" s="53" t="str">
        <x:v>B160</x:v>
      </x:c>
      <x:c r="D1652" s="53" t="str">
        <x:v>telegram export\photos\photo_48@27-06-2026_18-43-30_thumb.jpg</x:v>
      </x:c>
      <x:c r="E1652" s="53"/>
    </x:row>
    <x:row r="1653" ht="15" hidden="0" customHeight="1">
      <x:c r="A1653" s="53" t="str">
        <x:v>Anjoman accounting - refined.xlsx</x:v>
      </x:c>
      <x:c r="B1653" s="53" t="str">
        <x:v>اسناد و شواهد</x:v>
      </x:c>
      <x:c r="C1653" s="53" t="str">
        <x:v>C160</x:v>
      </x:c>
      <x:c r="D1653" s="53" t="str">
        <x:v>jpg</x:v>
      </x:c>
      <x:c r="E1653" s="53"/>
    </x:row>
    <x:row r="1654" ht="15" hidden="0" customHeight="1">
      <x:c r="A1654" s="53" t="str">
        <x:v>Anjoman accounting - refined.xlsx</x:v>
      </x:c>
      <x:c r="B1654" s="53" t="str">
        <x:v>اسناد و شواهد</x:v>
      </x:c>
      <x:c r="C1654" s="53" t="str">
        <x:v>D160</x:v>
      </x:c>
      <x:c r="D1654" s="53" t="str">
        <x:v>15509</x:v>
      </x:c>
      <x:c r="E1654" s="53"/>
    </x:row>
    <x:row r="1655" ht="15" hidden="0" customHeight="1">
      <x:c r="A1655" s="53" t="str">
        <x:v>Anjoman accounting - refined.xlsx</x:v>
      </x:c>
      <x:c r="B1655" s="53" t="str">
        <x:v>اسناد و شواهد</x:v>
      </x:c>
      <x:c r="C1655" s="53" t="str">
        <x:v>E160</x:v>
      </x:c>
      <x:c r="D1655" s="53" t="str">
        <x:v>270396b2616979116ecbbee3b2ca949a6b25412af041fbeb0d9b336dff52e09f</x:v>
      </x:c>
      <x:c r="E1655" s="53"/>
    </x:row>
    <x:row r="1656" ht="15" hidden="0" customHeight="1">
      <x:c r="A1656" s="53" t="str">
        <x:v>Anjoman accounting - refined.xlsx</x:v>
      </x:c>
      <x:c r="B1656" s="53" t="str">
        <x:v>اسناد و شواهد</x:v>
      </x:c>
      <x:c r="C1656" s="53" t="str">
        <x:v>A161</x:v>
      </x:c>
      <x:c r="D1656" s="53" t="str">
        <x:v>E-0158</x:v>
      </x:c>
      <x:c r="E1656" s="53"/>
    </x:row>
    <x:row r="1657" ht="15" hidden="0" customHeight="1">
      <x:c r="A1657" s="53" t="str">
        <x:v>Anjoman accounting - refined.xlsx</x:v>
      </x:c>
      <x:c r="B1657" s="53" t="str">
        <x:v>اسناد و شواهد</x:v>
      </x:c>
      <x:c r="C1657" s="53" t="str">
        <x:v>B161</x:v>
      </x:c>
      <x:c r="D1657" s="53" t="str">
        <x:v>telegram export\photos\photo_4@25-07-2025_04-04-24.jpg</x:v>
      </x:c>
      <x:c r="E1657" s="53"/>
    </x:row>
    <x:row r="1658" ht="15" hidden="0" customHeight="1">
      <x:c r="A1658" s="53" t="str">
        <x:v>Anjoman accounting - refined.xlsx</x:v>
      </x:c>
      <x:c r="B1658" s="53" t="str">
        <x:v>اسناد و شواهد</x:v>
      </x:c>
      <x:c r="C1658" s="53" t="str">
        <x:v>C161</x:v>
      </x:c>
      <x:c r="D1658" s="53" t="str">
        <x:v>jpg</x:v>
      </x:c>
      <x:c r="E1658" s="53"/>
    </x:row>
    <x:row r="1659" ht="15" hidden="0" customHeight="1">
      <x:c r="A1659" s="53" t="str">
        <x:v>Anjoman accounting - refined.xlsx</x:v>
      </x:c>
      <x:c r="B1659" s="53" t="str">
        <x:v>اسناد و شواهد</x:v>
      </x:c>
      <x:c r="C1659" s="53" t="str">
        <x:v>D161</x:v>
      </x:c>
      <x:c r="D1659" s="53" t="str">
        <x:v>74199</x:v>
      </x:c>
      <x:c r="E1659" s="53"/>
    </x:row>
    <x:row r="1660" ht="15" hidden="0" customHeight="1">
      <x:c r="A1660" s="53" t="str">
        <x:v>Anjoman accounting - refined.xlsx</x:v>
      </x:c>
      <x:c r="B1660" s="53" t="str">
        <x:v>اسناد و شواهد</x:v>
      </x:c>
      <x:c r="C1660" s="53" t="str">
        <x:v>E161</x:v>
      </x:c>
      <x:c r="D1660" s="53" t="str">
        <x:v>5034c1ebaa4bd3c07a59eaf0de3840e0ed1486387ba2b1e9c2832c748b3979a7</x:v>
      </x:c>
      <x:c r="E1660" s="53"/>
    </x:row>
    <x:row r="1661" ht="15" hidden="0" customHeight="1">
      <x:c r="A1661" s="53" t="str">
        <x:v>Anjoman accounting - refined.xlsx</x:v>
      </x:c>
      <x:c r="B1661" s="53" t="str">
        <x:v>اسناد و شواهد</x:v>
      </x:c>
      <x:c r="C1661" s="53" t="str">
        <x:v>A162</x:v>
      </x:c>
      <x:c r="D1661" s="53" t="str">
        <x:v>E-0159</x:v>
      </x:c>
      <x:c r="E1661" s="53"/>
    </x:row>
    <x:row r="1662" ht="15" hidden="0" customHeight="1">
      <x:c r="A1662" s="53" t="str">
        <x:v>Anjoman accounting - refined.xlsx</x:v>
      </x:c>
      <x:c r="B1662" s="53" t="str">
        <x:v>اسناد و شواهد</x:v>
      </x:c>
      <x:c r="C1662" s="53" t="str">
        <x:v>B162</x:v>
      </x:c>
      <x:c r="D1662" s="53" t="str">
        <x:v>telegram export\photos\photo_4@25-07-2025_04-04-24_thumb.jpg</x:v>
      </x:c>
      <x:c r="E1662" s="53"/>
    </x:row>
    <x:row r="1663" ht="15" hidden="0" customHeight="1">
      <x:c r="A1663" s="53" t="str">
        <x:v>Anjoman accounting - refined.xlsx</x:v>
      </x:c>
      <x:c r="B1663" s="53" t="str">
        <x:v>اسناد و شواهد</x:v>
      </x:c>
      <x:c r="C1663" s="53" t="str">
        <x:v>C162</x:v>
      </x:c>
      <x:c r="D1663" s="53" t="str">
        <x:v>jpg</x:v>
      </x:c>
      <x:c r="E1663" s="53"/>
    </x:row>
    <x:row r="1664" ht="15" hidden="0" customHeight="1">
      <x:c r="A1664" s="53" t="str">
        <x:v>Anjoman accounting - refined.xlsx</x:v>
      </x:c>
      <x:c r="B1664" s="53" t="str">
        <x:v>اسناد و شواهد</x:v>
      </x:c>
      <x:c r="C1664" s="53" t="str">
        <x:v>D162</x:v>
      </x:c>
      <x:c r="D1664" s="53" t="str">
        <x:v>19318</x:v>
      </x:c>
      <x:c r="E1664" s="53"/>
    </x:row>
    <x:row r="1665" ht="15" hidden="0" customHeight="1">
      <x:c r="A1665" s="53" t="str">
        <x:v>Anjoman accounting - refined.xlsx</x:v>
      </x:c>
      <x:c r="B1665" s="53" t="str">
        <x:v>اسناد و شواهد</x:v>
      </x:c>
      <x:c r="C1665" s="53" t="str">
        <x:v>E162</x:v>
      </x:c>
      <x:c r="D1665" s="53" t="str">
        <x:v>f03a08592292f2fc18197c3c438f580cf024dee8350589d169cf4a5c90361459</x:v>
      </x:c>
      <x:c r="E1665" s="53"/>
    </x:row>
    <x:row r="1666" ht="15" hidden="0" customHeight="1">
      <x:c r="A1666" s="53" t="str">
        <x:v>Anjoman accounting - refined.xlsx</x:v>
      </x:c>
      <x:c r="B1666" s="53" t="str">
        <x:v>اسناد و شواهد</x:v>
      </x:c>
      <x:c r="C1666" s="53" t="str">
        <x:v>A163</x:v>
      </x:c>
      <x:c r="D1666" s="53" t="str">
        <x:v>E-0160</x:v>
      </x:c>
      <x:c r="E1666" s="53"/>
    </x:row>
    <x:row r="1667" ht="15" hidden="0" customHeight="1">
      <x:c r="A1667" s="53" t="str">
        <x:v>Anjoman accounting - refined.xlsx</x:v>
      </x:c>
      <x:c r="B1667" s="53" t="str">
        <x:v>اسناد و شواهد</x:v>
      </x:c>
      <x:c r="C1667" s="53" t="str">
        <x:v>B163</x:v>
      </x:c>
      <x:c r="D1667" s="53" t="str">
        <x:v>telegram export\photos\photo_5@25-07-2025_04-08-41.jpg</x:v>
      </x:c>
      <x:c r="E1667" s="53"/>
    </x:row>
    <x:row r="1668" ht="15" hidden="0" customHeight="1">
      <x:c r="A1668" s="53" t="str">
        <x:v>Anjoman accounting - refined.xlsx</x:v>
      </x:c>
      <x:c r="B1668" s="53" t="str">
        <x:v>اسناد و شواهد</x:v>
      </x:c>
      <x:c r="C1668" s="53" t="str">
        <x:v>C163</x:v>
      </x:c>
      <x:c r="D1668" s="53" t="str">
        <x:v>jpg</x:v>
      </x:c>
      <x:c r="E1668" s="53"/>
    </x:row>
    <x:row r="1669" ht="15" hidden="0" customHeight="1">
      <x:c r="A1669" s="53" t="str">
        <x:v>Anjoman accounting - refined.xlsx</x:v>
      </x:c>
      <x:c r="B1669" s="53" t="str">
        <x:v>اسناد و شواهد</x:v>
      </x:c>
      <x:c r="C1669" s="53" t="str">
        <x:v>D163</x:v>
      </x:c>
      <x:c r="D1669" s="53" t="str">
        <x:v>74870</x:v>
      </x:c>
      <x:c r="E1669" s="53"/>
    </x:row>
    <x:row r="1670" ht="15" hidden="0" customHeight="1">
      <x:c r="A1670" s="53" t="str">
        <x:v>Anjoman accounting - refined.xlsx</x:v>
      </x:c>
      <x:c r="B1670" s="53" t="str">
        <x:v>اسناد و شواهد</x:v>
      </x:c>
      <x:c r="C1670" s="53" t="str">
        <x:v>E163</x:v>
      </x:c>
      <x:c r="D1670" s="53" t="str">
        <x:v>097c6be0efefe88b7e213d3f6aba5f4dc6a9e813bd3aed9162a991d6f68aeb4b</x:v>
      </x:c>
      <x:c r="E1670" s="53"/>
    </x:row>
    <x:row r="1671" ht="15" hidden="0" customHeight="1">
      <x:c r="A1671" s="53" t="str">
        <x:v>Anjoman accounting - refined.xlsx</x:v>
      </x:c>
      <x:c r="B1671" s="53" t="str">
        <x:v>اسناد و شواهد</x:v>
      </x:c>
      <x:c r="C1671" s="53" t="str">
        <x:v>A164</x:v>
      </x:c>
      <x:c r="D1671" s="53" t="str">
        <x:v>E-0161</x:v>
      </x:c>
      <x:c r="E1671" s="53"/>
    </x:row>
    <x:row r="1672" ht="15" hidden="0" customHeight="1">
      <x:c r="A1672" s="53" t="str">
        <x:v>Anjoman accounting - refined.xlsx</x:v>
      </x:c>
      <x:c r="B1672" s="53" t="str">
        <x:v>اسناد و شواهد</x:v>
      </x:c>
      <x:c r="C1672" s="53" t="str">
        <x:v>B164</x:v>
      </x:c>
      <x:c r="D1672" s="53" t="str">
        <x:v>telegram export\photos\photo_5@25-07-2025_04-08-41_thumb.jpg</x:v>
      </x:c>
      <x:c r="E1672" s="53"/>
    </x:row>
    <x:row r="1673" ht="15" hidden="0" customHeight="1">
      <x:c r="A1673" s="53" t="str">
        <x:v>Anjoman accounting - refined.xlsx</x:v>
      </x:c>
      <x:c r="B1673" s="53" t="str">
        <x:v>اسناد و شواهد</x:v>
      </x:c>
      <x:c r="C1673" s="53" t="str">
        <x:v>C164</x:v>
      </x:c>
      <x:c r="D1673" s="53" t="str">
        <x:v>jpg</x:v>
      </x:c>
      <x:c r="E1673" s="53"/>
    </x:row>
    <x:row r="1674" ht="15" hidden="0" customHeight="1">
      <x:c r="A1674" s="53" t="str">
        <x:v>Anjoman accounting - refined.xlsx</x:v>
      </x:c>
      <x:c r="B1674" s="53" t="str">
        <x:v>اسناد و شواهد</x:v>
      </x:c>
      <x:c r="C1674" s="53" t="str">
        <x:v>D164</x:v>
      </x:c>
      <x:c r="D1674" s="53" t="str">
        <x:v>19278</x:v>
      </x:c>
      <x:c r="E1674" s="53"/>
    </x:row>
    <x:row r="1675" ht="15" hidden="0" customHeight="1">
      <x:c r="A1675" s="53" t="str">
        <x:v>Anjoman accounting - refined.xlsx</x:v>
      </x:c>
      <x:c r="B1675" s="53" t="str">
        <x:v>اسناد و شواهد</x:v>
      </x:c>
      <x:c r="C1675" s="53" t="str">
        <x:v>E164</x:v>
      </x:c>
      <x:c r="D1675" s="53" t="str">
        <x:v>5e653d24385bd9edbb47c15db50821bd58697aa6e250a91803c71373f447cca2</x:v>
      </x:c>
      <x:c r="E1675" s="53"/>
    </x:row>
    <x:row r="1676" ht="15" hidden="0" customHeight="1">
      <x:c r="A1676" s="53" t="str">
        <x:v>Anjoman accounting - refined.xlsx</x:v>
      </x:c>
      <x:c r="B1676" s="53" t="str">
        <x:v>اسناد و شواهد</x:v>
      </x:c>
      <x:c r="C1676" s="53" t="str">
        <x:v>A165</x:v>
      </x:c>
      <x:c r="D1676" s="53" t="str">
        <x:v>E-0162</x:v>
      </x:c>
      <x:c r="E1676" s="53"/>
    </x:row>
    <x:row r="1677" ht="15" hidden="0" customHeight="1">
      <x:c r="A1677" s="53" t="str">
        <x:v>Anjoman accounting - refined.xlsx</x:v>
      </x:c>
      <x:c r="B1677" s="53" t="str">
        <x:v>اسناد و شواهد</x:v>
      </x:c>
      <x:c r="C1677" s="53" t="str">
        <x:v>B165</x:v>
      </x:c>
      <x:c r="D1677" s="53" t="str">
        <x:v>telegram export\photos\photo_6@25-07-2025_15-53-39.jpg</x:v>
      </x:c>
      <x:c r="E1677" s="53"/>
    </x:row>
    <x:row r="1678" ht="15" hidden="0" customHeight="1">
      <x:c r="A1678" s="53" t="str">
        <x:v>Anjoman accounting - refined.xlsx</x:v>
      </x:c>
      <x:c r="B1678" s="53" t="str">
        <x:v>اسناد و شواهد</x:v>
      </x:c>
      <x:c r="C1678" s="53" t="str">
        <x:v>C165</x:v>
      </x:c>
      <x:c r="D1678" s="53" t="str">
        <x:v>jpg</x:v>
      </x:c>
      <x:c r="E1678" s="53"/>
    </x:row>
    <x:row r="1679" ht="15" hidden="0" customHeight="1">
      <x:c r="A1679" s="53" t="str">
        <x:v>Anjoman accounting - refined.xlsx</x:v>
      </x:c>
      <x:c r="B1679" s="53" t="str">
        <x:v>اسناد و شواهد</x:v>
      </x:c>
      <x:c r="C1679" s="53" t="str">
        <x:v>D165</x:v>
      </x:c>
      <x:c r="D1679" s="53" t="str">
        <x:v>74748</x:v>
      </x:c>
      <x:c r="E1679" s="53"/>
    </x:row>
    <x:row r="1680" ht="15" hidden="0" customHeight="1">
      <x:c r="A1680" s="53" t="str">
        <x:v>Anjoman accounting - refined.xlsx</x:v>
      </x:c>
      <x:c r="B1680" s="53" t="str">
        <x:v>اسناد و شواهد</x:v>
      </x:c>
      <x:c r="C1680" s="53" t="str">
        <x:v>E165</x:v>
      </x:c>
      <x:c r="D1680" s="53" t="str">
        <x:v>26c18dafda65ecb48d670d908ff9a6c650df2905684e12dc23e64ef7a00a2547</x:v>
      </x:c>
      <x:c r="E1680" s="53"/>
    </x:row>
    <x:row r="1681" ht="15" hidden="0" customHeight="1">
      <x:c r="A1681" s="53" t="str">
        <x:v>Anjoman accounting - refined.xlsx</x:v>
      </x:c>
      <x:c r="B1681" s="53" t="str">
        <x:v>اسناد و شواهد</x:v>
      </x:c>
      <x:c r="C1681" s="53" t="str">
        <x:v>A166</x:v>
      </x:c>
      <x:c r="D1681" s="53" t="str">
        <x:v>E-0163</x:v>
      </x:c>
      <x:c r="E1681" s="53"/>
    </x:row>
    <x:row r="1682" ht="15" hidden="0" customHeight="1">
      <x:c r="A1682" s="53" t="str">
        <x:v>Anjoman accounting - refined.xlsx</x:v>
      </x:c>
      <x:c r="B1682" s="53" t="str">
        <x:v>اسناد و شواهد</x:v>
      </x:c>
      <x:c r="C1682" s="53" t="str">
        <x:v>B166</x:v>
      </x:c>
      <x:c r="D1682" s="53" t="str">
        <x:v>telegram export\photos\photo_6@25-07-2025_15-53-39_thumb.jpg</x:v>
      </x:c>
      <x:c r="E1682" s="53"/>
    </x:row>
    <x:row r="1683" ht="15" hidden="0" customHeight="1">
      <x:c r="A1683" s="53" t="str">
        <x:v>Anjoman accounting - refined.xlsx</x:v>
      </x:c>
      <x:c r="B1683" s="53" t="str">
        <x:v>اسناد و شواهد</x:v>
      </x:c>
      <x:c r="C1683" s="53" t="str">
        <x:v>C166</x:v>
      </x:c>
      <x:c r="D1683" s="53" t="str">
        <x:v>jpg</x:v>
      </x:c>
      <x:c r="E1683" s="53"/>
    </x:row>
    <x:row r="1684" ht="15" hidden="0" customHeight="1">
      <x:c r="A1684" s="53" t="str">
        <x:v>Anjoman accounting - refined.xlsx</x:v>
      </x:c>
      <x:c r="B1684" s="53" t="str">
        <x:v>اسناد و شواهد</x:v>
      </x:c>
      <x:c r="C1684" s="53" t="str">
        <x:v>D166</x:v>
      </x:c>
      <x:c r="D1684" s="53" t="str">
        <x:v>19480</x:v>
      </x:c>
      <x:c r="E1684" s="53"/>
    </x:row>
    <x:row r="1685" ht="15" hidden="0" customHeight="1">
      <x:c r="A1685" s="53" t="str">
        <x:v>Anjoman accounting - refined.xlsx</x:v>
      </x:c>
      <x:c r="B1685" s="53" t="str">
        <x:v>اسناد و شواهد</x:v>
      </x:c>
      <x:c r="C1685" s="53" t="str">
        <x:v>E166</x:v>
      </x:c>
      <x:c r="D1685" s="53" t="str">
        <x:v>100e3db11d7786876ae628e80e2fb5ddb7e0986e4336370623edc21199862537</x:v>
      </x:c>
      <x:c r="E1685" s="53"/>
    </x:row>
    <x:row r="1686" ht="15" hidden="0" customHeight="1">
      <x:c r="A1686" s="53" t="str">
        <x:v>Anjoman accounting - refined.xlsx</x:v>
      </x:c>
      <x:c r="B1686" s="53" t="str">
        <x:v>اسناد و شواهد</x:v>
      </x:c>
      <x:c r="C1686" s="53" t="str">
        <x:v>A167</x:v>
      </x:c>
      <x:c r="D1686" s="53" t="str">
        <x:v>E-0164</x:v>
      </x:c>
      <x:c r="E1686" s="53"/>
    </x:row>
    <x:row r="1687" ht="15" hidden="0" customHeight="1">
      <x:c r="A1687" s="53" t="str">
        <x:v>Anjoman accounting - refined.xlsx</x:v>
      </x:c>
      <x:c r="B1687" s="53" t="str">
        <x:v>اسناد و شواهد</x:v>
      </x:c>
      <x:c r="C1687" s="53" t="str">
        <x:v>B167</x:v>
      </x:c>
      <x:c r="D1687" s="53" t="str">
        <x:v>telegram export\photos\photo_7@11-08-2025_15-51-55.jpg</x:v>
      </x:c>
      <x:c r="E1687" s="53"/>
    </x:row>
    <x:row r="1688" ht="15" hidden="0" customHeight="1">
      <x:c r="A1688" s="53" t="str">
        <x:v>Anjoman accounting - refined.xlsx</x:v>
      </x:c>
      <x:c r="B1688" s="53" t="str">
        <x:v>اسناد و شواهد</x:v>
      </x:c>
      <x:c r="C1688" s="53" t="str">
        <x:v>C167</x:v>
      </x:c>
      <x:c r="D1688" s="53" t="str">
        <x:v>jpg</x:v>
      </x:c>
      <x:c r="E1688" s="53"/>
    </x:row>
    <x:row r="1689" ht="15" hidden="0" customHeight="1">
      <x:c r="A1689" s="53" t="str">
        <x:v>Anjoman accounting - refined.xlsx</x:v>
      </x:c>
      <x:c r="B1689" s="53" t="str">
        <x:v>اسناد و شواهد</x:v>
      </x:c>
      <x:c r="C1689" s="53" t="str">
        <x:v>D167</x:v>
      </x:c>
      <x:c r="D1689" s="53" t="str">
        <x:v>71573</x:v>
      </x:c>
      <x:c r="E1689" s="53"/>
    </x:row>
    <x:row r="1690" ht="15" hidden="0" customHeight="1">
      <x:c r="A1690" s="53" t="str">
        <x:v>Anjoman accounting - refined.xlsx</x:v>
      </x:c>
      <x:c r="B1690" s="53" t="str">
        <x:v>اسناد و شواهد</x:v>
      </x:c>
      <x:c r="C1690" s="53" t="str">
        <x:v>E167</x:v>
      </x:c>
      <x:c r="D1690" s="53" t="str">
        <x:v>7cea1f63bcc0623f6f084e71e2aeea383f1f5648bfcdf5e8b6785cc5a6ec980d</x:v>
      </x:c>
      <x:c r="E1690" s="53"/>
    </x:row>
    <x:row r="1691" ht="15" hidden="0" customHeight="1">
      <x:c r="A1691" s="53" t="str">
        <x:v>Anjoman accounting - refined.xlsx</x:v>
      </x:c>
      <x:c r="B1691" s="53" t="str">
        <x:v>اسناد و شواهد</x:v>
      </x:c>
      <x:c r="C1691" s="53" t="str">
        <x:v>A168</x:v>
      </x:c>
      <x:c r="D1691" s="53" t="str">
        <x:v>E-0165</x:v>
      </x:c>
      <x:c r="E1691" s="53"/>
    </x:row>
    <x:row r="1692" ht="15" hidden="0" customHeight="1">
      <x:c r="A1692" s="53" t="str">
        <x:v>Anjoman accounting - refined.xlsx</x:v>
      </x:c>
      <x:c r="B1692" s="53" t="str">
        <x:v>اسناد و شواهد</x:v>
      </x:c>
      <x:c r="C1692" s="53" t="str">
        <x:v>B168</x:v>
      </x:c>
      <x:c r="D1692" s="53" t="str">
        <x:v>telegram export\photos\photo_7@11-08-2025_15-51-55_thumb.jpg</x:v>
      </x:c>
      <x:c r="E1692" s="53"/>
    </x:row>
    <x:row r="1693" ht="15" hidden="0" customHeight="1">
      <x:c r="A1693" s="53" t="str">
        <x:v>Anjoman accounting - refined.xlsx</x:v>
      </x:c>
      <x:c r="B1693" s="53" t="str">
        <x:v>اسناد و شواهد</x:v>
      </x:c>
      <x:c r="C1693" s="53" t="str">
        <x:v>C168</x:v>
      </x:c>
      <x:c r="D1693" s="53" t="str">
        <x:v>jpg</x:v>
      </x:c>
      <x:c r="E1693" s="53"/>
    </x:row>
    <x:row r="1694" ht="15" hidden="0" customHeight="1">
      <x:c r="A1694" s="53" t="str">
        <x:v>Anjoman accounting - refined.xlsx</x:v>
      </x:c>
      <x:c r="B1694" s="53" t="str">
        <x:v>اسناد و شواهد</x:v>
      </x:c>
      <x:c r="C1694" s="53" t="str">
        <x:v>D168</x:v>
      </x:c>
      <x:c r="D1694" s="53" t="str">
        <x:v>19015</x:v>
      </x:c>
      <x:c r="E1694" s="53"/>
    </x:row>
    <x:row r="1695" ht="15" hidden="0" customHeight="1">
      <x:c r="A1695" s="53" t="str">
        <x:v>Anjoman accounting - refined.xlsx</x:v>
      </x:c>
      <x:c r="B1695" s="53" t="str">
        <x:v>اسناد و شواهد</x:v>
      </x:c>
      <x:c r="C1695" s="53" t="str">
        <x:v>E168</x:v>
      </x:c>
      <x:c r="D1695" s="53" t="str">
        <x:v>2fbcc98f948489160d0596359b251e10988b71fa0c13c20fc4a3969559d15c9f</x:v>
      </x:c>
      <x:c r="E1695" s="53"/>
    </x:row>
    <x:row r="1696" ht="15" hidden="0" customHeight="1">
      <x:c r="A1696" s="53" t="str">
        <x:v>Anjoman accounting - refined.xlsx</x:v>
      </x:c>
      <x:c r="B1696" s="53" t="str">
        <x:v>اسناد و شواهد</x:v>
      </x:c>
      <x:c r="C1696" s="53" t="str">
        <x:v>A169</x:v>
      </x:c>
      <x:c r="D1696" s="53" t="str">
        <x:v>E-0166</x:v>
      </x:c>
      <x:c r="E1696" s="53"/>
    </x:row>
    <x:row r="1697" ht="15" hidden="0" customHeight="1">
      <x:c r="A1697" s="53" t="str">
        <x:v>Anjoman accounting - refined.xlsx</x:v>
      </x:c>
      <x:c r="B1697" s="53" t="str">
        <x:v>اسناد و شواهد</x:v>
      </x:c>
      <x:c r="C1697" s="53" t="str">
        <x:v>B169</x:v>
      </x:c>
      <x:c r="D1697" s="53" t="str">
        <x:v>telegram export\photos\photo_8@12-08-2025_09-58-34.jpg</x:v>
      </x:c>
      <x:c r="E1697" s="53"/>
    </x:row>
    <x:row r="1698" ht="15" hidden="0" customHeight="1">
      <x:c r="A1698" s="53" t="str">
        <x:v>Anjoman accounting - refined.xlsx</x:v>
      </x:c>
      <x:c r="B1698" s="53" t="str">
        <x:v>اسناد و شواهد</x:v>
      </x:c>
      <x:c r="C1698" s="53" t="str">
        <x:v>C169</x:v>
      </x:c>
      <x:c r="D1698" s="53" t="str">
        <x:v>jpg</x:v>
      </x:c>
      <x:c r="E1698" s="53"/>
    </x:row>
    <x:row r="1699" ht="15" hidden="0" customHeight="1">
      <x:c r="A1699" s="53" t="str">
        <x:v>Anjoman accounting - refined.xlsx</x:v>
      </x:c>
      <x:c r="B1699" s="53" t="str">
        <x:v>اسناد و شواهد</x:v>
      </x:c>
      <x:c r="C1699" s="53" t="str">
        <x:v>D169</x:v>
      </x:c>
      <x:c r="D1699" s="53" t="str">
        <x:v>74246</x:v>
      </x:c>
      <x:c r="E1699" s="53"/>
    </x:row>
    <x:row r="1700" ht="15" hidden="0" customHeight="1">
      <x:c r="A1700" s="53" t="str">
        <x:v>Anjoman accounting - refined.xlsx</x:v>
      </x:c>
      <x:c r="B1700" s="53" t="str">
        <x:v>اسناد و شواهد</x:v>
      </x:c>
      <x:c r="C1700" s="53" t="str">
        <x:v>E169</x:v>
      </x:c>
      <x:c r="D1700" s="53" t="str">
        <x:v>644eada63dc0f6deb5768ffcb5bf455d0cda0ea15dd20247a08aedaf6a6c2863</x:v>
      </x:c>
      <x:c r="E1700" s="53"/>
    </x:row>
    <x:row r="1701" ht="15" hidden="0" customHeight="1">
      <x:c r="A1701" s="53" t="str">
        <x:v>Anjoman accounting - refined.xlsx</x:v>
      </x:c>
      <x:c r="B1701" s="53" t="str">
        <x:v>اسناد و شواهد</x:v>
      </x:c>
      <x:c r="C1701" s="53" t="str">
        <x:v>A170</x:v>
      </x:c>
      <x:c r="D1701" s="53" t="str">
        <x:v>E-0167</x:v>
      </x:c>
      <x:c r="E1701" s="53"/>
    </x:row>
    <x:row r="1702" ht="15" hidden="0" customHeight="1">
      <x:c r="A1702" s="53" t="str">
        <x:v>Anjoman accounting - refined.xlsx</x:v>
      </x:c>
      <x:c r="B1702" s="53" t="str">
        <x:v>اسناد و شواهد</x:v>
      </x:c>
      <x:c r="C1702" s="53" t="str">
        <x:v>B170</x:v>
      </x:c>
      <x:c r="D1702" s="53" t="str">
        <x:v>telegram export\photos\photo_8@12-08-2025_09-58-34_thumb.jpg</x:v>
      </x:c>
      <x:c r="E1702" s="53"/>
    </x:row>
    <x:row r="1703" ht="15" hidden="0" customHeight="1">
      <x:c r="A1703" s="53" t="str">
        <x:v>Anjoman accounting - refined.xlsx</x:v>
      </x:c>
      <x:c r="B1703" s="53" t="str">
        <x:v>اسناد و شواهد</x:v>
      </x:c>
      <x:c r="C1703" s="53" t="str">
        <x:v>C170</x:v>
      </x:c>
      <x:c r="D1703" s="53" t="str">
        <x:v>jpg</x:v>
      </x:c>
      <x:c r="E1703" s="53"/>
    </x:row>
    <x:row r="1704" ht="15" hidden="0" customHeight="1">
      <x:c r="A1704" s="53" t="str">
        <x:v>Anjoman accounting - refined.xlsx</x:v>
      </x:c>
      <x:c r="B1704" s="53" t="str">
        <x:v>اسناد و شواهد</x:v>
      </x:c>
      <x:c r="C1704" s="53" t="str">
        <x:v>D170</x:v>
      </x:c>
      <x:c r="D1704" s="53" t="str">
        <x:v>19315</x:v>
      </x:c>
      <x:c r="E1704" s="53"/>
    </x:row>
    <x:row r="1705" ht="15" hidden="0" customHeight="1">
      <x:c r="A1705" s="53" t="str">
        <x:v>Anjoman accounting - refined.xlsx</x:v>
      </x:c>
      <x:c r="B1705" s="53" t="str">
        <x:v>اسناد و شواهد</x:v>
      </x:c>
      <x:c r="C1705" s="53" t="str">
        <x:v>E170</x:v>
      </x:c>
      <x:c r="D1705" s="53" t="str">
        <x:v>dd98cf87499f0b7b62ab6d318825970115fe092461464a390ae20edceb4d0d13</x:v>
      </x:c>
      <x:c r="E1705" s="53"/>
    </x:row>
    <x:row r="1706" ht="15" hidden="0" customHeight="1">
      <x:c r="A1706" s="53" t="str">
        <x:v>Anjoman accounting - refined.xlsx</x:v>
      </x:c>
      <x:c r="B1706" s="53" t="str">
        <x:v>اسناد و شواهد</x:v>
      </x:c>
      <x:c r="C1706" s="53" t="str">
        <x:v>A171</x:v>
      </x:c>
      <x:c r="D1706" s="53" t="str">
        <x:v>E-0168</x:v>
      </x:c>
      <x:c r="E1706" s="53"/>
    </x:row>
    <x:row r="1707" ht="15" hidden="0" customHeight="1">
      <x:c r="A1707" s="53" t="str">
        <x:v>Anjoman accounting - refined.xlsx</x:v>
      </x:c>
      <x:c r="B1707" s="53" t="str">
        <x:v>اسناد و شواهد</x:v>
      </x:c>
      <x:c r="C1707" s="53" t="str">
        <x:v>B171</x:v>
      </x:c>
      <x:c r="D1707" s="53" t="str">
        <x:v>telegram export\photos\photo_9@12-08-2025_09-58-34.jpg</x:v>
      </x:c>
      <x:c r="E1707" s="53"/>
    </x:row>
    <x:row r="1708" ht="15" hidden="0" customHeight="1">
      <x:c r="A1708" s="53" t="str">
        <x:v>Anjoman accounting - refined.xlsx</x:v>
      </x:c>
      <x:c r="B1708" s="53" t="str">
        <x:v>اسناد و شواهد</x:v>
      </x:c>
      <x:c r="C1708" s="53" t="str">
        <x:v>C171</x:v>
      </x:c>
      <x:c r="D1708" s="53" t="str">
        <x:v>jpg</x:v>
      </x:c>
      <x:c r="E1708" s="53"/>
    </x:row>
    <x:row r="1709" ht="15" hidden="0" customHeight="1">
      <x:c r="A1709" s="53" t="str">
        <x:v>Anjoman accounting - refined.xlsx</x:v>
      </x:c>
      <x:c r="B1709" s="53" t="str">
        <x:v>اسناد و شواهد</x:v>
      </x:c>
      <x:c r="C1709" s="53" t="str">
        <x:v>D171</x:v>
      </x:c>
      <x:c r="D1709" s="53" t="str">
        <x:v>254809</x:v>
      </x:c>
      <x:c r="E1709" s="53"/>
    </x:row>
    <x:row r="1710" ht="15" hidden="0" customHeight="1">
      <x:c r="A1710" s="53" t="str">
        <x:v>Anjoman accounting - refined.xlsx</x:v>
      </x:c>
      <x:c r="B1710" s="53" t="str">
        <x:v>اسناد و شواهد</x:v>
      </x:c>
      <x:c r="C1710" s="53" t="str">
        <x:v>E171</x:v>
      </x:c>
      <x:c r="D1710" s="53" t="str">
        <x:v>5c47322f7a512fb80b48f0044a38ac5a9222176efd200637dbdac21211145ca5</x:v>
      </x:c>
      <x:c r="E1710" s="53"/>
    </x:row>
    <x:row r="1711" ht="15" hidden="0" customHeight="1">
      <x:c r="A1711" s="53" t="str">
        <x:v>Anjoman accounting - refined.xlsx</x:v>
      </x:c>
      <x:c r="B1711" s="53" t="str">
        <x:v>اسناد و شواهد</x:v>
      </x:c>
      <x:c r="C1711" s="53" t="str">
        <x:v>A172</x:v>
      </x:c>
      <x:c r="D1711" s="53" t="str">
        <x:v>E-0169</x:v>
      </x:c>
      <x:c r="E1711" s="53"/>
    </x:row>
    <x:row r="1712" ht="15" hidden="0" customHeight="1">
      <x:c r="A1712" s="53" t="str">
        <x:v>Anjoman accounting - refined.xlsx</x:v>
      </x:c>
      <x:c r="B1712" s="53" t="str">
        <x:v>اسناد و شواهد</x:v>
      </x:c>
      <x:c r="C1712" s="53" t="str">
        <x:v>B172</x:v>
      </x:c>
      <x:c r="D1712" s="53" t="str">
        <x:v>telegram export\photos\photo_9@12-08-2025_09-58-34_thumb.jpg</x:v>
      </x:c>
      <x:c r="E1712" s="53"/>
    </x:row>
    <x:row r="1713" ht="15" hidden="0" customHeight="1">
      <x:c r="A1713" s="53" t="str">
        <x:v>Anjoman accounting - refined.xlsx</x:v>
      </x:c>
      <x:c r="B1713" s="53" t="str">
        <x:v>اسناد و شواهد</x:v>
      </x:c>
      <x:c r="C1713" s="53" t="str">
        <x:v>C172</x:v>
      </x:c>
      <x:c r="D1713" s="53" t="str">
        <x:v>jpg</x:v>
      </x:c>
      <x:c r="E1713" s="53"/>
    </x:row>
    <x:row r="1714" ht="15" hidden="0" customHeight="1">
      <x:c r="A1714" s="53" t="str">
        <x:v>Anjoman accounting - refined.xlsx</x:v>
      </x:c>
      <x:c r="B1714" s="53" t="str">
        <x:v>اسناد و شواهد</x:v>
      </x:c>
      <x:c r="C1714" s="53" t="str">
        <x:v>D172</x:v>
      </x:c>
      <x:c r="D1714" s="53" t="str">
        <x:v>13467</x:v>
      </x:c>
      <x:c r="E1714" s="53"/>
    </x:row>
    <x:row r="1715" ht="15" hidden="0" customHeight="1">
      <x:c r="A1715" s="53" t="str">
        <x:v>Anjoman accounting - refined.xlsx</x:v>
      </x:c>
      <x:c r="B1715" s="53" t="str">
        <x:v>اسناد و شواهد</x:v>
      </x:c>
      <x:c r="C1715" s="53" t="str">
        <x:v>E172</x:v>
      </x:c>
      <x:c r="D1715" s="53" t="str">
        <x:v>4dc62e7e22fa80a04cabd493748d0fc35496fbfd0af31082e80682e9d85dc277</x:v>
      </x:c>
      <x:c r="E1715" s="53"/>
    </x:row>
    <x:row r="1716" ht="15" hidden="0" customHeight="1">
      <x:c r="A1716" s="53" t="str">
        <x:v>Anjoman accounting - refined.xlsx</x:v>
      </x:c>
      <x:c r="B1716" s="53" t="str">
        <x:v>صف بررسی رسیدها</x:v>
      </x:c>
      <x:c r="C1716" s="53" t="str">
        <x:v>A1</x:v>
      </x:c>
      <x:c r="D1716" s="53" t="str">
        <x:v>صف بررسی دستی رسیدها</x:v>
      </x:c>
      <x:c r="E1716" s="53"/>
    </x:row>
    <x:row r="1717" ht="15" hidden="0" customHeight="1">
      <x:c r="A1717" s="53" t="str">
        <x:v>Anjoman accounting - refined.xlsx</x:v>
      </x:c>
      <x:c r="B1717" s="53" t="str">
        <x:v>صف بررسی رسیدها</x:v>
      </x:c>
      <x:c r="C1717" s="53" t="str">
        <x:v>A2</x:v>
      </x:c>
      <x:c r="D1717" s="53" t="str">
        <x:v>نسخه refined | واحد گزارش: تومان | مبالغ نامطمئن در صف بررسی از جمع تاییدشده حذف می‌شوند.</x:v>
      </x:c>
      <x:c r="E1717" s="53"/>
    </x:row>
    <x:row r="1718" ht="15" hidden="0" customHeight="1">
      <x:c r="A1718" s="53" t="str">
        <x:v>Anjoman accounting - refined.xlsx</x:v>
      </x:c>
      <x:c r="B1718" s="53" t="str">
        <x:v>صف بررسی رسیدها</x:v>
      </x:c>
      <x:c r="C1718" s="53" t="str">
        <x:v>A3</x:v>
      </x:c>
      <x:c r="D1718" s="53" t="str">
        <x:v>شناسه بررسی</x:v>
      </x:c>
      <x:c r="E1718" s="53"/>
    </x:row>
    <x:row r="1719" ht="15" hidden="0" customHeight="1">
      <x:c r="A1719" s="53" t="str">
        <x:v>Anjoman accounting - refined.xlsx</x:v>
      </x:c>
      <x:c r="B1719" s="53" t="str">
        <x:v>صف بررسی رسیدها</x:v>
      </x:c>
      <x:c r="C1719" s="53" t="str">
        <x:v>B3</x:v>
      </x:c>
      <x:c r="D1719" s="53" t="str">
        <x:v>فایل رسید</x:v>
      </x:c>
      <x:c r="E1719" s="53"/>
    </x:row>
    <x:row r="1720" ht="15" hidden="0" customHeight="1">
      <x:c r="A1720" s="53" t="str">
        <x:v>Anjoman accounting - refined.xlsx</x:v>
      </x:c>
      <x:c r="B1720" s="53" t="str">
        <x:v>صف بررسی رسیدها</x:v>
      </x:c>
      <x:c r="C1720" s="53" t="str">
        <x:v>C3</x:v>
      </x:c>
      <x:c r="D1720" s="53" t="str">
        <x:v>حجم</x:v>
      </x:c>
      <x:c r="E1720" s="53"/>
    </x:row>
    <x:row r="1721" ht="15" hidden="0" customHeight="1">
      <x:c r="A1721" s="53" t="str">
        <x:v>Anjoman accounting - refined.xlsx</x:v>
      </x:c>
      <x:c r="B1721" s="53" t="str">
        <x:v>صف بررسی رسیدها</x:v>
      </x:c>
      <x:c r="C1721" s="53" t="str">
        <x:v>D3</x:v>
      </x:c>
      <x:c r="D1721" s="53" t="str">
        <x:v>SHA-256</x:v>
      </x:c>
      <x:c r="E1721" s="53"/>
    </x:row>
    <x:row r="1722" ht="15" hidden="0" customHeight="1">
      <x:c r="A1722" s="53" t="str">
        <x:v>Anjoman accounting - refined.xlsx</x:v>
      </x:c>
      <x:c r="B1722" s="53" t="str">
        <x:v>صف بررسی رسیدها</x:v>
      </x:c>
      <x:c r="C1722" s="53" t="str">
        <x:v>E3</x:v>
      </x:c>
      <x:c r="D1722" s="53" t="str">
        <x:v>ابعاد</x:v>
      </x:c>
      <x:c r="E1722" s="53"/>
    </x:row>
    <x:row r="1723" ht="15" hidden="0" customHeight="1">
      <x:c r="A1723" s="53" t="str">
        <x:v>Anjoman accounting - refined.xlsx</x:v>
      </x:c>
      <x:c r="B1723" s="53" t="str">
        <x:v>صف بررسی رسیدها</x:v>
      </x:c>
      <x:c r="C1723" s="53" t="str">
        <x:v>F3</x:v>
      </x:c>
      <x:c r="D1723" s="53" t="str">
        <x:v>وضعیت</x:v>
      </x:c>
      <x:c r="E1723" s="53"/>
    </x:row>
    <x:row r="1724" ht="15" hidden="0" customHeight="1">
      <x:c r="A1724" s="53" t="str">
        <x:v>Anjoman accounting - refined.xlsx</x:v>
      </x:c>
      <x:c r="B1724" s="53" t="str">
        <x:v>صف بررسی رسیدها</x:v>
      </x:c>
      <x:c r="C1724" s="53" t="str">
        <x:v>G3</x:v>
      </x:c>
      <x:c r="D1724" s="53" t="str">
        <x:v>مبلغ تومان</x:v>
      </x:c>
      <x:c r="E1724" s="53"/>
    </x:row>
    <x:row r="1725" ht="15" hidden="0" customHeight="1">
      <x:c r="A1725" s="53" t="str">
        <x:v>Anjoman accounting - refined.xlsx</x:v>
      </x:c>
      <x:c r="B1725" s="53" t="str">
        <x:v>صف بررسی رسیدها</x:v>
      </x:c>
      <x:c r="C1725" s="53" t="str">
        <x:v>H3</x:v>
      </x:c>
      <x:c r="D1725" s="53" t="str">
        <x:v>تاریخ</x:v>
      </x:c>
      <x:c r="E1725" s="53"/>
    </x:row>
    <x:row r="1726" ht="15" hidden="0" customHeight="1">
      <x:c r="A1726" s="53" t="str">
        <x:v>Anjoman accounting - refined.xlsx</x:v>
      </x:c>
      <x:c r="B1726" s="53" t="str">
        <x:v>صف بررسی رسیدها</x:v>
      </x:c>
      <x:c r="C1726" s="53" t="str">
        <x:v>I3</x:v>
      </x:c>
      <x:c r="D1726" s="53" t="str">
        <x:v>طرف حساب</x:v>
      </x:c>
      <x:c r="E1726" s="53"/>
    </x:row>
    <x:row r="1727" ht="15" hidden="0" customHeight="1">
      <x:c r="A1727" s="53" t="str">
        <x:v>Anjoman accounting - refined.xlsx</x:v>
      </x:c>
      <x:c r="B1727" s="53" t="str">
        <x:v>صف بررسی رسیدها</x:v>
      </x:c>
      <x:c r="C1727" s="53" t="str">
        <x:v>J3</x:v>
      </x:c>
      <x:c r="D1727" s="53" t="str">
        <x:v>شرح/دسته‌بندی</x:v>
      </x:c>
      <x:c r="E1727" s="53"/>
    </x:row>
    <x:row r="1728" ht="15" hidden="0" customHeight="1">
      <x:c r="A1728" s="53" t="str">
        <x:v>Anjoman accounting - refined.xlsx</x:v>
      </x:c>
      <x:c r="B1728" s="53" t="str">
        <x:v>صف بررسی رسیدها</x:v>
      </x:c>
      <x:c r="C1728" s="53" t="str">
        <x:v>K3</x:v>
      </x:c>
      <x:c r="D1728" s="53" t="str">
        <x:v>اقدام بعدی</x:v>
      </x:c>
      <x:c r="E1728" s="53"/>
    </x:row>
    <x:row r="1729" ht="15" hidden="0" customHeight="1">
      <x:c r="A1729" s="53" t="str">
        <x:v>Anjoman accounting - refined.xlsx</x:v>
      </x:c>
      <x:c r="B1729" s="53" t="str">
        <x:v>صف بررسی رسیدها</x:v>
      </x:c>
      <x:c r="C1729" s="53" t="str">
        <x:v>A4</x:v>
      </x:c>
      <x:c r="D1729" s="53" t="str">
        <x:v>RV-001</x:v>
      </x:c>
      <x:c r="E1729" s="53"/>
    </x:row>
    <x:row r="1730" ht="15" hidden="0" customHeight="1">
      <x:c r="A1730" s="53" t="str">
        <x:v>Anjoman accounting - refined.xlsx</x:v>
      </x:c>
      <x:c r="B1730" s="53" t="str">
        <x:v>صف بررسی رسیدها</x:v>
      </x:c>
      <x:c r="C1730" s="53" t="str">
        <x:v>B4</x:v>
      </x:c>
      <x:c r="D1730" s="53" t="str">
        <x:v>recipts\photo_10_2026-10-10_11-09-04.jpg</x:v>
      </x:c>
      <x:c r="E1730" s="53"/>
    </x:row>
    <x:row r="1731" ht="15" hidden="0" customHeight="1">
      <x:c r="A1731" s="53" t="str">
        <x:v>Anjoman accounting - refined.xlsx</x:v>
      </x:c>
      <x:c r="B1731" s="53" t="str">
        <x:v>صف بررسی رسیدها</x:v>
      </x:c>
      <x:c r="C1731" s="53" t="str">
        <x:v>C4</x:v>
      </x:c>
      <x:c r="D1731" s="53" t="str">
        <x:v>49752</x:v>
      </x:c>
      <x:c r="E1731" s="53"/>
    </x:row>
    <x:row r="1732" ht="15" hidden="0" customHeight="1">
      <x:c r="A1732" s="53" t="str">
        <x:v>Anjoman accounting - refined.xlsx</x:v>
      </x:c>
      <x:c r="B1732" s="53" t="str">
        <x:v>صف بررسی رسیدها</x:v>
      </x:c>
      <x:c r="C1732" s="53" t="str">
        <x:v>D4</x:v>
      </x:c>
      <x:c r="D1732" s="53" t="str">
        <x:v>b424f88e66186c7fdfcd19043e65ade1aef245c80f81328c53bd4c1354047ea3</x:v>
      </x:c>
      <x:c r="E1732" s="53"/>
    </x:row>
    <x:row r="1733" ht="15" hidden="0" customHeight="1">
      <x:c r="A1733" s="53" t="str">
        <x:v>Anjoman accounting - refined.xlsx</x:v>
      </x:c>
      <x:c r="B1733" s="53" t="str">
        <x:v>صف بررسی رسیدها</x:v>
      </x:c>
      <x:c r="C1733" s="53" t="str">
        <x:v>E4</x:v>
      </x:c>
      <x:c r="D1733" s="53" t="str">
        <x:v>1200x1224</x:v>
      </x:c>
      <x:c r="E1733" s="53"/>
    </x:row>
    <x:row r="1734" ht="15" hidden="0" customHeight="1">
      <x:c r="A1734" s="53" t="str">
        <x:v>Anjoman accounting - refined.xlsx</x:v>
      </x:c>
      <x:c r="B1734" s="53" t="str">
        <x:v>صف بررسی رسیدها</x:v>
      </x:c>
      <x:c r="C1734" s="53" t="str">
        <x:v>F4</x:v>
      </x:c>
      <x:c r="D1734" s="53" t="str">
        <x:v>نیازمند ورود دستی</x:v>
      </x:c>
      <x:c r="E1734" s="53"/>
    </x:row>
    <x:row r="1735" ht="15" hidden="0" customHeight="1">
      <x:c r="A1735" s="53" t="str">
        <x:v>Anjoman accounting - refined.xlsx</x:v>
      </x:c>
      <x:c r="B1735" s="53" t="str">
        <x:v>صف بررسی رسیدها</x:v>
      </x:c>
      <x:c r="C1735" s="53" t="str">
        <x:v>K4</x:v>
      </x:c>
      <x:c r="D1735" s="53" t="str">
        <x:v>ثبت مبلغ/تاریخ/طرف حساب و بررسی تکراری بودن</x:v>
      </x:c>
      <x:c r="E1735" s="53"/>
    </x:row>
    <x:row r="1736" ht="15" hidden="0" customHeight="1">
      <x:c r="A1736" s="53" t="str">
        <x:v>Anjoman accounting - refined.xlsx</x:v>
      </x:c>
      <x:c r="B1736" s="53" t="str">
        <x:v>صف بررسی رسیدها</x:v>
      </x:c>
      <x:c r="C1736" s="53" t="str">
        <x:v>A5</x:v>
      </x:c>
      <x:c r="D1736" s="53" t="str">
        <x:v>RV-002</x:v>
      </x:c>
      <x:c r="E1736" s="53"/>
    </x:row>
    <x:row r="1737" ht="15" hidden="0" customHeight="1">
      <x:c r="A1737" s="53" t="str">
        <x:v>Anjoman accounting - refined.xlsx</x:v>
      </x:c>
      <x:c r="B1737" s="53" t="str">
        <x:v>صف بررسی رسیدها</x:v>
      </x:c>
      <x:c r="C1737" s="53" t="str">
        <x:v>B5</x:v>
      </x:c>
      <x:c r="D1737" s="53" t="str">
        <x:v>recipts\photo_11_2026-10-10_11-09-04.jpg</x:v>
      </x:c>
      <x:c r="E1737" s="53"/>
    </x:row>
    <x:row r="1738" ht="15" hidden="0" customHeight="1">
      <x:c r="A1738" s="53" t="str">
        <x:v>Anjoman accounting - refined.xlsx</x:v>
      </x:c>
      <x:c r="B1738" s="53" t="str">
        <x:v>صف بررسی رسیدها</x:v>
      </x:c>
      <x:c r="C1738" s="53" t="str">
        <x:v>C5</x:v>
      </x:c>
      <x:c r="D1738" s="53" t="str">
        <x:v>31986</x:v>
      </x:c>
      <x:c r="E1738" s="53"/>
    </x:row>
    <x:row r="1739" ht="15" hidden="0" customHeight="1">
      <x:c r="A1739" s="53" t="str">
        <x:v>Anjoman accounting - refined.xlsx</x:v>
      </x:c>
      <x:c r="B1739" s="53" t="str">
        <x:v>صف بررسی رسیدها</x:v>
      </x:c>
      <x:c r="C1739" s="53" t="str">
        <x:v>D5</x:v>
      </x:c>
      <x:c r="D1739" s="53" t="str">
        <x:v>4b6a665eaaa0ff0a14e2f665cd7ef1480d78c90efa576fa0f1cf910698baacc6</x:v>
      </x:c>
      <x:c r="E1739" s="53"/>
    </x:row>
    <x:row r="1740" ht="15" hidden="0" customHeight="1">
      <x:c r="A1740" s="53" t="str">
        <x:v>Anjoman accounting - refined.xlsx</x:v>
      </x:c>
      <x:c r="B1740" s="53" t="str">
        <x:v>صف بررسی رسیدها</x:v>
      </x:c>
      <x:c r="C1740" s="53" t="str">
        <x:v>E5</x:v>
      </x:c>
      <x:c r="D1740" s="53" t="str">
        <x:v>768x1280</x:v>
      </x:c>
      <x:c r="E1740" s="53"/>
    </x:row>
    <x:row r="1741" ht="15" hidden="0" customHeight="1">
      <x:c r="A1741" s="53" t="str">
        <x:v>Anjoman accounting - refined.xlsx</x:v>
      </x:c>
      <x:c r="B1741" s="53" t="str">
        <x:v>صف بررسی رسیدها</x:v>
      </x:c>
      <x:c r="C1741" s="53" t="str">
        <x:v>F5</x:v>
      </x:c>
      <x:c r="D1741" s="53" t="str">
        <x:v>نیازمند ورود دستی</x:v>
      </x:c>
      <x:c r="E1741" s="53"/>
    </x:row>
    <x:row r="1742" ht="15" hidden="0" customHeight="1">
      <x:c r="A1742" s="53" t="str">
        <x:v>Anjoman accounting - refined.xlsx</x:v>
      </x:c>
      <x:c r="B1742" s="53" t="str">
        <x:v>صف بررسی رسیدها</x:v>
      </x:c>
      <x:c r="C1742" s="53" t="str">
        <x:v>K5</x:v>
      </x:c>
      <x:c r="D1742" s="53" t="str">
        <x:v>ثبت مبلغ/تاریخ/طرف حساب و بررسی تکراری بودن</x:v>
      </x:c>
      <x:c r="E1742" s="53"/>
    </x:row>
    <x:row r="1743" ht="15" hidden="0" customHeight="1">
      <x:c r="A1743" s="53" t="str">
        <x:v>Anjoman accounting - refined.xlsx</x:v>
      </x:c>
      <x:c r="B1743" s="53" t="str">
        <x:v>صف بررسی رسیدها</x:v>
      </x:c>
      <x:c r="C1743" s="53" t="str">
        <x:v>A6</x:v>
      </x:c>
      <x:c r="D1743" s="53" t="str">
        <x:v>RV-003</x:v>
      </x:c>
      <x:c r="E1743" s="53"/>
    </x:row>
    <x:row r="1744" ht="15" hidden="0" customHeight="1">
      <x:c r="A1744" s="53" t="str">
        <x:v>Anjoman accounting - refined.xlsx</x:v>
      </x:c>
      <x:c r="B1744" s="53" t="str">
        <x:v>صف بررسی رسیدها</x:v>
      </x:c>
      <x:c r="C1744" s="53" t="str">
        <x:v>B6</x:v>
      </x:c>
      <x:c r="D1744" s="53" t="str">
        <x:v>recipts\photo_12_2026-10-10_11-09-04.jpg</x:v>
      </x:c>
      <x:c r="E1744" s="53"/>
    </x:row>
    <x:row r="1745" ht="15" hidden="0" customHeight="1">
      <x:c r="A1745" s="53" t="str">
        <x:v>Anjoman accounting - refined.xlsx</x:v>
      </x:c>
      <x:c r="B1745" s="53" t="str">
        <x:v>صف بررسی رسیدها</x:v>
      </x:c>
      <x:c r="C1745" s="53" t="str">
        <x:v>C6</x:v>
      </x:c>
      <x:c r="D1745" s="53" t="str">
        <x:v>50026</x:v>
      </x:c>
      <x:c r="E1745" s="53"/>
    </x:row>
    <x:row r="1746" ht="15" hidden="0" customHeight="1">
      <x:c r="A1746" s="53" t="str">
        <x:v>Anjoman accounting - refined.xlsx</x:v>
      </x:c>
      <x:c r="B1746" s="53" t="str">
        <x:v>صف بررسی رسیدها</x:v>
      </x:c>
      <x:c r="C1746" s="53" t="str">
        <x:v>D6</x:v>
      </x:c>
      <x:c r="D1746" s="53" t="str">
        <x:v>77e952d643e05bc03bdd136daa677561a5610e8049fb8d8aedfc24280909d917</x:v>
      </x:c>
      <x:c r="E1746" s="53"/>
    </x:row>
    <x:row r="1747" ht="15" hidden="0" customHeight="1">
      <x:c r="A1747" s="53" t="str">
        <x:v>Anjoman accounting - refined.xlsx</x:v>
      </x:c>
      <x:c r="B1747" s="53" t="str">
        <x:v>صف بررسی رسیدها</x:v>
      </x:c>
      <x:c r="C1747" s="53" t="str">
        <x:v>E6</x:v>
      </x:c>
      <x:c r="D1747" s="53" t="str">
        <x:v>1200x1224</x:v>
      </x:c>
      <x:c r="E1747" s="53"/>
    </x:row>
    <x:row r="1748" ht="15" hidden="0" customHeight="1">
      <x:c r="A1748" s="53" t="str">
        <x:v>Anjoman accounting - refined.xlsx</x:v>
      </x:c>
      <x:c r="B1748" s="53" t="str">
        <x:v>صف بررسی رسیدها</x:v>
      </x:c>
      <x:c r="C1748" s="53" t="str">
        <x:v>F6</x:v>
      </x:c>
      <x:c r="D1748" s="53" t="str">
        <x:v>نیازمند ورود دستی</x:v>
      </x:c>
      <x:c r="E1748" s="53"/>
    </x:row>
    <x:row r="1749" ht="15" hidden="0" customHeight="1">
      <x:c r="A1749" s="53" t="str">
        <x:v>Anjoman accounting - refined.xlsx</x:v>
      </x:c>
      <x:c r="B1749" s="53" t="str">
        <x:v>صف بررسی رسیدها</x:v>
      </x:c>
      <x:c r="C1749" s="53" t="str">
        <x:v>K6</x:v>
      </x:c>
      <x:c r="D1749" s="53" t="str">
        <x:v>ثبت مبلغ/تاریخ/طرف حساب و بررسی تکراری بودن</x:v>
      </x:c>
      <x:c r="E1749" s="53"/>
    </x:row>
    <x:row r="1750" ht="15" hidden="0" customHeight="1">
      <x:c r="A1750" s="53" t="str">
        <x:v>Anjoman accounting - refined.xlsx</x:v>
      </x:c>
      <x:c r="B1750" s="53" t="str">
        <x:v>صف بررسی رسیدها</x:v>
      </x:c>
      <x:c r="C1750" s="53" t="str">
        <x:v>A7</x:v>
      </x:c>
      <x:c r="D1750" s="53" t="str">
        <x:v>RV-004</x:v>
      </x:c>
      <x:c r="E1750" s="53"/>
    </x:row>
    <x:row r="1751" ht="15" hidden="0" customHeight="1">
      <x:c r="A1751" s="53" t="str">
        <x:v>Anjoman accounting - refined.xlsx</x:v>
      </x:c>
      <x:c r="B1751" s="53" t="str">
        <x:v>صف بررسی رسیدها</x:v>
      </x:c>
      <x:c r="C1751" s="53" t="str">
        <x:v>B7</x:v>
      </x:c>
      <x:c r="D1751" s="53" t="str">
        <x:v>recipts\photo_1_2026-10-10_11-09-04.jpg</x:v>
      </x:c>
      <x:c r="E1751" s="53"/>
    </x:row>
    <x:row r="1752" ht="15" hidden="0" customHeight="1">
      <x:c r="A1752" s="53" t="str">
        <x:v>Anjoman accounting - refined.xlsx</x:v>
      </x:c>
      <x:c r="B1752" s="53" t="str">
        <x:v>صف بررسی رسیدها</x:v>
      </x:c>
      <x:c r="C1752" s="53" t="str">
        <x:v>C7</x:v>
      </x:c>
      <x:c r="D1752" s="53" t="str">
        <x:v>58923</x:v>
      </x:c>
      <x:c r="E1752" s="53"/>
    </x:row>
    <x:row r="1753" ht="15" hidden="0" customHeight="1">
      <x:c r="A1753" s="53" t="str">
        <x:v>Anjoman accounting - refined.xlsx</x:v>
      </x:c>
      <x:c r="B1753" s="53" t="str">
        <x:v>صف بررسی رسیدها</x:v>
      </x:c>
      <x:c r="C1753" s="53" t="str">
        <x:v>D7</x:v>
      </x:c>
      <x:c r="D1753" s="53" t="str">
        <x:v>9b398cb3fd79cacf08994828e10209d3739b9ec072ff9dbdb29e456ad1a29262</x:v>
      </x:c>
      <x:c r="E1753" s="53"/>
    </x:row>
    <x:row r="1754" ht="15" hidden="0" customHeight="1">
      <x:c r="A1754" s="53" t="str">
        <x:v>Anjoman accounting - refined.xlsx</x:v>
      </x:c>
      <x:c r="B1754" s="53" t="str">
        <x:v>صف بررسی رسیدها</x:v>
      </x:c>
      <x:c r="C1754" s="53" t="str">
        <x:v>E7</x:v>
      </x:c>
      <x:c r="D1754" s="53" t="str">
        <x:v>1200x1163</x:v>
      </x:c>
      <x:c r="E1754" s="53"/>
    </x:row>
    <x:row r="1755" ht="15" hidden="0" customHeight="1">
      <x:c r="A1755" s="53" t="str">
        <x:v>Anjoman accounting - refined.xlsx</x:v>
      </x:c>
      <x:c r="B1755" s="53" t="str">
        <x:v>صف بررسی رسیدها</x:v>
      </x:c>
      <x:c r="C1755" s="53" t="str">
        <x:v>F7</x:v>
      </x:c>
      <x:c r="D1755" s="53" t="str">
        <x:v>نیازمند ورود دستی</x:v>
      </x:c>
      <x:c r="E1755" s="53"/>
    </x:row>
    <x:row r="1756" ht="15" hidden="0" customHeight="1">
      <x:c r="A1756" s="53" t="str">
        <x:v>Anjoman accounting - refined.xlsx</x:v>
      </x:c>
      <x:c r="B1756" s="53" t="str">
        <x:v>صف بررسی رسیدها</x:v>
      </x:c>
      <x:c r="C1756" s="53" t="str">
        <x:v>K7</x:v>
      </x:c>
      <x:c r="D1756" s="53" t="str">
        <x:v>ثبت مبلغ/تاریخ/طرف حساب و بررسی تکراری بودن</x:v>
      </x:c>
      <x:c r="E1756" s="53"/>
    </x:row>
    <x:row r="1757" ht="15" hidden="0" customHeight="1">
      <x:c r="A1757" s="53" t="str">
        <x:v>Anjoman accounting - refined.xlsx</x:v>
      </x:c>
      <x:c r="B1757" s="53" t="str">
        <x:v>صف بررسی رسیدها</x:v>
      </x:c>
      <x:c r="C1757" s="53" t="str">
        <x:v>A8</x:v>
      </x:c>
      <x:c r="D1757" s="53" t="str">
        <x:v>RV-005</x:v>
      </x:c>
      <x:c r="E1757" s="53"/>
    </x:row>
    <x:row r="1758" ht="15" hidden="0" customHeight="1">
      <x:c r="A1758" s="53" t="str">
        <x:v>Anjoman accounting - refined.xlsx</x:v>
      </x:c>
      <x:c r="B1758" s="53" t="str">
        <x:v>صف بررسی رسیدها</x:v>
      </x:c>
      <x:c r="C1758" s="53" t="str">
        <x:v>B8</x:v>
      </x:c>
      <x:c r="D1758" s="53" t="str">
        <x:v>recipts\photo_1_2026-10-10_14-07-27.jpg</x:v>
      </x:c>
      <x:c r="E1758" s="53"/>
    </x:row>
    <x:row r="1759" ht="15" hidden="0" customHeight="1">
      <x:c r="A1759" s="53" t="str">
        <x:v>Anjoman accounting - refined.xlsx</x:v>
      </x:c>
      <x:c r="B1759" s="53" t="str">
        <x:v>صف بررسی رسیدها</x:v>
      </x:c>
      <x:c r="C1759" s="53" t="str">
        <x:v>C8</x:v>
      </x:c>
      <x:c r="D1759" s="53" t="str">
        <x:v>44693</x:v>
      </x:c>
      <x:c r="E1759" s="53"/>
    </x:row>
    <x:row r="1760" ht="15" hidden="0" customHeight="1">
      <x:c r="A1760" s="53" t="str">
        <x:v>Anjoman accounting - refined.xlsx</x:v>
      </x:c>
      <x:c r="B1760" s="53" t="str">
        <x:v>صف بررسی رسیدها</x:v>
      </x:c>
      <x:c r="C1760" s="53" t="str">
        <x:v>D8</x:v>
      </x:c>
      <x:c r="D1760" s="53" t="str">
        <x:v>a50d13d6abcf5b4aacd05fa7fa773b5c01a6d2739577691d719c1bf334433b52</x:v>
      </x:c>
      <x:c r="E1760" s="53"/>
    </x:row>
    <x:row r="1761" ht="15" hidden="0" customHeight="1">
      <x:c r="A1761" s="53" t="str">
        <x:v>Anjoman accounting - refined.xlsx</x:v>
      </x:c>
      <x:c r="B1761" s="53" t="str">
        <x:v>صف بررسی رسیدها</x:v>
      </x:c>
      <x:c r="C1761" s="53" t="str">
        <x:v>E8</x:v>
      </x:c>
      <x:c r="D1761" s="53" t="str">
        <x:v>1280x714</x:v>
      </x:c>
      <x:c r="E1761" s="53"/>
    </x:row>
    <x:row r="1762" ht="15" hidden="0" customHeight="1">
      <x:c r="A1762" s="53" t="str">
        <x:v>Anjoman accounting - refined.xlsx</x:v>
      </x:c>
      <x:c r="B1762" s="53" t="str">
        <x:v>صف بررسی رسیدها</x:v>
      </x:c>
      <x:c r="C1762" s="53" t="str">
        <x:v>F8</x:v>
      </x:c>
      <x:c r="D1762" s="53" t="str">
        <x:v>نیازمند ورود دستی</x:v>
      </x:c>
      <x:c r="E1762" s="53"/>
    </x:row>
    <x:row r="1763" ht="15" hidden="0" customHeight="1">
      <x:c r="A1763" s="53" t="str">
        <x:v>Anjoman accounting - refined.xlsx</x:v>
      </x:c>
      <x:c r="B1763" s="53" t="str">
        <x:v>صف بررسی رسیدها</x:v>
      </x:c>
      <x:c r="C1763" s="53" t="str">
        <x:v>K8</x:v>
      </x:c>
      <x:c r="D1763" s="53" t="str">
        <x:v>ثبت مبلغ/تاریخ/طرف حساب و بررسی تکراری بودن</x:v>
      </x:c>
      <x:c r="E1763" s="53"/>
    </x:row>
    <x:row r="1764" ht="15" hidden="0" customHeight="1">
      <x:c r="A1764" s="53" t="str">
        <x:v>Anjoman accounting - refined.xlsx</x:v>
      </x:c>
      <x:c r="B1764" s="53" t="str">
        <x:v>صف بررسی رسیدها</x:v>
      </x:c>
      <x:c r="C1764" s="53" t="str">
        <x:v>A9</x:v>
      </x:c>
      <x:c r="D1764" s="53" t="str">
        <x:v>RV-006</x:v>
      </x:c>
      <x:c r="E1764" s="53"/>
    </x:row>
    <x:row r="1765" ht="15" hidden="0" customHeight="1">
      <x:c r="A1765" s="53" t="str">
        <x:v>Anjoman accounting - refined.xlsx</x:v>
      </x:c>
      <x:c r="B1765" s="53" t="str">
        <x:v>صف بررسی رسیدها</x:v>
      </x:c>
      <x:c r="C1765" s="53" t="str">
        <x:v>B9</x:v>
      </x:c>
      <x:c r="D1765" s="53" t="str">
        <x:v>recipts\photo_2026-10-10_12-16-28.jpg</x:v>
      </x:c>
      <x:c r="E1765" s="53"/>
    </x:row>
    <x:row r="1766" ht="15" hidden="0" customHeight="1">
      <x:c r="A1766" s="53" t="str">
        <x:v>Anjoman accounting - refined.xlsx</x:v>
      </x:c>
      <x:c r="B1766" s="53" t="str">
        <x:v>صف بررسی رسیدها</x:v>
      </x:c>
      <x:c r="C1766" s="53" t="str">
        <x:v>C9</x:v>
      </x:c>
      <x:c r="D1766" s="53" t="str">
        <x:v>160143</x:v>
      </x:c>
      <x:c r="E1766" s="53"/>
    </x:row>
    <x:row r="1767" ht="15" hidden="0" customHeight="1">
      <x:c r="A1767" s="53" t="str">
        <x:v>Anjoman accounting - refined.xlsx</x:v>
      </x:c>
      <x:c r="B1767" s="53" t="str">
        <x:v>صف بررسی رسیدها</x:v>
      </x:c>
      <x:c r="C1767" s="53" t="str">
        <x:v>D9</x:v>
      </x:c>
      <x:c r="D1767" s="53" t="str">
        <x:v>99a77eab001c2f3c72a639a7ec75b0a97bb90c5e5e244a8cf575d61107bedcc9</x:v>
      </x:c>
      <x:c r="E1767" s="53"/>
    </x:row>
    <x:row r="1768" ht="15" hidden="0" customHeight="1">
      <x:c r="A1768" s="53" t="str">
        <x:v>Anjoman accounting - refined.xlsx</x:v>
      </x:c>
      <x:c r="B1768" s="53" t="str">
        <x:v>صف بررسی رسیدها</x:v>
      </x:c>
      <x:c r="C1768" s="53" t="str">
        <x:v>E9</x:v>
      </x:c>
      <x:c r="D1768" s="53" t="str">
        <x:v>578x1280</x:v>
      </x:c>
      <x:c r="E1768" s="53"/>
    </x:row>
    <x:row r="1769" ht="15" hidden="0" customHeight="1">
      <x:c r="A1769" s="53" t="str">
        <x:v>Anjoman accounting - refined.xlsx</x:v>
      </x:c>
      <x:c r="B1769" s="53" t="str">
        <x:v>صف بررسی رسیدها</x:v>
      </x:c>
      <x:c r="C1769" s="53" t="str">
        <x:v>F9</x:v>
      </x:c>
      <x:c r="D1769" s="53" t="str">
        <x:v>نیازمند ورود دستی</x:v>
      </x:c>
      <x:c r="E1769" s="53"/>
    </x:row>
    <x:row r="1770" ht="15" hidden="0" customHeight="1">
      <x:c r="A1770" s="53" t="str">
        <x:v>Anjoman accounting - refined.xlsx</x:v>
      </x:c>
      <x:c r="B1770" s="53" t="str">
        <x:v>صف بررسی رسیدها</x:v>
      </x:c>
      <x:c r="C1770" s="53" t="str">
        <x:v>K9</x:v>
      </x:c>
      <x:c r="D1770" s="53" t="str">
        <x:v>ثبت مبلغ/تاریخ/طرف حساب و بررسی تکراری بودن</x:v>
      </x:c>
      <x:c r="E1770" s="53"/>
    </x:row>
    <x:row r="1771" ht="15" hidden="0" customHeight="1">
      <x:c r="A1771" s="53" t="str">
        <x:v>Anjoman accounting - refined.xlsx</x:v>
      </x:c>
      <x:c r="B1771" s="53" t="str">
        <x:v>صف بررسی رسیدها</x:v>
      </x:c>
      <x:c r="C1771" s="53" t="str">
        <x:v>A10</x:v>
      </x:c>
      <x:c r="D1771" s="53" t="str">
        <x:v>RV-007</x:v>
      </x:c>
      <x:c r="E1771" s="53"/>
    </x:row>
    <x:row r="1772" ht="15" hidden="0" customHeight="1">
      <x:c r="A1772" s="53" t="str">
        <x:v>Anjoman accounting - refined.xlsx</x:v>
      </x:c>
      <x:c r="B1772" s="53" t="str">
        <x:v>صف بررسی رسیدها</x:v>
      </x:c>
      <x:c r="C1772" s="53" t="str">
        <x:v>B10</x:v>
      </x:c>
      <x:c r="D1772" s="53" t="str">
        <x:v>recipts\photo_2_2026-10-10_11-09-04.jpg</x:v>
      </x:c>
      <x:c r="E1772" s="53"/>
    </x:row>
    <x:row r="1773" ht="15" hidden="0" customHeight="1">
      <x:c r="A1773" s="53" t="str">
        <x:v>Anjoman accounting - refined.xlsx</x:v>
      </x:c>
      <x:c r="B1773" s="53" t="str">
        <x:v>صف بررسی رسیدها</x:v>
      </x:c>
      <x:c r="C1773" s="53" t="str">
        <x:v>C10</x:v>
      </x:c>
      <x:c r="D1773" s="53" t="str">
        <x:v>57944</x:v>
      </x:c>
      <x:c r="E1773" s="53"/>
    </x:row>
    <x:row r="1774" ht="15" hidden="0" customHeight="1">
      <x:c r="A1774" s="53" t="str">
        <x:v>Anjoman accounting - refined.xlsx</x:v>
      </x:c>
      <x:c r="B1774" s="53" t="str">
        <x:v>صف بررسی رسیدها</x:v>
      </x:c>
      <x:c r="C1774" s="53" t="str">
        <x:v>D10</x:v>
      </x:c>
      <x:c r="D1774" s="53" t="str">
        <x:v>5b8abe4d9a9d270a1a5cb0583fbb4ff555d551b16023d63343affe459769150f</x:v>
      </x:c>
      <x:c r="E1774" s="53"/>
    </x:row>
    <x:row r="1775" ht="15" hidden="0" customHeight="1">
      <x:c r="A1775" s="53" t="str">
        <x:v>Anjoman accounting - refined.xlsx</x:v>
      </x:c>
      <x:c r="B1775" s="53" t="str">
        <x:v>صف بررسی رسیدها</x:v>
      </x:c>
      <x:c r="C1775" s="53" t="str">
        <x:v>E10</x:v>
      </x:c>
      <x:c r="D1775" s="53" t="str">
        <x:v>1200x1163</x:v>
      </x:c>
      <x:c r="E1775" s="53"/>
    </x:row>
    <x:row r="1776" ht="15" hidden="0" customHeight="1">
      <x:c r="A1776" s="53" t="str">
        <x:v>Anjoman accounting - refined.xlsx</x:v>
      </x:c>
      <x:c r="B1776" s="53" t="str">
        <x:v>صف بررسی رسیدها</x:v>
      </x:c>
      <x:c r="C1776" s="53" t="str">
        <x:v>F10</x:v>
      </x:c>
      <x:c r="D1776" s="53" t="str">
        <x:v>نیازمند ورود دستی</x:v>
      </x:c>
      <x:c r="E1776" s="53"/>
    </x:row>
    <x:row r="1777" ht="15" hidden="0" customHeight="1">
      <x:c r="A1777" s="53" t="str">
        <x:v>Anjoman accounting - refined.xlsx</x:v>
      </x:c>
      <x:c r="B1777" s="53" t="str">
        <x:v>صف بررسی رسیدها</x:v>
      </x:c>
      <x:c r="C1777" s="53" t="str">
        <x:v>K10</x:v>
      </x:c>
      <x:c r="D1777" s="53" t="str">
        <x:v>ثبت مبلغ/تاریخ/طرف حساب و بررسی تکراری بودن</x:v>
      </x:c>
      <x:c r="E1777" s="53"/>
    </x:row>
    <x:row r="1778" ht="15" hidden="0" customHeight="1">
      <x:c r="A1778" s="53" t="str">
        <x:v>Anjoman accounting - refined.xlsx</x:v>
      </x:c>
      <x:c r="B1778" s="53" t="str">
        <x:v>صف بررسی رسیدها</x:v>
      </x:c>
      <x:c r="C1778" s="53" t="str">
        <x:v>A11</x:v>
      </x:c>
      <x:c r="D1778" s="53" t="str">
        <x:v>RV-008</x:v>
      </x:c>
      <x:c r="E1778" s="53"/>
    </x:row>
    <x:row r="1779" ht="15" hidden="0" customHeight="1">
      <x:c r="A1779" s="53" t="str">
        <x:v>Anjoman accounting - refined.xlsx</x:v>
      </x:c>
      <x:c r="B1779" s="53" t="str">
        <x:v>صف بررسی رسیدها</x:v>
      </x:c>
      <x:c r="C1779" s="53" t="str">
        <x:v>B11</x:v>
      </x:c>
      <x:c r="D1779" s="53" t="str">
        <x:v>recipts\photo_2_2026-10-10_14-07-27.jpg</x:v>
      </x:c>
      <x:c r="E1779" s="53"/>
    </x:row>
    <x:row r="1780" ht="15" hidden="0" customHeight="1">
      <x:c r="A1780" s="53" t="str">
        <x:v>Anjoman accounting - refined.xlsx</x:v>
      </x:c>
      <x:c r="B1780" s="53" t="str">
        <x:v>صف بررسی رسیدها</x:v>
      </x:c>
      <x:c r="C1780" s="53" t="str">
        <x:v>C11</x:v>
      </x:c>
      <x:c r="D1780" s="53" t="str">
        <x:v>39945</x:v>
      </x:c>
      <x:c r="E1780" s="53"/>
    </x:row>
    <x:row r="1781" ht="15" hidden="0" customHeight="1">
      <x:c r="A1781" s="53" t="str">
        <x:v>Anjoman accounting - refined.xlsx</x:v>
      </x:c>
      <x:c r="B1781" s="53" t="str">
        <x:v>صف بررسی رسیدها</x:v>
      </x:c>
      <x:c r="C1781" s="53" t="str">
        <x:v>D11</x:v>
      </x:c>
      <x:c r="D1781" s="53" t="str">
        <x:v>6f9a6e2d264b36faa78b41d76c6a1448122e4a243a95c361fd1281ae2bc47e4a</x:v>
      </x:c>
      <x:c r="E1781" s="53"/>
    </x:row>
    <x:row r="1782" ht="15" hidden="0" customHeight="1">
      <x:c r="A1782" s="53" t="str">
        <x:v>Anjoman accounting - refined.xlsx</x:v>
      </x:c>
      <x:c r="B1782" s="53" t="str">
        <x:v>صف بررسی رسیدها</x:v>
      </x:c>
      <x:c r="C1782" s="53" t="str">
        <x:v>E11</x:v>
      </x:c>
      <x:c r="D1782" s="53" t="str">
        <x:v>1280x714</x:v>
      </x:c>
      <x:c r="E1782" s="53"/>
    </x:row>
    <x:row r="1783" ht="15" hidden="0" customHeight="1">
      <x:c r="A1783" s="53" t="str">
        <x:v>Anjoman accounting - refined.xlsx</x:v>
      </x:c>
      <x:c r="B1783" s="53" t="str">
        <x:v>صف بررسی رسیدها</x:v>
      </x:c>
      <x:c r="C1783" s="53" t="str">
        <x:v>F11</x:v>
      </x:c>
      <x:c r="D1783" s="53" t="str">
        <x:v>نیازمند ورود دستی</x:v>
      </x:c>
      <x:c r="E1783" s="53"/>
    </x:row>
    <x:row r="1784" ht="15" hidden="0" customHeight="1">
      <x:c r="A1784" s="53" t="str">
        <x:v>Anjoman accounting - refined.xlsx</x:v>
      </x:c>
      <x:c r="B1784" s="53" t="str">
        <x:v>صف بررسی رسیدها</x:v>
      </x:c>
      <x:c r="C1784" s="53" t="str">
        <x:v>K11</x:v>
      </x:c>
      <x:c r="D1784" s="53" t="str">
        <x:v>ثبت مبلغ/تاریخ/طرف حساب و بررسی تکراری بودن</x:v>
      </x:c>
      <x:c r="E1784" s="53"/>
    </x:row>
    <x:row r="1785" ht="15" hidden="0" customHeight="1">
      <x:c r="A1785" s="53" t="str">
        <x:v>Anjoman accounting - refined.xlsx</x:v>
      </x:c>
      <x:c r="B1785" s="53" t="str">
        <x:v>صف بررسی رسیدها</x:v>
      </x:c>
      <x:c r="C1785" s="53" t="str">
        <x:v>A12</x:v>
      </x:c>
      <x:c r="D1785" s="53" t="str">
        <x:v>RV-009</x:v>
      </x:c>
      <x:c r="E1785" s="53"/>
    </x:row>
    <x:row r="1786" ht="15" hidden="0" customHeight="1">
      <x:c r="A1786" s="53" t="str">
        <x:v>Anjoman accounting - refined.xlsx</x:v>
      </x:c>
      <x:c r="B1786" s="53" t="str">
        <x:v>صف بررسی رسیدها</x:v>
      </x:c>
      <x:c r="C1786" s="53" t="str">
        <x:v>B12</x:v>
      </x:c>
      <x:c r="D1786" s="53" t="str">
        <x:v>recipts\photo_3_2026-10-10_11-09-04.jpg</x:v>
      </x:c>
      <x:c r="E1786" s="53"/>
    </x:row>
    <x:row r="1787" ht="15" hidden="0" customHeight="1">
      <x:c r="A1787" s="53" t="str">
        <x:v>Anjoman accounting - refined.xlsx</x:v>
      </x:c>
      <x:c r="B1787" s="53" t="str">
        <x:v>صف بررسی رسیدها</x:v>
      </x:c>
      <x:c r="C1787" s="53" t="str">
        <x:v>C12</x:v>
      </x:c>
      <x:c r="D1787" s="53" t="str">
        <x:v>48603</x:v>
      </x:c>
      <x:c r="E1787" s="53"/>
    </x:row>
    <x:row r="1788" ht="15" hidden="0" customHeight="1">
      <x:c r="A1788" s="53" t="str">
        <x:v>Anjoman accounting - refined.xlsx</x:v>
      </x:c>
      <x:c r="B1788" s="53" t="str">
        <x:v>صف بررسی رسیدها</x:v>
      </x:c>
      <x:c r="C1788" s="53" t="str">
        <x:v>D12</x:v>
      </x:c>
      <x:c r="D1788" s="53" t="str">
        <x:v>5e9f3828411eb9b655e40edf6506756897d37de7bd8a35ea38c9eee80d9742c0</x:v>
      </x:c>
      <x:c r="E1788" s="53"/>
    </x:row>
    <x:row r="1789" ht="15" hidden="0" customHeight="1">
      <x:c r="A1789" s="53" t="str">
        <x:v>Anjoman accounting - refined.xlsx</x:v>
      </x:c>
      <x:c r="B1789" s="53" t="str">
        <x:v>صف بررسی رسیدها</x:v>
      </x:c>
      <x:c r="C1789" s="53" t="str">
        <x:v>E12</x:v>
      </x:c>
      <x:c r="D1789" s="53" t="str">
        <x:v>1200x1078</x:v>
      </x:c>
      <x:c r="E1789" s="53"/>
    </x:row>
    <x:row r="1790" ht="15" hidden="0" customHeight="1">
      <x:c r="A1790" s="53" t="str">
        <x:v>Anjoman accounting - refined.xlsx</x:v>
      </x:c>
      <x:c r="B1790" s="53" t="str">
        <x:v>صف بررسی رسیدها</x:v>
      </x:c>
      <x:c r="C1790" s="53" t="str">
        <x:v>F12</x:v>
      </x:c>
      <x:c r="D1790" s="53" t="str">
        <x:v>نیازمند ورود دستی</x:v>
      </x:c>
      <x:c r="E1790" s="53"/>
    </x:row>
    <x:row r="1791" ht="15" hidden="0" customHeight="1">
      <x:c r="A1791" s="53" t="str">
        <x:v>Anjoman accounting - refined.xlsx</x:v>
      </x:c>
      <x:c r="B1791" s="53" t="str">
        <x:v>صف بررسی رسیدها</x:v>
      </x:c>
      <x:c r="C1791" s="53" t="str">
        <x:v>K12</x:v>
      </x:c>
      <x:c r="D1791" s="53" t="str">
        <x:v>ثبت مبلغ/تاریخ/طرف حساب و بررسی تکراری بودن</x:v>
      </x:c>
      <x:c r="E1791" s="53"/>
    </x:row>
    <x:row r="1792" ht="15" hidden="0" customHeight="1">
      <x:c r="A1792" s="53" t="str">
        <x:v>Anjoman accounting - refined.xlsx</x:v>
      </x:c>
      <x:c r="B1792" s="53" t="str">
        <x:v>صف بررسی رسیدها</x:v>
      </x:c>
      <x:c r="C1792" s="53" t="str">
        <x:v>A13</x:v>
      </x:c>
      <x:c r="D1792" s="53" t="str">
        <x:v>RV-010</x:v>
      </x:c>
      <x:c r="E1792" s="53"/>
    </x:row>
    <x:row r="1793" ht="15" hidden="0" customHeight="1">
      <x:c r="A1793" s="53" t="str">
        <x:v>Anjoman accounting - refined.xlsx</x:v>
      </x:c>
      <x:c r="B1793" s="53" t="str">
        <x:v>صف بررسی رسیدها</x:v>
      </x:c>
      <x:c r="C1793" s="53" t="str">
        <x:v>B13</x:v>
      </x:c>
      <x:c r="D1793" s="53" t="str">
        <x:v>recipts\photo_3_2026-10-10_14-07-27.jpg</x:v>
      </x:c>
      <x:c r="E1793" s="53"/>
    </x:row>
    <x:row r="1794" ht="15" hidden="0" customHeight="1">
      <x:c r="A1794" s="53" t="str">
        <x:v>Anjoman accounting - refined.xlsx</x:v>
      </x:c>
      <x:c r="B1794" s="53" t="str">
        <x:v>صف بررسی رسیدها</x:v>
      </x:c>
      <x:c r="C1794" s="53" t="str">
        <x:v>C13</x:v>
      </x:c>
      <x:c r="D1794" s="53" t="str">
        <x:v>45037</x:v>
      </x:c>
      <x:c r="E1794" s="53"/>
    </x:row>
    <x:row r="1795" ht="15" hidden="0" customHeight="1">
      <x:c r="A1795" s="53" t="str">
        <x:v>Anjoman accounting - refined.xlsx</x:v>
      </x:c>
      <x:c r="B1795" s="53" t="str">
        <x:v>صف بررسی رسیدها</x:v>
      </x:c>
      <x:c r="C1795" s="53" t="str">
        <x:v>D13</x:v>
      </x:c>
      <x:c r="D1795" s="53" t="str">
        <x:v>89cfe54d6ab70d44461da04c4318c4b7a11f78947d9a61bda0e7266fbcc3bdab</x:v>
      </x:c>
      <x:c r="E1795" s="53"/>
    </x:row>
    <x:row r="1796" ht="15" hidden="0" customHeight="1">
      <x:c r="A1796" s="53" t="str">
        <x:v>Anjoman accounting - refined.xlsx</x:v>
      </x:c>
      <x:c r="B1796" s="53" t="str">
        <x:v>صف بررسی رسیدها</x:v>
      </x:c>
      <x:c r="C1796" s="53" t="str">
        <x:v>E13</x:v>
      </x:c>
      <x:c r="D1796" s="53" t="str">
        <x:v>1280x714</x:v>
      </x:c>
      <x:c r="E1796" s="53"/>
    </x:row>
    <x:row r="1797" ht="15" hidden="0" customHeight="1">
      <x:c r="A1797" s="53" t="str">
        <x:v>Anjoman accounting - refined.xlsx</x:v>
      </x:c>
      <x:c r="B1797" s="53" t="str">
        <x:v>صف بررسی رسیدها</x:v>
      </x:c>
      <x:c r="C1797" s="53" t="str">
        <x:v>F13</x:v>
      </x:c>
      <x:c r="D1797" s="53" t="str">
        <x:v>نیازمند ورود دستی</x:v>
      </x:c>
      <x:c r="E1797" s="53"/>
    </x:row>
    <x:row r="1798" ht="15" hidden="0" customHeight="1">
      <x:c r="A1798" s="53" t="str">
        <x:v>Anjoman accounting - refined.xlsx</x:v>
      </x:c>
      <x:c r="B1798" s="53" t="str">
        <x:v>صف بررسی رسیدها</x:v>
      </x:c>
      <x:c r="C1798" s="53" t="str">
        <x:v>K13</x:v>
      </x:c>
      <x:c r="D1798" s="53" t="str">
        <x:v>ثبت مبلغ/تاریخ/طرف حساب و بررسی تکراری بودن</x:v>
      </x:c>
      <x:c r="E1798" s="53"/>
    </x:row>
    <x:row r="1799" ht="15" hidden="0" customHeight="1">
      <x:c r="A1799" s="53" t="str">
        <x:v>Anjoman accounting - refined.xlsx</x:v>
      </x:c>
      <x:c r="B1799" s="53" t="str">
        <x:v>صف بررسی رسیدها</x:v>
      </x:c>
      <x:c r="C1799" s="53" t="str">
        <x:v>A14</x:v>
      </x:c>
      <x:c r="D1799" s="53" t="str">
        <x:v>RV-011</x:v>
      </x:c>
      <x:c r="E1799" s="53"/>
    </x:row>
    <x:row r="1800" ht="15" hidden="0" customHeight="1">
      <x:c r="A1800" s="53" t="str">
        <x:v>Anjoman accounting - refined.xlsx</x:v>
      </x:c>
      <x:c r="B1800" s="53" t="str">
        <x:v>صف بررسی رسیدها</x:v>
      </x:c>
      <x:c r="C1800" s="53" t="str">
        <x:v>B14</x:v>
      </x:c>
      <x:c r="D1800" s="53" t="str">
        <x:v>recipts\photo_4_2026-10-10_11-09-04.jpg</x:v>
      </x:c>
      <x:c r="E1800" s="53"/>
    </x:row>
    <x:row r="1801" ht="15" hidden="0" customHeight="1">
      <x:c r="A1801" s="53" t="str">
        <x:v>Anjoman accounting - refined.xlsx</x:v>
      </x:c>
      <x:c r="B1801" s="53" t="str">
        <x:v>صف بررسی رسیدها</x:v>
      </x:c>
      <x:c r="C1801" s="53" t="str">
        <x:v>C14</x:v>
      </x:c>
      <x:c r="D1801" s="53" t="str">
        <x:v>49704</x:v>
      </x:c>
      <x:c r="E1801" s="53"/>
    </x:row>
    <x:row r="1802" ht="15" hidden="0" customHeight="1">
      <x:c r="A1802" s="53" t="str">
        <x:v>Anjoman accounting - refined.xlsx</x:v>
      </x:c>
      <x:c r="B1802" s="53" t="str">
        <x:v>صف بررسی رسیدها</x:v>
      </x:c>
      <x:c r="C1802" s="53" t="str">
        <x:v>D14</x:v>
      </x:c>
      <x:c r="D1802" s="53" t="str">
        <x:v>da2ff247cc7b5f3f295635d3052d3d599eebc0806a657613e584d1cce0639769</x:v>
      </x:c>
      <x:c r="E1802" s="53"/>
    </x:row>
    <x:row r="1803" ht="15" hidden="0" customHeight="1">
      <x:c r="A1803" s="53" t="str">
        <x:v>Anjoman accounting - refined.xlsx</x:v>
      </x:c>
      <x:c r="B1803" s="53" t="str">
        <x:v>صف بررسی رسیدها</x:v>
      </x:c>
      <x:c r="C1803" s="53" t="str">
        <x:v>E14</x:v>
      </x:c>
      <x:c r="D1803" s="53" t="str">
        <x:v>1200x1224</x:v>
      </x:c>
      <x:c r="E1803" s="53"/>
    </x:row>
    <x:row r="1804" ht="15" hidden="0" customHeight="1">
      <x:c r="A1804" s="53" t="str">
        <x:v>Anjoman accounting - refined.xlsx</x:v>
      </x:c>
      <x:c r="B1804" s="53" t="str">
        <x:v>صف بررسی رسیدها</x:v>
      </x:c>
      <x:c r="C1804" s="53" t="str">
        <x:v>F14</x:v>
      </x:c>
      <x:c r="D1804" s="53" t="str">
        <x:v>نیازمند ورود دستی</x:v>
      </x:c>
      <x:c r="E1804" s="53"/>
    </x:row>
    <x:row r="1805" ht="15" hidden="0" customHeight="1">
      <x:c r="A1805" s="53" t="str">
        <x:v>Anjoman accounting - refined.xlsx</x:v>
      </x:c>
      <x:c r="B1805" s="53" t="str">
        <x:v>صف بررسی رسیدها</x:v>
      </x:c>
      <x:c r="C1805" s="53" t="str">
        <x:v>K14</x:v>
      </x:c>
      <x:c r="D1805" s="53" t="str">
        <x:v>ثبت مبلغ/تاریخ/طرف حساب و بررسی تکراری بودن</x:v>
      </x:c>
      <x:c r="E1805" s="53"/>
    </x:row>
    <x:row r="1806" ht="15" hidden="0" customHeight="1">
      <x:c r="A1806" s="53" t="str">
        <x:v>Anjoman accounting - refined.xlsx</x:v>
      </x:c>
      <x:c r="B1806" s="53" t="str">
        <x:v>صف بررسی رسیدها</x:v>
      </x:c>
      <x:c r="C1806" s="53" t="str">
        <x:v>A15</x:v>
      </x:c>
      <x:c r="D1806" s="53" t="str">
        <x:v>RV-012</x:v>
      </x:c>
      <x:c r="E1806" s="53"/>
    </x:row>
    <x:row r="1807" ht="15" hidden="0" customHeight="1">
      <x:c r="A1807" s="53" t="str">
        <x:v>Anjoman accounting - refined.xlsx</x:v>
      </x:c>
      <x:c r="B1807" s="53" t="str">
        <x:v>صف بررسی رسیدها</x:v>
      </x:c>
      <x:c r="C1807" s="53" t="str">
        <x:v>B15</x:v>
      </x:c>
      <x:c r="D1807" s="53" t="str">
        <x:v>recipts\photo_4_2026-10-10_14-07-27.jpg</x:v>
      </x:c>
      <x:c r="E1807" s="53"/>
    </x:row>
    <x:row r="1808" ht="15" hidden="0" customHeight="1">
      <x:c r="A1808" s="53" t="str">
        <x:v>Anjoman accounting - refined.xlsx</x:v>
      </x:c>
      <x:c r="B1808" s="53" t="str">
        <x:v>صف بررسی رسیدها</x:v>
      </x:c>
      <x:c r="C1808" s="53" t="str">
        <x:v>C15</x:v>
      </x:c>
      <x:c r="D1808" s="53" t="str">
        <x:v>44990</x:v>
      </x:c>
      <x:c r="E1808" s="53"/>
    </x:row>
    <x:row r="1809" ht="15" hidden="0" customHeight="1">
      <x:c r="A1809" s="53" t="str">
        <x:v>Anjoman accounting - refined.xlsx</x:v>
      </x:c>
      <x:c r="B1809" s="53" t="str">
        <x:v>صف بررسی رسیدها</x:v>
      </x:c>
      <x:c r="C1809" s="53" t="str">
        <x:v>D15</x:v>
      </x:c>
      <x:c r="D1809" s="53" t="str">
        <x:v>44a438cc79650702edcbab92c8d1b6d5bc74008f068089c928f463f0657d2162</x:v>
      </x:c>
      <x:c r="E1809" s="53"/>
    </x:row>
    <x:row r="1810" ht="15" hidden="0" customHeight="1">
      <x:c r="A1810" s="53" t="str">
        <x:v>Anjoman accounting - refined.xlsx</x:v>
      </x:c>
      <x:c r="B1810" s="53" t="str">
        <x:v>صف بررسی رسیدها</x:v>
      </x:c>
      <x:c r="C1810" s="53" t="str">
        <x:v>E15</x:v>
      </x:c>
      <x:c r="D1810" s="53" t="str">
        <x:v>1280x714</x:v>
      </x:c>
      <x:c r="E1810" s="53"/>
    </x:row>
    <x:row r="1811" ht="15" hidden="0" customHeight="1">
      <x:c r="A1811" s="53" t="str">
        <x:v>Anjoman accounting - refined.xlsx</x:v>
      </x:c>
      <x:c r="B1811" s="53" t="str">
        <x:v>صف بررسی رسیدها</x:v>
      </x:c>
      <x:c r="C1811" s="53" t="str">
        <x:v>F15</x:v>
      </x:c>
      <x:c r="D1811" s="53" t="str">
        <x:v>نیازمند ورود دستی</x:v>
      </x:c>
      <x:c r="E1811" s="53"/>
    </x:row>
    <x:row r="1812" ht="15" hidden="0" customHeight="1">
      <x:c r="A1812" s="53" t="str">
        <x:v>Anjoman accounting - refined.xlsx</x:v>
      </x:c>
      <x:c r="B1812" s="53" t="str">
        <x:v>صف بررسی رسیدها</x:v>
      </x:c>
      <x:c r="C1812" s="53" t="str">
        <x:v>K15</x:v>
      </x:c>
      <x:c r="D1812" s="53" t="str">
        <x:v>ثبت مبلغ/تاریخ/طرف حساب و بررسی تکراری بودن</x:v>
      </x:c>
      <x:c r="E1812" s="53"/>
    </x:row>
    <x:row r="1813" ht="15" hidden="0" customHeight="1">
      <x:c r="A1813" s="53" t="str">
        <x:v>Anjoman accounting - refined.xlsx</x:v>
      </x:c>
      <x:c r="B1813" s="53" t="str">
        <x:v>صف بررسی رسیدها</x:v>
      </x:c>
      <x:c r="C1813" s="53" t="str">
        <x:v>A16</x:v>
      </x:c>
      <x:c r="D1813" s="53" t="str">
        <x:v>RV-013</x:v>
      </x:c>
      <x:c r="E1813" s="53"/>
    </x:row>
    <x:row r="1814" ht="15" hidden="0" customHeight="1">
      <x:c r="A1814" s="53" t="str">
        <x:v>Anjoman accounting - refined.xlsx</x:v>
      </x:c>
      <x:c r="B1814" s="53" t="str">
        <x:v>صف بررسی رسیدها</x:v>
      </x:c>
      <x:c r="C1814" s="53" t="str">
        <x:v>B16</x:v>
      </x:c>
      <x:c r="D1814" s="53" t="str">
        <x:v>recipts\photo_5_2026-10-10_11-09-04.jpg</x:v>
      </x:c>
      <x:c r="E1814" s="53"/>
    </x:row>
    <x:row r="1815" ht="15" hidden="0" customHeight="1">
      <x:c r="A1815" s="53" t="str">
        <x:v>Anjoman accounting - refined.xlsx</x:v>
      </x:c>
      <x:c r="B1815" s="53" t="str">
        <x:v>صف بررسی رسیدها</x:v>
      </x:c>
      <x:c r="C1815" s="53" t="str">
        <x:v>C16</x:v>
      </x:c>
      <x:c r="D1815" s="53" t="str">
        <x:v>49513</x:v>
      </x:c>
      <x:c r="E1815" s="53"/>
    </x:row>
    <x:row r="1816" ht="15" hidden="0" customHeight="1">
      <x:c r="A1816" s="53" t="str">
        <x:v>Anjoman accounting - refined.xlsx</x:v>
      </x:c>
      <x:c r="B1816" s="53" t="str">
        <x:v>صف بررسی رسیدها</x:v>
      </x:c>
      <x:c r="C1816" s="53" t="str">
        <x:v>D16</x:v>
      </x:c>
      <x:c r="D1816" s="53" t="str">
        <x:v>556c6c35f9ce9e0fb5845f3b0d5b9a1b2696d7e1377af7f4c39d6a23e4360af2</x:v>
      </x:c>
      <x:c r="E1816" s="53"/>
    </x:row>
    <x:row r="1817" ht="15" hidden="0" customHeight="1">
      <x:c r="A1817" s="53" t="str">
        <x:v>Anjoman accounting - refined.xlsx</x:v>
      </x:c>
      <x:c r="B1817" s="53" t="str">
        <x:v>صف بررسی رسیدها</x:v>
      </x:c>
      <x:c r="C1817" s="53" t="str">
        <x:v>E16</x:v>
      </x:c>
      <x:c r="D1817" s="53" t="str">
        <x:v>1200x1145</x:v>
      </x:c>
      <x:c r="E1817" s="53"/>
    </x:row>
    <x:row r="1818" ht="15" hidden="0" customHeight="1">
      <x:c r="A1818" s="53" t="str">
        <x:v>Anjoman accounting - refined.xlsx</x:v>
      </x:c>
      <x:c r="B1818" s="53" t="str">
        <x:v>صف بررسی رسیدها</x:v>
      </x:c>
      <x:c r="C1818" s="53" t="str">
        <x:v>F16</x:v>
      </x:c>
      <x:c r="D1818" s="53" t="str">
        <x:v>نیازمند ورود دستی</x:v>
      </x:c>
      <x:c r="E1818" s="53"/>
    </x:row>
    <x:row r="1819" ht="15" hidden="0" customHeight="1">
      <x:c r="A1819" s="53" t="str">
        <x:v>Anjoman accounting - refined.xlsx</x:v>
      </x:c>
      <x:c r="B1819" s="53" t="str">
        <x:v>صف بررسی رسیدها</x:v>
      </x:c>
      <x:c r="C1819" s="53" t="str">
        <x:v>K16</x:v>
      </x:c>
      <x:c r="D1819" s="53" t="str">
        <x:v>ثبت مبلغ/تاریخ/طرف حساب و بررسی تکراری بودن</x:v>
      </x:c>
      <x:c r="E1819" s="53"/>
    </x:row>
    <x:row r="1820" ht="15" hidden="0" customHeight="1">
      <x:c r="A1820" s="53" t="str">
        <x:v>Anjoman accounting - refined.xlsx</x:v>
      </x:c>
      <x:c r="B1820" s="53" t="str">
        <x:v>صف بررسی رسیدها</x:v>
      </x:c>
      <x:c r="C1820" s="53" t="str">
        <x:v>A17</x:v>
      </x:c>
      <x:c r="D1820" s="53" t="str">
        <x:v>RV-014</x:v>
      </x:c>
      <x:c r="E1820" s="53"/>
    </x:row>
    <x:row r="1821" ht="15" hidden="0" customHeight="1">
      <x:c r="A1821" s="53" t="str">
        <x:v>Anjoman accounting - refined.xlsx</x:v>
      </x:c>
      <x:c r="B1821" s="53" t="str">
        <x:v>صف بررسی رسیدها</x:v>
      </x:c>
      <x:c r="C1821" s="53" t="str">
        <x:v>B17</x:v>
      </x:c>
      <x:c r="D1821" s="53" t="str">
        <x:v>recipts\photo_5_2026-10-10_14-07-27.jpg</x:v>
      </x:c>
      <x:c r="E1821" s="53"/>
    </x:row>
    <x:row r="1822" ht="15" hidden="0" customHeight="1">
      <x:c r="A1822" s="53" t="str">
        <x:v>Anjoman accounting - refined.xlsx</x:v>
      </x:c>
      <x:c r="B1822" s="53" t="str">
        <x:v>صف بررسی رسیدها</x:v>
      </x:c>
      <x:c r="C1822" s="53" t="str">
        <x:v>C17</x:v>
      </x:c>
      <x:c r="D1822" s="53" t="str">
        <x:v>39739</x:v>
      </x:c>
      <x:c r="E1822" s="53"/>
    </x:row>
    <x:row r="1823" ht="15" hidden="0" customHeight="1">
      <x:c r="A1823" s="53" t="str">
        <x:v>Anjoman accounting - refined.xlsx</x:v>
      </x:c>
      <x:c r="B1823" s="53" t="str">
        <x:v>صف بررسی رسیدها</x:v>
      </x:c>
      <x:c r="C1823" s="53" t="str">
        <x:v>D17</x:v>
      </x:c>
      <x:c r="D1823" s="53" t="str">
        <x:v>63f59a169b5a2bb5dd1bc0587d75173d88da586a0b9b30cbe7effcd5b676c67c</x:v>
      </x:c>
      <x:c r="E1823" s="53"/>
    </x:row>
    <x:row r="1824" ht="15" hidden="0" customHeight="1">
      <x:c r="A1824" s="53" t="str">
        <x:v>Anjoman accounting - refined.xlsx</x:v>
      </x:c>
      <x:c r="B1824" s="53" t="str">
        <x:v>صف بررسی رسیدها</x:v>
      </x:c>
      <x:c r="C1824" s="53" t="str">
        <x:v>E17</x:v>
      </x:c>
      <x:c r="D1824" s="53" t="str">
        <x:v>1280x714</x:v>
      </x:c>
      <x:c r="E1824" s="53"/>
    </x:row>
    <x:row r="1825" ht="15" hidden="0" customHeight="1">
      <x:c r="A1825" s="53" t="str">
        <x:v>Anjoman accounting - refined.xlsx</x:v>
      </x:c>
      <x:c r="B1825" s="53" t="str">
        <x:v>صف بررسی رسیدها</x:v>
      </x:c>
      <x:c r="C1825" s="53" t="str">
        <x:v>F17</x:v>
      </x:c>
      <x:c r="D1825" s="53" t="str">
        <x:v>نیازمند ورود دستی</x:v>
      </x:c>
      <x:c r="E1825" s="53"/>
    </x:row>
    <x:row r="1826" ht="15" hidden="0" customHeight="1">
      <x:c r="A1826" s="53" t="str">
        <x:v>Anjoman accounting - refined.xlsx</x:v>
      </x:c>
      <x:c r="B1826" s="53" t="str">
        <x:v>صف بررسی رسیدها</x:v>
      </x:c>
      <x:c r="C1826" s="53" t="str">
        <x:v>K17</x:v>
      </x:c>
      <x:c r="D1826" s="53" t="str">
        <x:v>ثبت مبلغ/تاریخ/طرف حساب و بررسی تکراری بودن</x:v>
      </x:c>
      <x:c r="E1826" s="53"/>
    </x:row>
    <x:row r="1827" ht="15" hidden="0" customHeight="1">
      <x:c r="A1827" s="53" t="str">
        <x:v>Anjoman accounting - refined.xlsx</x:v>
      </x:c>
      <x:c r="B1827" s="53" t="str">
        <x:v>صف بررسی رسیدها</x:v>
      </x:c>
      <x:c r="C1827" s="53" t="str">
        <x:v>A18</x:v>
      </x:c>
      <x:c r="D1827" s="53" t="str">
        <x:v>RV-015</x:v>
      </x:c>
      <x:c r="E1827" s="53"/>
    </x:row>
    <x:row r="1828" ht="15" hidden="0" customHeight="1">
      <x:c r="A1828" s="53" t="str">
        <x:v>Anjoman accounting - refined.xlsx</x:v>
      </x:c>
      <x:c r="B1828" s="53" t="str">
        <x:v>صف بررسی رسیدها</x:v>
      </x:c>
      <x:c r="C1828" s="53" t="str">
        <x:v>B18</x:v>
      </x:c>
      <x:c r="D1828" s="53" t="str">
        <x:v>recipts\photo_6_2026-10-10_11-09-04.jpg</x:v>
      </x:c>
      <x:c r="E1828" s="53"/>
    </x:row>
    <x:row r="1829" ht="15" hidden="0" customHeight="1">
      <x:c r="A1829" s="53" t="str">
        <x:v>Anjoman accounting - refined.xlsx</x:v>
      </x:c>
      <x:c r="B1829" s="53" t="str">
        <x:v>صف بررسی رسیدها</x:v>
      </x:c>
      <x:c r="C1829" s="53" t="str">
        <x:v>C18</x:v>
      </x:c>
      <x:c r="D1829" s="53" t="str">
        <x:v>57246</x:v>
      </x:c>
      <x:c r="E1829" s="53"/>
    </x:row>
    <x:row r="1830" ht="15" hidden="0" customHeight="1">
      <x:c r="A1830" s="53" t="str">
        <x:v>Anjoman accounting - refined.xlsx</x:v>
      </x:c>
      <x:c r="B1830" s="53" t="str">
        <x:v>صف بررسی رسیدها</x:v>
      </x:c>
      <x:c r="C1830" s="53" t="str">
        <x:v>D18</x:v>
      </x:c>
      <x:c r="D1830" s="53" t="str">
        <x:v>3e2419ef0ccbe67c3e775ffb4f32e97152e3923bab3c3760071727253938e142</x:v>
      </x:c>
      <x:c r="E1830" s="53"/>
    </x:row>
    <x:row r="1831" ht="15" hidden="0" customHeight="1">
      <x:c r="A1831" s="53" t="str">
        <x:v>Anjoman accounting - refined.xlsx</x:v>
      </x:c>
      <x:c r="B1831" s="53" t="str">
        <x:v>صف بررسی رسیدها</x:v>
      </x:c>
      <x:c r="C1831" s="53" t="str">
        <x:v>E18</x:v>
      </x:c>
      <x:c r="D1831" s="53" t="str">
        <x:v>1200x1163</x:v>
      </x:c>
      <x:c r="E1831" s="53"/>
    </x:row>
    <x:row r="1832" ht="15" hidden="0" customHeight="1">
      <x:c r="A1832" s="53" t="str">
        <x:v>Anjoman accounting - refined.xlsx</x:v>
      </x:c>
      <x:c r="B1832" s="53" t="str">
        <x:v>صف بررسی رسیدها</x:v>
      </x:c>
      <x:c r="C1832" s="53" t="str">
        <x:v>F18</x:v>
      </x:c>
      <x:c r="D1832" s="53" t="str">
        <x:v>نیازمند ورود دستی</x:v>
      </x:c>
      <x:c r="E1832" s="53"/>
    </x:row>
    <x:row r="1833" ht="15" hidden="0" customHeight="1">
      <x:c r="A1833" s="53" t="str">
        <x:v>Anjoman accounting - refined.xlsx</x:v>
      </x:c>
      <x:c r="B1833" s="53" t="str">
        <x:v>صف بررسی رسیدها</x:v>
      </x:c>
      <x:c r="C1833" s="53" t="str">
        <x:v>K18</x:v>
      </x:c>
      <x:c r="D1833" s="53" t="str">
        <x:v>ثبت مبلغ/تاریخ/طرف حساب و بررسی تکراری بودن</x:v>
      </x:c>
      <x:c r="E1833" s="53"/>
    </x:row>
    <x:row r="1834" ht="15" hidden="0" customHeight="1">
      <x:c r="A1834" s="53" t="str">
        <x:v>Anjoman accounting - refined.xlsx</x:v>
      </x:c>
      <x:c r="B1834" s="53" t="str">
        <x:v>صف بررسی رسیدها</x:v>
      </x:c>
      <x:c r="C1834" s="53" t="str">
        <x:v>A19</x:v>
      </x:c>
      <x:c r="D1834" s="53" t="str">
        <x:v>RV-016</x:v>
      </x:c>
      <x:c r="E1834" s="53"/>
    </x:row>
    <x:row r="1835" ht="15" hidden="0" customHeight="1">
      <x:c r="A1835" s="53" t="str">
        <x:v>Anjoman accounting - refined.xlsx</x:v>
      </x:c>
      <x:c r="B1835" s="53" t="str">
        <x:v>صف بررسی رسیدها</x:v>
      </x:c>
      <x:c r="C1835" s="53" t="str">
        <x:v>B19</x:v>
      </x:c>
      <x:c r="D1835" s="53" t="str">
        <x:v>recipts\photo_6_2026-10-10_14-07-27.jpg</x:v>
      </x:c>
      <x:c r="E1835" s="53"/>
    </x:row>
    <x:row r="1836" ht="15" hidden="0" customHeight="1">
      <x:c r="A1836" s="53" t="str">
        <x:v>Anjoman accounting - refined.xlsx</x:v>
      </x:c>
      <x:c r="B1836" s="53" t="str">
        <x:v>صف بررسی رسیدها</x:v>
      </x:c>
      <x:c r="C1836" s="53" t="str">
        <x:v>C19</x:v>
      </x:c>
      <x:c r="D1836" s="53" t="str">
        <x:v>41211</x:v>
      </x:c>
      <x:c r="E1836" s="53"/>
    </x:row>
    <x:row r="1837" ht="15" hidden="0" customHeight="1">
      <x:c r="A1837" s="53" t="str">
        <x:v>Anjoman accounting - refined.xlsx</x:v>
      </x:c>
      <x:c r="B1837" s="53" t="str">
        <x:v>صف بررسی رسیدها</x:v>
      </x:c>
      <x:c r="C1837" s="53" t="str">
        <x:v>D19</x:v>
      </x:c>
      <x:c r="D1837" s="53" t="str">
        <x:v>2a51ef05147371b78e220f491a2c3e82578cb8a9cc8a65128cd503f3f2eaf183</x:v>
      </x:c>
      <x:c r="E1837" s="53"/>
    </x:row>
    <x:row r="1838" ht="15" hidden="0" customHeight="1">
      <x:c r="A1838" s="53" t="str">
        <x:v>Anjoman accounting - refined.xlsx</x:v>
      </x:c>
      <x:c r="B1838" s="53" t="str">
        <x:v>صف بررسی رسیدها</x:v>
      </x:c>
      <x:c r="C1838" s="53" t="str">
        <x:v>E19</x:v>
      </x:c>
      <x:c r="D1838" s="53" t="str">
        <x:v>1280x714</x:v>
      </x:c>
      <x:c r="E1838" s="53"/>
    </x:row>
    <x:row r="1839" ht="15" hidden="0" customHeight="1">
      <x:c r="A1839" s="53" t="str">
        <x:v>Anjoman accounting - refined.xlsx</x:v>
      </x:c>
      <x:c r="B1839" s="53" t="str">
        <x:v>صف بررسی رسیدها</x:v>
      </x:c>
      <x:c r="C1839" s="53" t="str">
        <x:v>F19</x:v>
      </x:c>
      <x:c r="D1839" s="53" t="str">
        <x:v>نیازمند ورود دستی</x:v>
      </x:c>
      <x:c r="E1839" s="53"/>
    </x:row>
    <x:row r="1840" ht="15" hidden="0" customHeight="1">
      <x:c r="A1840" s="53" t="str">
        <x:v>Anjoman accounting - refined.xlsx</x:v>
      </x:c>
      <x:c r="B1840" s="53" t="str">
        <x:v>صف بررسی رسیدها</x:v>
      </x:c>
      <x:c r="C1840" s="53" t="str">
        <x:v>K19</x:v>
      </x:c>
      <x:c r="D1840" s="53" t="str">
        <x:v>ثبت مبلغ/تاریخ/طرف حساب و بررسی تکراری بودن</x:v>
      </x:c>
      <x:c r="E1840" s="53"/>
    </x:row>
    <x:row r="1841" ht="15" hidden="0" customHeight="1">
      <x:c r="A1841" s="53" t="str">
        <x:v>Anjoman accounting - refined.xlsx</x:v>
      </x:c>
      <x:c r="B1841" s="53" t="str">
        <x:v>صف بررسی رسیدها</x:v>
      </x:c>
      <x:c r="C1841" s="53" t="str">
        <x:v>A20</x:v>
      </x:c>
      <x:c r="D1841" s="53" t="str">
        <x:v>RV-017</x:v>
      </x:c>
      <x:c r="E1841" s="53"/>
    </x:row>
    <x:row r="1842" ht="15" hidden="0" customHeight="1">
      <x:c r="A1842" s="53" t="str">
        <x:v>Anjoman accounting - refined.xlsx</x:v>
      </x:c>
      <x:c r="B1842" s="53" t="str">
        <x:v>صف بررسی رسیدها</x:v>
      </x:c>
      <x:c r="C1842" s="53" t="str">
        <x:v>B20</x:v>
      </x:c>
      <x:c r="D1842" s="53" t="str">
        <x:v>recipts\photo_7_2026-10-10_11-09-04.jpg</x:v>
      </x:c>
      <x:c r="E1842" s="53"/>
    </x:row>
    <x:row r="1843" ht="15" hidden="0" customHeight="1">
      <x:c r="A1843" s="53" t="str">
        <x:v>Anjoman accounting - refined.xlsx</x:v>
      </x:c>
      <x:c r="B1843" s="53" t="str">
        <x:v>صف بررسی رسیدها</x:v>
      </x:c>
      <x:c r="C1843" s="53" t="str">
        <x:v>C20</x:v>
      </x:c>
      <x:c r="D1843" s="53" t="str">
        <x:v>49510</x:v>
      </x:c>
      <x:c r="E1843" s="53"/>
    </x:row>
    <x:row r="1844" ht="15" hidden="0" customHeight="1">
      <x:c r="A1844" s="53" t="str">
        <x:v>Anjoman accounting - refined.xlsx</x:v>
      </x:c>
      <x:c r="B1844" s="53" t="str">
        <x:v>صف بررسی رسیدها</x:v>
      </x:c>
      <x:c r="C1844" s="53" t="str">
        <x:v>D20</x:v>
      </x:c>
      <x:c r="D1844" s="53" t="str">
        <x:v>805ebbd2b231c7cf1c2858b5a056938b59dd5c7ccaed44d74c4edc20f4b57ce2</x:v>
      </x:c>
      <x:c r="E1844" s="53"/>
    </x:row>
    <x:row r="1845" ht="15" hidden="0" customHeight="1">
      <x:c r="A1845" s="53" t="str">
        <x:v>Anjoman accounting - refined.xlsx</x:v>
      </x:c>
      <x:c r="B1845" s="53" t="str">
        <x:v>صف بررسی رسیدها</x:v>
      </x:c>
      <x:c r="C1845" s="53" t="str">
        <x:v>E20</x:v>
      </x:c>
      <x:c r="D1845" s="53" t="str">
        <x:v>1200x1145</x:v>
      </x:c>
      <x:c r="E1845" s="53"/>
    </x:row>
    <x:row r="1846" ht="15" hidden="0" customHeight="1">
      <x:c r="A1846" s="53" t="str">
        <x:v>Anjoman accounting - refined.xlsx</x:v>
      </x:c>
      <x:c r="B1846" s="53" t="str">
        <x:v>صف بررسی رسیدها</x:v>
      </x:c>
      <x:c r="C1846" s="53" t="str">
        <x:v>F20</x:v>
      </x:c>
      <x:c r="D1846" s="53" t="str">
        <x:v>نیازمند ورود دستی</x:v>
      </x:c>
      <x:c r="E1846" s="53"/>
    </x:row>
    <x:row r="1847" ht="15" hidden="0" customHeight="1">
      <x:c r="A1847" s="53" t="str">
        <x:v>Anjoman accounting - refined.xlsx</x:v>
      </x:c>
      <x:c r="B1847" s="53" t="str">
        <x:v>صف بررسی رسیدها</x:v>
      </x:c>
      <x:c r="C1847" s="53" t="str">
        <x:v>K20</x:v>
      </x:c>
      <x:c r="D1847" s="53" t="str">
        <x:v>ثبت مبلغ/تاریخ/طرف حساب و بررسی تکراری بودن</x:v>
      </x:c>
      <x:c r="E1847" s="53"/>
    </x:row>
    <x:row r="1848" ht="15" hidden="0" customHeight="1">
      <x:c r="A1848" s="53" t="str">
        <x:v>Anjoman accounting - refined.xlsx</x:v>
      </x:c>
      <x:c r="B1848" s="53" t="str">
        <x:v>صف بررسی رسیدها</x:v>
      </x:c>
      <x:c r="C1848" s="53" t="str">
        <x:v>A21</x:v>
      </x:c>
      <x:c r="D1848" s="53" t="str">
        <x:v>RV-018</x:v>
      </x:c>
      <x:c r="E1848" s="53"/>
    </x:row>
    <x:row r="1849" ht="15" hidden="0" customHeight="1">
      <x:c r="A1849" s="53" t="str">
        <x:v>Anjoman accounting - refined.xlsx</x:v>
      </x:c>
      <x:c r="B1849" s="53" t="str">
        <x:v>صف بررسی رسیدها</x:v>
      </x:c>
      <x:c r="C1849" s="53" t="str">
        <x:v>B21</x:v>
      </x:c>
      <x:c r="D1849" s="53" t="str">
        <x:v>recipts\photo_7_2026-10-10_14-07-27.jpg</x:v>
      </x:c>
      <x:c r="E1849" s="53"/>
    </x:row>
    <x:row r="1850" ht="15" hidden="0" customHeight="1">
      <x:c r="A1850" s="53" t="str">
        <x:v>Anjoman accounting - refined.xlsx</x:v>
      </x:c>
      <x:c r="B1850" s="53" t="str">
        <x:v>صف بررسی رسیدها</x:v>
      </x:c>
      <x:c r="C1850" s="53" t="str">
        <x:v>C21</x:v>
      </x:c>
      <x:c r="D1850" s="53" t="str">
        <x:v>44918</x:v>
      </x:c>
      <x:c r="E1850" s="53"/>
    </x:row>
    <x:row r="1851" ht="15" hidden="0" customHeight="1">
      <x:c r="A1851" s="53" t="str">
        <x:v>Anjoman accounting - refined.xlsx</x:v>
      </x:c>
      <x:c r="B1851" s="53" t="str">
        <x:v>صف بررسی رسیدها</x:v>
      </x:c>
      <x:c r="C1851" s="53" t="str">
        <x:v>D21</x:v>
      </x:c>
      <x:c r="D1851" s="53" t="str">
        <x:v>1bfe3e9b9076ece14313b068bc35b4b58c247e5b9fbf0c8ac9d9161c5a1eab10</x:v>
      </x:c>
      <x:c r="E1851" s="53"/>
    </x:row>
    <x:row r="1852" ht="15" hidden="0" customHeight="1">
      <x:c r="A1852" s="53" t="str">
        <x:v>Anjoman accounting - refined.xlsx</x:v>
      </x:c>
      <x:c r="B1852" s="53" t="str">
        <x:v>صف بررسی رسیدها</x:v>
      </x:c>
      <x:c r="C1852" s="53" t="str">
        <x:v>E21</x:v>
      </x:c>
      <x:c r="D1852" s="53" t="str">
        <x:v>1280x714</x:v>
      </x:c>
      <x:c r="E1852" s="53"/>
    </x:row>
    <x:row r="1853" ht="15" hidden="0" customHeight="1">
      <x:c r="A1853" s="53" t="str">
        <x:v>Anjoman accounting - refined.xlsx</x:v>
      </x:c>
      <x:c r="B1853" s="53" t="str">
        <x:v>صف بررسی رسیدها</x:v>
      </x:c>
      <x:c r="C1853" s="53" t="str">
        <x:v>F21</x:v>
      </x:c>
      <x:c r="D1853" s="53" t="str">
        <x:v>نیازمند ورود دستی</x:v>
      </x:c>
      <x:c r="E1853" s="53"/>
    </x:row>
    <x:row r="1854" ht="15" hidden="0" customHeight="1">
      <x:c r="A1854" s="53" t="str">
        <x:v>Anjoman accounting - refined.xlsx</x:v>
      </x:c>
      <x:c r="B1854" s="53" t="str">
        <x:v>صف بررسی رسیدها</x:v>
      </x:c>
      <x:c r="C1854" s="53" t="str">
        <x:v>K21</x:v>
      </x:c>
      <x:c r="D1854" s="53" t="str">
        <x:v>ثبت مبلغ/تاریخ/طرف حساب و بررسی تکراری بودن</x:v>
      </x:c>
      <x:c r="E1854" s="53"/>
    </x:row>
    <x:row r="1855" ht="15" hidden="0" customHeight="1">
      <x:c r="A1855" s="53" t="str">
        <x:v>Anjoman accounting - refined.xlsx</x:v>
      </x:c>
      <x:c r="B1855" s="53" t="str">
        <x:v>صف بررسی رسیدها</x:v>
      </x:c>
      <x:c r="C1855" s="53" t="str">
        <x:v>A22</x:v>
      </x:c>
      <x:c r="D1855" s="53" t="str">
        <x:v>RV-019</x:v>
      </x:c>
      <x:c r="E1855" s="53"/>
    </x:row>
    <x:row r="1856" ht="15" hidden="0" customHeight="1">
      <x:c r="A1856" s="53" t="str">
        <x:v>Anjoman accounting - refined.xlsx</x:v>
      </x:c>
      <x:c r="B1856" s="53" t="str">
        <x:v>صف بررسی رسیدها</x:v>
      </x:c>
      <x:c r="C1856" s="53" t="str">
        <x:v>B22</x:v>
      </x:c>
      <x:c r="D1856" s="53" t="str">
        <x:v>recipts\photo_8_2026-10-10_11-09-04.jpg</x:v>
      </x:c>
      <x:c r="E1856" s="53"/>
    </x:row>
    <x:row r="1857" ht="15" hidden="0" customHeight="1">
      <x:c r="A1857" s="53" t="str">
        <x:v>Anjoman accounting - refined.xlsx</x:v>
      </x:c>
      <x:c r="B1857" s="53" t="str">
        <x:v>صف بررسی رسیدها</x:v>
      </x:c>
      <x:c r="C1857" s="53" t="str">
        <x:v>C22</x:v>
      </x:c>
      <x:c r="D1857" s="53" t="str">
        <x:v>48893</x:v>
      </x:c>
      <x:c r="E1857" s="53"/>
    </x:row>
    <x:row r="1858" ht="15" hidden="0" customHeight="1">
      <x:c r="A1858" s="53" t="str">
        <x:v>Anjoman accounting - refined.xlsx</x:v>
      </x:c>
      <x:c r="B1858" s="53" t="str">
        <x:v>صف بررسی رسیدها</x:v>
      </x:c>
      <x:c r="C1858" s="53" t="str">
        <x:v>D22</x:v>
      </x:c>
      <x:c r="D1858" s="53" t="str">
        <x:v>75fee797d13ddb85ea935721b36fb145c6c9fe6b2ea11406f10a551c57acac32</x:v>
      </x:c>
      <x:c r="E1858" s="53"/>
    </x:row>
    <x:row r="1859" ht="15" hidden="0" customHeight="1">
      <x:c r="A1859" s="53" t="str">
        <x:v>Anjoman accounting - refined.xlsx</x:v>
      </x:c>
      <x:c r="B1859" s="53" t="str">
        <x:v>صف بررسی رسیدها</x:v>
      </x:c>
      <x:c r="C1859" s="53" t="str">
        <x:v>E22</x:v>
      </x:c>
      <x:c r="D1859" s="53" t="str">
        <x:v>1200x1145</x:v>
      </x:c>
      <x:c r="E1859" s="53"/>
    </x:row>
    <x:row r="1860" ht="15" hidden="0" customHeight="1">
      <x:c r="A1860" s="53" t="str">
        <x:v>Anjoman accounting - refined.xlsx</x:v>
      </x:c>
      <x:c r="B1860" s="53" t="str">
        <x:v>صف بررسی رسیدها</x:v>
      </x:c>
      <x:c r="C1860" s="53" t="str">
        <x:v>F22</x:v>
      </x:c>
      <x:c r="D1860" s="53" t="str">
        <x:v>نیازمند ورود دستی</x:v>
      </x:c>
      <x:c r="E1860" s="53"/>
    </x:row>
    <x:row r="1861" ht="15" hidden="0" customHeight="1">
      <x:c r="A1861" s="53" t="str">
        <x:v>Anjoman accounting - refined.xlsx</x:v>
      </x:c>
      <x:c r="B1861" s="53" t="str">
        <x:v>صف بررسی رسیدها</x:v>
      </x:c>
      <x:c r="C1861" s="53" t="str">
        <x:v>K22</x:v>
      </x:c>
      <x:c r="D1861" s="53" t="str">
        <x:v>ثبت مبلغ/تاریخ/طرف حساب و بررسی تکراری بودن</x:v>
      </x:c>
      <x:c r="E1861" s="53"/>
    </x:row>
    <x:row r="1862" ht="15" hidden="0" customHeight="1">
      <x:c r="A1862" s="53" t="str">
        <x:v>Anjoman accounting - refined.xlsx</x:v>
      </x:c>
      <x:c r="B1862" s="53" t="str">
        <x:v>صف بررسی رسیدها</x:v>
      </x:c>
      <x:c r="C1862" s="53" t="str">
        <x:v>A23</x:v>
      </x:c>
      <x:c r="D1862" s="53" t="str">
        <x:v>RV-020</x:v>
      </x:c>
      <x:c r="E1862" s="53"/>
    </x:row>
    <x:row r="1863" ht="15" hidden="0" customHeight="1">
      <x:c r="A1863" s="53" t="str">
        <x:v>Anjoman accounting - refined.xlsx</x:v>
      </x:c>
      <x:c r="B1863" s="53" t="str">
        <x:v>صف بررسی رسیدها</x:v>
      </x:c>
      <x:c r="C1863" s="53" t="str">
        <x:v>B23</x:v>
      </x:c>
      <x:c r="D1863" s="53" t="str">
        <x:v>recipts\photo_8_2026-10-10_14-07-27.jpg</x:v>
      </x:c>
      <x:c r="E1863" s="53"/>
    </x:row>
    <x:row r="1864" ht="15" hidden="0" customHeight="1">
      <x:c r="A1864" s="53" t="str">
        <x:v>Anjoman accounting - refined.xlsx</x:v>
      </x:c>
      <x:c r="B1864" s="53" t="str">
        <x:v>صف بررسی رسیدها</x:v>
      </x:c>
      <x:c r="C1864" s="53" t="str">
        <x:v>C23</x:v>
      </x:c>
      <x:c r="D1864" s="53" t="str">
        <x:v>39907</x:v>
      </x:c>
      <x:c r="E1864" s="53"/>
    </x:row>
    <x:row r="1865" ht="15" hidden="0" customHeight="1">
      <x:c r="A1865" s="53" t="str">
        <x:v>Anjoman accounting - refined.xlsx</x:v>
      </x:c>
      <x:c r="B1865" s="53" t="str">
        <x:v>صف بررسی رسیدها</x:v>
      </x:c>
      <x:c r="C1865" s="53" t="str">
        <x:v>D23</x:v>
      </x:c>
      <x:c r="D1865" s="53" t="str">
        <x:v>ae9fe7eccdae6bf86a1de9ecb8dc330494dec3835c76a1f55a0dd695297689b8</x:v>
      </x:c>
      <x:c r="E1865" s="53"/>
    </x:row>
    <x:row r="1866" ht="15" hidden="0" customHeight="1">
      <x:c r="A1866" s="53" t="str">
        <x:v>Anjoman accounting - refined.xlsx</x:v>
      </x:c>
      <x:c r="B1866" s="53" t="str">
        <x:v>صف بررسی رسیدها</x:v>
      </x:c>
      <x:c r="C1866" s="53" t="str">
        <x:v>E23</x:v>
      </x:c>
      <x:c r="D1866" s="53" t="str">
        <x:v>1280x714</x:v>
      </x:c>
      <x:c r="E1866" s="53"/>
    </x:row>
    <x:row r="1867" ht="15" hidden="0" customHeight="1">
      <x:c r="A1867" s="53" t="str">
        <x:v>Anjoman accounting - refined.xlsx</x:v>
      </x:c>
      <x:c r="B1867" s="53" t="str">
        <x:v>صف بررسی رسیدها</x:v>
      </x:c>
      <x:c r="C1867" s="53" t="str">
        <x:v>F23</x:v>
      </x:c>
      <x:c r="D1867" s="53" t="str">
        <x:v>نیازمند ورود دستی</x:v>
      </x:c>
      <x:c r="E1867" s="53"/>
    </x:row>
    <x:row r="1868" ht="15" hidden="0" customHeight="1">
      <x:c r="A1868" s="53" t="str">
        <x:v>Anjoman accounting - refined.xlsx</x:v>
      </x:c>
      <x:c r="B1868" s="53" t="str">
        <x:v>صف بررسی رسیدها</x:v>
      </x:c>
      <x:c r="C1868" s="53" t="str">
        <x:v>K23</x:v>
      </x:c>
      <x:c r="D1868" s="53" t="str">
        <x:v>ثبت مبلغ/تاریخ/طرف حساب و بررسی تکراری بودن</x:v>
      </x:c>
      <x:c r="E1868" s="53"/>
    </x:row>
    <x:row r="1869" ht="15" hidden="0" customHeight="1">
      <x:c r="A1869" s="53" t="str">
        <x:v>Anjoman accounting - refined.xlsx</x:v>
      </x:c>
      <x:c r="B1869" s="53" t="str">
        <x:v>خام_تلگرام</x:v>
      </x:c>
      <x:c r="C1869" s="53" t="str">
        <x:v>A1</x:v>
      </x:c>
      <x:c r="D1869" s="53" t="str">
        <x:v>خام پیام‌های تلگرام</x:v>
      </x:c>
      <x:c r="E1869" s="53"/>
    </x:row>
    <x:row r="1870" ht="15" hidden="0" customHeight="1">
      <x:c r="A1870" s="53" t="str">
        <x:v>Anjoman accounting - refined.xlsx</x:v>
      </x:c>
      <x:c r="B1870" s="53" t="str">
        <x:v>خام_تلگرام</x:v>
      </x:c>
      <x:c r="C1870" s="53" t="str">
        <x:v>A2</x:v>
      </x:c>
      <x:c r="D1870" s="53" t="str">
        <x:v>نسخه refined | واحد گزارش: تومان | مبالغ نامطمئن در صف بررسی از جمع تاییدشده حذف می‌شوند.</x:v>
      </x:c>
      <x:c r="E1870" s="53"/>
    </x:row>
    <x:row r="1871" ht="15" hidden="0" customHeight="1">
      <x:c r="A1871" s="53" t="str">
        <x:v>Anjoman accounting - refined.xlsx</x:v>
      </x:c>
      <x:c r="B1871" s="53" t="str">
        <x:v>خام_تلگرام</x:v>
      </x:c>
      <x:c r="C1871" s="53" t="str">
        <x:v>A3</x:v>
      </x:c>
      <x:c r="D1871" s="53" t="str">
        <x:v>شناسه پیام</x:v>
      </x:c>
      <x:c r="E1871" s="53"/>
    </x:row>
    <x:row r="1872" ht="15" hidden="0" customHeight="1">
      <x:c r="A1872" s="53" t="str">
        <x:v>Anjoman accounting - refined.xlsx</x:v>
      </x:c>
      <x:c r="B1872" s="53" t="str">
        <x:v>خام_تلگرام</x:v>
      </x:c>
      <x:c r="C1872" s="53" t="str">
        <x:v>B3</x:v>
      </x:c>
      <x:c r="D1872" s="53" t="str">
        <x:v>تاریخ منبع</x:v>
      </x:c>
      <x:c r="E1872" s="53"/>
    </x:row>
    <x:row r="1873" ht="15" hidden="0" customHeight="1">
      <x:c r="A1873" s="53" t="str">
        <x:v>Anjoman accounting - refined.xlsx</x:v>
      </x:c>
      <x:c r="B1873" s="53" t="str">
        <x:v>خام_تلگرام</x:v>
      </x:c>
      <x:c r="C1873" s="53" t="str">
        <x:v>C3</x:v>
      </x:c>
      <x:c r="D1873" s="53" t="str">
        <x:v>فرستنده</x:v>
      </x:c>
      <x:c r="E1873" s="53"/>
    </x:row>
    <x:row r="1874" ht="15" hidden="0" customHeight="1">
      <x:c r="A1874" s="53" t="str">
        <x:v>Anjoman accounting - refined.xlsx</x:v>
      </x:c>
      <x:c r="B1874" s="53" t="str">
        <x:v>خام_تلگرام</x:v>
      </x:c>
      <x:c r="C1874" s="53" t="str">
        <x:v>D3</x:v>
      </x:c>
      <x:c r="D1874" s="53" t="str">
        <x:v>متن</x:v>
      </x:c>
      <x:c r="E1874" s="53"/>
    </x:row>
    <x:row r="1875" ht="15" hidden="0" customHeight="1">
      <x:c r="A1875" s="53" t="str">
        <x:v>Anjoman accounting - refined.xlsx</x:v>
      </x:c>
      <x:c r="B1875" s="53" t="str">
        <x:v>خام_تلگرام</x:v>
      </x:c>
      <x:c r="C1875" s="53" t="str">
        <x:v>E3</x:v>
      </x:c>
      <x:c r="D1875" s="53" t="str">
        <x:v>پیوندها</x:v>
      </x:c>
      <x:c r="E1875" s="53"/>
    </x:row>
    <x:row r="1876" ht="15" hidden="0" customHeight="1">
      <x:c r="A1876" s="53" t="str">
        <x:v>Anjoman accounting - refined.xlsx</x:v>
      </x:c>
      <x:c r="B1876" s="53" t="str">
        <x:v>خام_تلگرام</x:v>
      </x:c>
      <x:c r="C1876" s="53" t="str">
        <x:v>A4</x:v>
      </x:c>
      <x:c r="D1876" s="53" t="str">
        <x:v>message-1</x:v>
      </x:c>
      <x:c r="E1876" s="53"/>
    </x:row>
    <x:row r="1877" ht="15" hidden="0" customHeight="1">
      <x:c r="A1877" s="53" t="str">
        <x:v>Anjoman accounting - refined.xlsx</x:v>
      </x:c>
      <x:c r="B1877" s="53" t="str">
        <x:v>خام_تلگرام</x:v>
      </x:c>
      <x:c r="C1877" s="53" t="str">
        <x:v>D4</x:v>
      </x:c>
      <x:c r="D1877" s="53" t="str">
        <x:v>24 July 2025</x:v>
      </x:c>
      <x:c r="E1877" s="53"/>
    </x:row>
    <x:row r="1878" ht="15" hidden="0" customHeight="1">
      <x:c r="A1878" s="53" t="str">
        <x:v>Anjoman accounting - refined.xlsx</x:v>
      </x:c>
      <x:c r="B1878" s="53" t="str">
        <x:v>خام_تلگرام</x:v>
      </x:c>
      <x:c r="C1878" s="53" t="str">
        <x:v>A5</x:v>
      </x:c>
      <x:c r="D1878" s="53" t="str">
        <x:v>message1</x:v>
      </x:c>
      <x:c r="E1878" s="53"/>
    </x:row>
    <x:row r="1879" ht="15" hidden="0" customHeight="1">
      <x:c r="A1879" s="53" t="str">
        <x:v>Anjoman accounting - refined.xlsx</x:v>
      </x:c>
      <x:c r="B1879" s="53" t="str">
        <x:v>خام_تلگرام</x:v>
      </x:c>
      <x:c r="C1879" s="53" t="str">
        <x:v>D5</x:v>
      </x:c>
      <x:c r="D1879" s="53" t="str">
        <x:v>Anjoman 404_accounting converted a basic group to this supergroup «Anjoman 404_accounting»</x:v>
      </x:c>
      <x:c r="E1879" s="53"/>
    </x:row>
    <x:row r="1880" ht="15" hidden="0" customHeight="1">
      <x:c r="A1880" s="53" t="str">
        <x:v>Anjoman accounting - refined.xlsx</x:v>
      </x:c>
      <x:c r="B1880" s="53" t="str">
        <x:v>خام_تلگرام</x:v>
      </x:c>
      <x:c r="C1880" s="53" t="str">
        <x:v>A6</x:v>
      </x:c>
      <x:c r="D1880" s="53" t="str">
        <x:v>message5</x:v>
      </x:c>
      <x:c r="E1880" s="53"/>
    </x:row>
    <x:row r="1881" ht="15" hidden="0" customHeight="1">
      <x:c r="A1881" s="53" t="str">
        <x:v>Anjoman accounting - refined.xlsx</x:v>
      </x:c>
      <x:c r="B1881" s="53" t="str">
        <x:v>خام_تلگرام</x:v>
      </x:c>
      <x:c r="C1881" s="53" t="str">
        <x:v>B6</x:v>
      </x:c>
      <x:c r="D1881" s="53" t="str">
        <x:v>24.07.2025 20:46:34 UTC+03:30</x:v>
      </x:c>
      <x:c r="E1881" s="53"/>
    </x:row>
    <x:row r="1882" ht="15" hidden="0" customHeight="1">
      <x:c r="A1882" s="53" t="str">
        <x:v>Anjoman accounting - refined.xlsx</x:v>
      </x:c>
      <x:c r="B1882" s="53" t="str">
        <x:v>خام_تلگرام</x:v>
      </x:c>
      <x:c r="C1882" s="53" t="str">
        <x:v>C6</x:v>
      </x:c>
      <x:c r="D1882" s="53" t="str">
        <x:v>امین عزیزی</x:v>
      </x:c>
      <x:c r="E1882" s="53"/>
    </x:row>
    <x:row r="1883" ht="15" hidden="0" customHeight="1">
      <x:c r="A1883" s="53" t="str">
        <x:v>Anjoman accounting - refined.xlsx</x:v>
      </x:c>
      <x:c r="B1883" s="53" t="str">
        <x:v>خام_تلگرام</x:v>
      </x:c>
      <x:c r="C1883" s="53" t="str">
        <x:v>D6</x:v>
      </x:c>
      <x:c r="D1883" s="53" t="str">
        <x:v>ا 20:46 امین عزیزی Animation Not included, change data exporting settings to download. 198.3 KB</x:v>
      </x:c>
      <x:c r="E1883" s="53"/>
    </x:row>
    <x:row r="1884" ht="15" hidden="0" customHeight="1">
      <x:c r="A1884" s="53" t="str">
        <x:v>Anjoman accounting - refined.xlsx</x:v>
      </x:c>
      <x:c r="B1884" s="53" t="str">
        <x:v>خام_تلگرام</x:v>
      </x:c>
      <x:c r="C1884" s="53" t="str">
        <x:v>A7</x:v>
      </x:c>
      <x:c r="D1884" s="53" t="str">
        <x:v>message6</x:v>
      </x:c>
      <x:c r="E1884" s="53"/>
    </x:row>
    <x:row r="1885" ht="15" hidden="0" customHeight="1">
      <x:c r="A1885" s="53" t="str">
        <x:v>Anjoman accounting - refined.xlsx</x:v>
      </x:c>
      <x:c r="B1885" s="53" t="str">
        <x:v>خام_تلگرام</x:v>
      </x:c>
      <x:c r="C1885" s="53" t="str">
        <x:v>B7</x:v>
      </x:c>
      <x:c r="D1885" s="53" t="str">
        <x:v>24.07.2025 20:47:03 UTC+03:30</x:v>
      </x:c>
      <x:c r="E1885" s="53"/>
    </x:row>
    <x:row r="1886" ht="15" hidden="0" customHeight="1">
      <x:c r="A1886" s="53" t="str">
        <x:v>Anjoman accounting - refined.xlsx</x:v>
      </x:c>
      <x:c r="B1886" s="53" t="str">
        <x:v>خام_تلگرام</x:v>
      </x:c>
      <x:c r="C1886" s="53" t="str">
        <x:v>C7</x:v>
      </x:c>
      <x:c r="D1886" s="53" t="str">
        <x:v>Deleted Account</x:v>
      </x:c>
      <x:c r="E1886" s="53"/>
    </x:row>
    <x:row r="1887" ht="15" hidden="0" customHeight="1">
      <x:c r="A1887" s="53" t="str">
        <x:v>Anjoman accounting - refined.xlsx</x:v>
      </x:c>
      <x:c r="B1887" s="53" t="str">
        <x:v>خام_تلگرام</x:v>
      </x:c>
      <x:c r="C1887" s="53" t="str">
        <x:v>D7</x:v>
      </x:c>
      <x:c r="D1887" s="53" t="str">
        <x:v>20:47 Deleted Account report_Python.txt 6.2 KB</x:v>
      </x:c>
      <x:c r="E1887" s="53"/>
    </x:row>
    <x:row r="1888" ht="15" hidden="0" customHeight="1">
      <x:c r="A1888" s="53" t="str">
        <x:v>Anjoman accounting - refined.xlsx</x:v>
      </x:c>
      <x:c r="B1888" s="53" t="str">
        <x:v>خام_تلگرام</x:v>
      </x:c>
      <x:c r="C1888" s="53" t="str">
        <x:v>E7</x:v>
      </x:c>
      <x:c r="D1888" s="53" t="str">
        <x:v>files/report_Python.txt</x:v>
      </x:c>
      <x:c r="E1888" s="53"/>
    </x:row>
    <x:row r="1889" ht="15" hidden="0" customHeight="1">
      <x:c r="A1889" s="53" t="str">
        <x:v>Anjoman accounting - refined.xlsx</x:v>
      </x:c>
      <x:c r="B1889" s="53" t="str">
        <x:v>خام_تلگرام</x:v>
      </x:c>
      <x:c r="C1889" s="53" t="str">
        <x:v>A8</x:v>
      </x:c>
      <x:c r="D1889" s="53" t="str">
        <x:v>message7</x:v>
      </x:c>
      <x:c r="E1889" s="53"/>
    </x:row>
    <x:row r="1890" ht="15" hidden="0" customHeight="1">
      <x:c r="A1890" s="53" t="str">
        <x:v>Anjoman accounting - refined.xlsx</x:v>
      </x:c>
      <x:c r="B1890" s="53" t="str">
        <x:v>خام_تلگرام</x:v>
      </x:c>
      <x:c r="C1890" s="53" t="str">
        <x:v>B8</x:v>
      </x:c>
      <x:c r="D1890" s="53" t="str">
        <x:v>24.07.2025 20:47:03 UTC+03:30</x:v>
      </x:c>
      <x:c r="E1890" s="53"/>
    </x:row>
    <x:row r="1891" ht="15" hidden="0" customHeight="1">
      <x:c r="A1891" s="53" t="str">
        <x:v>Anjoman accounting - refined.xlsx</x:v>
      </x:c>
      <x:c r="B1891" s="53" t="str">
        <x:v>خام_تلگرام</x:v>
      </x:c>
      <x:c r="C1891" s="53" t="str">
        <x:v>D8</x:v>
      </x:c>
      <x:c r="D1891" s="53" t="str">
        <x:v>20:47 report_LaTeX.txt 6.7 KB</x:v>
      </x:c>
      <x:c r="E1891" s="53"/>
    </x:row>
    <x:row r="1892" ht="15" hidden="0" customHeight="1">
      <x:c r="A1892" s="53" t="str">
        <x:v>Anjoman accounting - refined.xlsx</x:v>
      </x:c>
      <x:c r="B1892" s="53" t="str">
        <x:v>خام_تلگرام</x:v>
      </x:c>
      <x:c r="C1892" s="53" t="str">
        <x:v>E8</x:v>
      </x:c>
      <x:c r="D1892" s="53" t="str">
        <x:v>files/report_LaTeX.txt</x:v>
      </x:c>
      <x:c r="E1892" s="53"/>
    </x:row>
    <x:row r="1893" ht="15" hidden="0" customHeight="1">
      <x:c r="A1893" s="53" t="str">
        <x:v>Anjoman accounting - refined.xlsx</x:v>
      </x:c>
      <x:c r="B1893" s="53" t="str">
        <x:v>خام_تلگرام</x:v>
      </x:c>
      <x:c r="C1893" s="53" t="str">
        <x:v>A9</x:v>
      </x:c>
      <x:c r="D1893" s="53" t="str">
        <x:v>message8</x:v>
      </x:c>
      <x:c r="E1893" s="53"/>
    </x:row>
    <x:row r="1894" ht="15" hidden="0" customHeight="1">
      <x:c r="A1894" s="53" t="str">
        <x:v>Anjoman accounting - refined.xlsx</x:v>
      </x:c>
      <x:c r="B1894" s="53" t="str">
        <x:v>خام_تلگرام</x:v>
      </x:c>
      <x:c r="C1894" s="53" t="str">
        <x:v>B9</x:v>
      </x:c>
      <x:c r="D1894" s="53" t="str">
        <x:v>24.07.2025 20:47:03 UTC+03:30</x:v>
      </x:c>
      <x:c r="E1894" s="53"/>
    </x:row>
    <x:row r="1895" ht="15" hidden="0" customHeight="1">
      <x:c r="A1895" s="53" t="str">
        <x:v>Anjoman accounting - refined.xlsx</x:v>
      </x:c>
      <x:c r="B1895" s="53" t="str">
        <x:v>خام_تلگرام</x:v>
      </x:c>
      <x:c r="C1895" s="53" t="str">
        <x:v>D9</x:v>
      </x:c>
      <x:c r="D1895" s="53" t="str">
        <x:v>20:47 report_Mathematica.txt 5.6 KB</x:v>
      </x:c>
      <x:c r="E1895" s="53"/>
    </x:row>
    <x:row r="1896" ht="15" hidden="0" customHeight="1">
      <x:c r="A1896" s="53" t="str">
        <x:v>Anjoman accounting - refined.xlsx</x:v>
      </x:c>
      <x:c r="B1896" s="53" t="str">
        <x:v>خام_تلگرام</x:v>
      </x:c>
      <x:c r="C1896" s="53" t="str">
        <x:v>E9</x:v>
      </x:c>
      <x:c r="D1896" s="53" t="str">
        <x:v>files/report_Mathematica.txt</x:v>
      </x:c>
      <x:c r="E1896" s="53"/>
    </x:row>
    <x:row r="1897" ht="15" hidden="0" customHeight="1">
      <x:c r="A1897" s="53" t="str">
        <x:v>Anjoman accounting - refined.xlsx</x:v>
      </x:c>
      <x:c r="B1897" s="53" t="str">
        <x:v>خام_تلگرام</x:v>
      </x:c>
      <x:c r="C1897" s="53" t="str">
        <x:v>A10</x:v>
      </x:c>
      <x:c r="D1897" s="53" t="str">
        <x:v>message9</x:v>
      </x:c>
      <x:c r="E1897" s="53"/>
    </x:row>
    <x:row r="1898" ht="15" hidden="0" customHeight="1">
      <x:c r="A1898" s="53" t="str">
        <x:v>Anjoman accounting - refined.xlsx</x:v>
      </x:c>
      <x:c r="B1898" s="53" t="str">
        <x:v>خام_تلگرام</x:v>
      </x:c>
      <x:c r="C1898" s="53" t="str">
        <x:v>B10</x:v>
      </x:c>
      <x:c r="D1898" s="53" t="str">
        <x:v>24.07.2025 20:47:07 UTC+03:30</x:v>
      </x:c>
      <x:c r="E1898" s="53"/>
    </x:row>
    <x:row r="1899" ht="15" hidden="0" customHeight="1">
      <x:c r="A1899" s="53" t="str">
        <x:v>Anjoman accounting - refined.xlsx</x:v>
      </x:c>
      <x:c r="B1899" s="53" t="str">
        <x:v>خام_تلگرام</x:v>
      </x:c>
      <x:c r="C1899" s="53" t="str">
        <x:v>D10</x:v>
      </x:c>
      <x:c r="D1899" s="53" t="str">
        <x:v>بنازم روحیه</x:v>
      </x:c>
      <x:c r="E1899" s="53"/>
    </x:row>
    <x:row r="1900" ht="15" hidden="0" customHeight="1">
      <x:c r="A1900" s="53" t="str">
        <x:v>Anjoman accounting - refined.xlsx</x:v>
      </x:c>
      <x:c r="B1900" s="53" t="str">
        <x:v>خام_تلگرام</x:v>
      </x:c>
      <x:c r="C1900" s="53" t="str">
        <x:v>A11</x:v>
      </x:c>
      <x:c r="D1900" s="53" t="str">
        <x:v>message10</x:v>
      </x:c>
      <x:c r="E1900" s="53"/>
    </x:row>
    <x:row r="1901" ht="15" hidden="0" customHeight="1">
      <x:c r="A1901" s="53" t="str">
        <x:v>Anjoman accounting - refined.xlsx</x:v>
      </x:c>
      <x:c r="B1901" s="53" t="str">
        <x:v>خام_تلگرام</x:v>
      </x:c>
      <x:c r="C1901" s="53" t="str">
        <x:v>B11</x:v>
      </x:c>
      <x:c r="D1901" s="53" t="str">
        <x:v>24.07.2025 20:47:12 UTC+03:30</x:v>
      </x:c>
      <x:c r="E1901" s="53"/>
    </x:row>
    <x:row r="1902" ht="15" hidden="0" customHeight="1">
      <x:c r="A1902" s="53" t="str">
        <x:v>Anjoman accounting - refined.xlsx</x:v>
      </x:c>
      <x:c r="B1902" s="53" t="str">
        <x:v>خام_تلگرام</x:v>
      </x:c>
      <x:c r="C1902" s="53" t="str">
        <x:v>D11</x:v>
      </x:c>
      <x:c r="D1902" s="53" t="str">
        <x:v>3480 جو</x:v>
      </x:c>
      <x:c r="E1902" s="53"/>
    </x:row>
    <x:row r="1903" ht="15" hidden="0" customHeight="1">
      <x:c r="A1903" s="53" t="str">
        <x:v>Anjoman accounting - refined.xlsx</x:v>
      </x:c>
      <x:c r="B1903" s="53" t="str">
        <x:v>خام_تلگرام</x:v>
      </x:c>
      <x:c r="C1903" s="53" t="str">
        <x:v>A12</x:v>
      </x:c>
      <x:c r="D1903" s="53" t="str">
        <x:v>message11</x:v>
      </x:c>
      <x:c r="E1903" s="53"/>
    </x:row>
    <x:row r="1904" ht="15" hidden="0" customHeight="1">
      <x:c r="A1904" s="53" t="str">
        <x:v>Anjoman accounting - refined.xlsx</x:v>
      </x:c>
      <x:c r="B1904" s="53" t="str">
        <x:v>خام_تلگرام</x:v>
      </x:c>
      <x:c r="C1904" s="53" t="str">
        <x:v>B12</x:v>
      </x:c>
      <x:c r="D1904" s="53" t="str">
        <x:v>24.07.2025 20:47:34 UTC+03:30</x:v>
      </x:c>
      <x:c r="E1904" s="53"/>
    </x:row>
    <x:row r="1905" ht="15" hidden="0" customHeight="1">
      <x:c r="A1905" s="53" t="str">
        <x:v>Anjoman accounting - refined.xlsx</x:v>
      </x:c>
      <x:c r="B1905" s="53" t="str">
        <x:v>خام_تلگرام</x:v>
      </x:c>
      <x:c r="C1905" s="53" t="str">
        <x:v>C12</x:v>
      </x:c>
      <x:c r="D1905" s="53" t="str">
        <x:v>امین عزیزی</x:v>
      </x:c>
      <x:c r="E1905" s="53"/>
    </x:row>
    <x:row r="1906" ht="15" hidden="0" customHeight="1">
      <x:c r="A1906" s="53" t="str">
        <x:v>Anjoman accounting - refined.xlsx</x:v>
      </x:c>
      <x:c r="B1906" s="53" t="str">
        <x:v>خام_تلگرام</x:v>
      </x:c>
      <x:c r="C1906" s="53" t="str">
        <x:v>D12</x:v>
      </x:c>
      <x:c r="D1906" s="53" t="str">
        <x:v>به هر مدرس چقدر میدیم؟</x:v>
      </x:c>
      <x:c r="E1906" s="53"/>
    </x:row>
    <x:row r="1907" ht="15" hidden="0" customHeight="1">
      <x:c r="A1907" s="53" t="str">
        <x:v>Anjoman accounting - refined.xlsx</x:v>
      </x:c>
      <x:c r="B1907" s="53" t="str">
        <x:v>خام_تلگرام</x:v>
      </x:c>
      <x:c r="C1907" s="53" t="str">
        <x:v>A13</x:v>
      </x:c>
      <x:c r="D1907" s="53" t="str">
        <x:v>message12</x:v>
      </x:c>
      <x:c r="E1907" s="53"/>
    </x:row>
    <x:row r="1908" ht="15" hidden="0" customHeight="1">
      <x:c r="A1908" s="53" t="str">
        <x:v>Anjoman accounting - refined.xlsx</x:v>
      </x:c>
      <x:c r="B1908" s="53" t="str">
        <x:v>خام_تلگرام</x:v>
      </x:c>
      <x:c r="C1908" s="53" t="str">
        <x:v>B13</x:v>
      </x:c>
      <x:c r="D1908" s="53" t="str">
        <x:v>24.07.2025 20:47:42 UTC+03:30</x:v>
      </x:c>
      <x:c r="E1908" s="53"/>
    </x:row>
    <x:row r="1909" ht="15" hidden="0" customHeight="1">
      <x:c r="A1909" s="53" t="str">
        <x:v>Anjoman accounting - refined.xlsx</x:v>
      </x:c>
      <x:c r="B1909" s="53" t="str">
        <x:v>خام_تلگرام</x:v>
      </x:c>
      <x:c r="C1909" s="53" t="str">
        <x:v>C13</x:v>
      </x:c>
      <x:c r="D1909" s="53" t="str">
        <x:v>Deleted Account</x:v>
      </x:c>
      <x:c r="E1909" s="53"/>
    </x:row>
    <x:row r="1910" ht="15" hidden="0" customHeight="1">
      <x:c r="A1910" s="53" t="str">
        <x:v>Anjoman accounting - refined.xlsx</x:v>
      </x:c>
      <x:c r="B1910" s="53" t="str">
        <x:v>خام_تلگرام</x:v>
      </x:c>
      <x:c r="C1910" s="53" t="str">
        <x:v>D13</x:v>
      </x:c>
      <x:c r="D1910" s="53" t="str">
        <x:v>2934 سهراب</x:v>
      </x:c>
      <x:c r="E1910" s="53"/>
    </x:row>
    <x:row r="1911" ht="15" hidden="0" customHeight="1">
      <x:c r="A1911" s="53" t="str">
        <x:v>Anjoman accounting - refined.xlsx</x:v>
      </x:c>
      <x:c r="B1911" s="53" t="str">
        <x:v>خام_تلگرام</x:v>
      </x:c>
      <x:c r="C1911" s="53" t="str">
        <x:v>A14</x:v>
      </x:c>
      <x:c r="D1911" s="53" t="str">
        <x:v>message13</x:v>
      </x:c>
      <x:c r="E1911" s="53"/>
    </x:row>
    <x:row r="1912" ht="15" hidden="0" customHeight="1">
      <x:c r="A1912" s="53" t="str">
        <x:v>Anjoman accounting - refined.xlsx</x:v>
      </x:c>
      <x:c r="B1912" s="53" t="str">
        <x:v>خام_تلگرام</x:v>
      </x:c>
      <x:c r="C1912" s="53" t="str">
        <x:v>B14</x:v>
      </x:c>
      <x:c r="D1912" s="53" t="str">
        <x:v>24.07.2025 20:48:09 UTC+03:30</x:v>
      </x:c>
      <x:c r="E1912" s="53"/>
    </x:row>
    <x:row r="1913" ht="15" hidden="0" customHeight="1">
      <x:c r="A1913" s="53" t="str">
        <x:v>Anjoman accounting - refined.xlsx</x:v>
      </x:c>
      <x:c r="B1913" s="53" t="str">
        <x:v>خام_تلگرام</x:v>
      </x:c>
      <x:c r="C1913" s="53" t="str">
        <x:v>D14</x:v>
      </x:c>
      <x:c r="D1913" s="53" t="str">
        <x:v>3678 متین</x:v>
      </x:c>
      <x:c r="E1913" s="53"/>
    </x:row>
    <x:row r="1914" ht="15" hidden="0" customHeight="1">
      <x:c r="A1914" s="53" t="str">
        <x:v>Anjoman accounting - refined.xlsx</x:v>
      </x:c>
      <x:c r="B1914" s="53" t="str">
        <x:v>خام_تلگرام</x:v>
      </x:c>
      <x:c r="C1914" s="53" t="str">
        <x:v>A15</x:v>
      </x:c>
      <x:c r="D1914" s="53" t="str">
        <x:v>message14</x:v>
      </x:c>
      <x:c r="E1914" s="53"/>
    </x:row>
    <x:row r="1915" ht="15" hidden="0" customHeight="1">
      <x:c r="A1915" s="53" t="str">
        <x:v>Anjoman accounting - refined.xlsx</x:v>
      </x:c>
      <x:c r="B1915" s="53" t="str">
        <x:v>خام_تلگرام</x:v>
      </x:c>
      <x:c r="C1915" s="53" t="str">
        <x:v>B15</x:v>
      </x:c>
      <x:c r="D1915" s="53" t="str">
        <x:v>24.07.2025 20:48:20 UTC+03:30</x:v>
      </x:c>
      <x:c r="E1915" s="53"/>
    </x:row>
    <x:row r="1916" ht="15" hidden="0" customHeight="1">
      <x:c r="A1916" s="53" t="str">
        <x:v>Anjoman accounting - refined.xlsx</x:v>
      </x:c>
      <x:c r="B1916" s="53" t="str">
        <x:v>خام_تلگرام</x:v>
      </x:c>
      <x:c r="C1916" s="53" t="str">
        <x:v>D15</x:v>
      </x:c>
      <x:c r="D1916" s="53" t="str">
        <x:v>همرو تا صد تومن گرد میکنیم</x:v>
      </x:c>
      <x:c r="E1916" s="53"/>
    </x:row>
    <x:row r="1917" ht="15" hidden="0" customHeight="1">
      <x:c r="A1917" s="53" t="str">
        <x:v>Anjoman accounting - refined.xlsx</x:v>
      </x:c>
      <x:c r="B1917" s="53" t="str">
        <x:v>خام_تلگرام</x:v>
      </x:c>
      <x:c r="C1917" s="53" t="str">
        <x:v>A16</x:v>
      </x:c>
      <x:c r="D1917" s="53" t="str">
        <x:v>message15</x:v>
      </x:c>
      <x:c r="E1917" s="53"/>
    </x:row>
    <x:row r="1918" ht="15" hidden="0" customHeight="1">
      <x:c r="A1918" s="53" t="str">
        <x:v>Anjoman accounting - refined.xlsx</x:v>
      </x:c>
      <x:c r="B1918" s="53" t="str">
        <x:v>خام_تلگرام</x:v>
      </x:c>
      <x:c r="C1918" s="53" t="str">
        <x:v>B16</x:v>
      </x:c>
      <x:c r="D1918" s="53" t="str">
        <x:v>24.07.2025 20:48:50 UTC+03:30</x:v>
      </x:c>
      <x:c r="E1918" s="53"/>
    </x:row>
    <x:row r="1919" ht="15" hidden="0" customHeight="1">
      <x:c r="A1919" s="53" t="str">
        <x:v>Anjoman accounting - refined.xlsx</x:v>
      </x:c>
      <x:c r="B1919" s="53" t="str">
        <x:v>خام_تلگرام</x:v>
      </x:c>
      <x:c r="C1919" s="53" t="str">
        <x:v>D16</x:v>
      </x:c>
      <x:c r="D1919" s="53" t="str">
        <x:v>از همین الان یه شیت تراز مالی با یه شیت حساب پرداختنی دریافتنی</x:v>
      </x:c>
      <x:c r="E1919" s="53"/>
    </x:row>
    <x:row r="1920" ht="15" hidden="0" customHeight="1">
      <x:c r="A1920" s="53" t="str">
        <x:v>Anjoman accounting - refined.xlsx</x:v>
      </x:c>
      <x:c r="B1920" s="53" t="str">
        <x:v>خام_تلگرام</x:v>
      </x:c>
      <x:c r="C1920" s="53" t="str">
        <x:v>A17</x:v>
      </x:c>
      <x:c r="D1920" s="53" t="str">
        <x:v>message16</x:v>
      </x:c>
      <x:c r="E1920" s="53"/>
    </x:row>
    <x:row r="1921" ht="15" hidden="0" customHeight="1">
      <x:c r="A1921" s="53" t="str">
        <x:v>Anjoman accounting - refined.xlsx</x:v>
      </x:c>
      <x:c r="B1921" s="53" t="str">
        <x:v>خام_تلگرام</x:v>
      </x:c>
      <x:c r="C1921" s="53" t="str">
        <x:v>B17</x:v>
      </x:c>
      <x:c r="D1921" s="53" t="str">
        <x:v>24.07.2025 20:48:53 UTC+03:30</x:v>
      </x:c>
      <x:c r="E1921" s="53"/>
    </x:row>
    <x:row r="1922" ht="15" hidden="0" customHeight="1">
      <x:c r="A1922" s="53" t="str">
        <x:v>Anjoman accounting - refined.xlsx</x:v>
      </x:c>
      <x:c r="B1922" s="53" t="str">
        <x:v>خام_تلگرام</x:v>
      </x:c>
      <x:c r="C1922" s="53" t="str">
        <x:v>D17</x:v>
      </x:c>
      <x:c r="D1922" s="53" t="str">
        <x:v>بزن تو کارش</x:v>
      </x:c>
      <x:c r="E1922" s="53"/>
    </x:row>
    <x:row r="1923" ht="15" hidden="0" customHeight="1">
      <x:c r="A1923" s="53" t="str">
        <x:v>Anjoman accounting - refined.xlsx</x:v>
      </x:c>
      <x:c r="B1923" s="53" t="str">
        <x:v>خام_تلگرام</x:v>
      </x:c>
      <x:c r="C1923" s="53" t="str">
        <x:v>A18</x:v>
      </x:c>
      <x:c r="D1923" s="53" t="str">
        <x:v>message17</x:v>
      </x:c>
      <x:c r="E1923" s="53"/>
    </x:row>
    <x:row r="1924" ht="15" hidden="0" customHeight="1">
      <x:c r="A1924" s="53" t="str">
        <x:v>Anjoman accounting - refined.xlsx</x:v>
      </x:c>
      <x:c r="B1924" s="53" t="str">
        <x:v>خام_تلگرام</x:v>
      </x:c>
      <x:c r="C1924" s="53" t="str">
        <x:v>B18</x:v>
      </x:c>
      <x:c r="D1924" s="53" t="str">
        <x:v>24.07.2025 20:49:04 UTC+03:30</x:v>
      </x:c>
      <x:c r="E1924" s="53"/>
    </x:row>
    <x:row r="1925" ht="15" hidden="0" customHeight="1">
      <x:c r="A1925" s="53" t="str">
        <x:v>Anjoman accounting - refined.xlsx</x:v>
      </x:c>
      <x:c r="B1925" s="53" t="str">
        <x:v>خام_تلگرام</x:v>
      </x:c>
      <x:c r="C1925" s="53" t="str">
        <x:v>D18</x:v>
      </x:c>
      <x:c r="D1925" s="53" t="str">
        <x:v>اینا رو بلدی</x:v>
      </x:c>
      <x:c r="E1925" s="53"/>
    </x:row>
    <x:row r="1926" ht="15" hidden="0" customHeight="1">
      <x:c r="A1926" s="53" t="str">
        <x:v>Anjoman accounting - refined.xlsx</x:v>
      </x:c>
      <x:c r="B1926" s="53" t="str">
        <x:v>خام_تلگرام</x:v>
      </x:c>
      <x:c r="C1926" s="53" t="str">
        <x:v>A19</x:v>
      </x:c>
      <x:c r="D1926" s="53" t="str">
        <x:v>message18</x:v>
      </x:c>
      <x:c r="E1926" s="53"/>
    </x:row>
    <x:row r="1927" ht="15" hidden="0" customHeight="1">
      <x:c r="A1927" s="53" t="str">
        <x:v>Anjoman accounting - refined.xlsx</x:v>
      </x:c>
      <x:c r="B1927" s="53" t="str">
        <x:v>خام_تلگرام</x:v>
      </x:c>
      <x:c r="C1927" s="53" t="str">
        <x:v>B19</x:v>
      </x:c>
      <x:c r="D1927" s="53" t="str">
        <x:v>24.07.2025 20:49:04 UTC+03:30</x:v>
      </x:c>
      <x:c r="E1927" s="53"/>
    </x:row>
    <x:row r="1928" ht="15" hidden="0" customHeight="1">
      <x:c r="A1928" s="53" t="str">
        <x:v>Anjoman accounting - refined.xlsx</x:v>
      </x:c>
      <x:c r="B1928" s="53" t="str">
        <x:v>خام_تلگرام</x:v>
      </x:c>
      <x:c r="C1928" s="53" t="str">
        <x:v>C19</x:v>
      </x:c>
      <x:c r="D1928" s="53" t="str">
        <x:v>امین عزیزی</x:v>
      </x:c>
      <x:c r="E1928" s="53"/>
    </x:row>
    <x:row r="1929" ht="15" hidden="0" customHeight="1">
      <x:c r="A1929" s="53" t="str">
        <x:v>Anjoman accounting - refined.xlsx</x:v>
      </x:c>
      <x:c r="B1929" s="53" t="str">
        <x:v>خام_تلگرام</x:v>
      </x:c>
      <x:c r="C1929" s="53" t="str">
        <x:v>D19</x:v>
      </x:c>
      <x:c r="D1929" s="53" t="str">
        <x:v>حله من برسم تهران که نت خوب داشته باشم(قبلاً اینجایی که هستم نت خوب بود) شیت درست میکنم</x:v>
      </x:c>
      <x:c r="E1929" s="53"/>
    </x:row>
    <x:row r="1930" ht="15" hidden="0" customHeight="1">
      <x:c r="A1930" s="53" t="str">
        <x:v>Anjoman accounting - refined.xlsx</x:v>
      </x:c>
      <x:c r="B1930" s="53" t="str">
        <x:v>خام_تلگرام</x:v>
      </x:c>
      <x:c r="C1930" s="53" t="str">
        <x:v>A20</x:v>
      </x:c>
      <x:c r="D1930" s="53" t="str">
        <x:v>message19</x:v>
      </x:c>
      <x:c r="E1930" s="53"/>
    </x:row>
    <x:row r="1931" ht="15" hidden="0" customHeight="1">
      <x:c r="A1931" s="53" t="str">
        <x:v>Anjoman accounting - refined.xlsx</x:v>
      </x:c>
      <x:c r="B1931" s="53" t="str">
        <x:v>خام_تلگرام</x:v>
      </x:c>
      <x:c r="C1931" s="53" t="str">
        <x:v>B20</x:v>
      </x:c>
      <x:c r="D1931" s="53" t="str">
        <x:v>24.07.2025 20:49:19 UTC+03:30</x:v>
      </x:c>
      <x:c r="E1931" s="53"/>
    </x:row>
    <x:row r="1932" ht="15" hidden="0" customHeight="1">
      <x:c r="A1932" s="53" t="str">
        <x:v>Anjoman accounting - refined.xlsx</x:v>
      </x:c>
      <x:c r="B1932" s="53" t="str">
        <x:v>خام_تلگرام</x:v>
      </x:c>
      <x:c r="C1932" s="53" t="str">
        <x:v>C20</x:v>
      </x:c>
      <x:c r="D1932" s="53" t="str">
        <x:v>Deleted Account</x:v>
      </x:c>
      <x:c r="E1932" s="53"/>
    </x:row>
    <x:row r="1933" ht="15" hidden="0" customHeight="1">
      <x:c r="A1933" s="53" t="str">
        <x:v>Anjoman accounting - refined.xlsx</x:v>
      </x:c>
      <x:c r="B1933" s="53" t="str">
        <x:v>خام_تلگرام</x:v>
      </x:c>
      <x:c r="C1933" s="53" t="str">
        <x:v>D20</x:v>
      </x:c>
      <x:c r="D1933" s="53" t="str">
        <x:v>اگه هم بلد نیستی باید به عنوان بیزنس من آینده یاد بگیری</x:v>
      </x:c>
      <x:c r="E1933" s="53"/>
    </x:row>
    <x:row r="1934" ht="15" hidden="0" customHeight="1">
      <x:c r="A1934" s="53" t="str">
        <x:v>Anjoman accounting - refined.xlsx</x:v>
      </x:c>
      <x:c r="B1934" s="53" t="str">
        <x:v>خام_تلگرام</x:v>
      </x:c>
      <x:c r="C1934" s="53" t="str">
        <x:v>A21</x:v>
      </x:c>
      <x:c r="D1934" s="53" t="str">
        <x:v>message20</x:v>
      </x:c>
      <x:c r="E1934" s="53"/>
    </x:row>
    <x:row r="1935" ht="15" hidden="0" customHeight="1">
      <x:c r="A1935" s="53" t="str">
        <x:v>Anjoman accounting - refined.xlsx</x:v>
      </x:c>
      <x:c r="B1935" s="53" t="str">
        <x:v>خام_تلگرام</x:v>
      </x:c>
      <x:c r="C1935" s="53" t="str">
        <x:v>B21</x:v>
      </x:c>
      <x:c r="D1935" s="53" t="str">
        <x:v>24.07.2025 20:49:23 UTC+03:30</x:v>
      </x:c>
      <x:c r="E1935" s="53"/>
    </x:row>
    <x:row r="1936" ht="15" hidden="0" customHeight="1">
      <x:c r="A1936" s="53" t="str">
        <x:v>Anjoman accounting - refined.xlsx</x:v>
      </x:c>
      <x:c r="B1936" s="53" t="str">
        <x:v>خام_تلگرام</x:v>
      </x:c>
      <x:c r="C1936" s="53" t="str">
        <x:v>D21</x:v>
      </x:c>
      <x:c r="D1936" s="53" t="str">
        <x:v>بنازم</x:v>
      </x:c>
      <x:c r="E1936" s="53"/>
    </x:row>
    <x:row r="1937" ht="15" hidden="0" customHeight="1">
      <x:c r="A1937" s="53" t="str">
        <x:v>Anjoman accounting - refined.xlsx</x:v>
      </x:c>
      <x:c r="B1937" s="53" t="str">
        <x:v>خام_تلگرام</x:v>
      </x:c>
      <x:c r="C1937" s="53" t="str">
        <x:v>A22</x:v>
      </x:c>
      <x:c r="D1937" s="53" t="str">
        <x:v>message21</x:v>
      </x:c>
      <x:c r="E1937" s="53"/>
    </x:row>
    <x:row r="1938" ht="15" hidden="0" customHeight="1">
      <x:c r="A1938" s="53" t="str">
        <x:v>Anjoman accounting - refined.xlsx</x:v>
      </x:c>
      <x:c r="B1938" s="53" t="str">
        <x:v>خام_تلگرام</x:v>
      </x:c>
      <x:c r="C1938" s="53" t="str">
        <x:v>B22</x:v>
      </x:c>
      <x:c r="D1938" s="53" t="str">
        <x:v>24.07.2025 20:49:47 UTC+03:30</x:v>
      </x:c>
      <x:c r="E1938" s="53"/>
    </x:row>
    <x:row r="1939" ht="15" hidden="0" customHeight="1">
      <x:c r="A1939" s="53" t="str">
        <x:v>Anjoman accounting - refined.xlsx</x:v>
      </x:c>
      <x:c r="B1939" s="53" t="str">
        <x:v>خام_تلگرام</x:v>
      </x:c>
      <x:c r="C1939" s="53" t="str">
        <x:v>C22</x:v>
      </x:c>
      <x:c r="D1939" s="53" t="str">
        <x:v>امین عزیزی</x:v>
      </x:c>
      <x:c r="E1939" s="53"/>
    </x:row>
    <x:row r="1940" ht="15" hidden="0" customHeight="1">
      <x:c r="A1940" s="53" t="str">
        <x:v>Anjoman accounting - refined.xlsx</x:v>
      </x:c>
      <x:c r="B1940" s="53" t="str">
        <x:v>خام_تلگرام</x:v>
      </x:c>
      <x:c r="C1940" s="53" t="str">
        <x:v>D22</x:v>
      </x:c>
      <x:c r="D1940" s="53" t="str">
        <x:v>یاد گرفتنش کار سی چهل ثانیه‌ست 👌👌</x:v>
      </x:c>
      <x:c r="E1940" s="53"/>
    </x:row>
    <x:row r="1941" ht="15" hidden="0" customHeight="1">
      <x:c r="A1941" s="53" t="str">
        <x:v>Anjoman accounting - refined.xlsx</x:v>
      </x:c>
      <x:c r="B1941" s="53" t="str">
        <x:v>خام_تلگرام</x:v>
      </x:c>
      <x:c r="C1941" s="53" t="str">
        <x:v>A23</x:v>
      </x:c>
      <x:c r="D1941" s="53" t="str">
        <x:v>message22</x:v>
      </x:c>
      <x:c r="E1941" s="53"/>
    </x:row>
    <x:row r="1942" ht="15" hidden="0" customHeight="1">
      <x:c r="A1942" s="53" t="str">
        <x:v>Anjoman accounting - refined.xlsx</x:v>
      </x:c>
      <x:c r="B1942" s="53" t="str">
        <x:v>خام_تلگرام</x:v>
      </x:c>
      <x:c r="C1942" s="53" t="str">
        <x:v>B23</x:v>
      </x:c>
      <x:c r="D1942" s="53" t="str">
        <x:v>24.07.2025 20:49:56 UTC+03:30</x:v>
      </x:c>
      <x:c r="E1942" s="53"/>
    </x:row>
    <x:row r="1943" ht="15" hidden="0" customHeight="1">
      <x:c r="A1943" s="53" t="str">
        <x:v>Anjoman accounting - refined.xlsx</x:v>
      </x:c>
      <x:c r="B1943" s="53" t="str">
        <x:v>خام_تلگرام</x:v>
      </x:c>
      <x:c r="C1943" s="53" t="str">
        <x:v>D23</x:v>
      </x:c>
      <x:c r="D1943" s="53" t="str">
        <x:v>دوتا دکمه میزنم یاد میگیرم</x:v>
      </x:c>
      <x:c r="E1943" s="53"/>
    </x:row>
    <x:row r="1944" ht="15" hidden="0" customHeight="1">
      <x:c r="A1944" s="53" t="str">
        <x:v>Anjoman accounting - refined.xlsx</x:v>
      </x:c>
      <x:c r="B1944" s="53" t="str">
        <x:v>خام_تلگرام</x:v>
      </x:c>
      <x:c r="C1944" s="53" t="str">
        <x:v>A24</x:v>
      </x:c>
      <x:c r="D1944" s="53" t="str">
        <x:v>message23</x:v>
      </x:c>
      <x:c r="E1944" s="53"/>
    </x:row>
    <x:row r="1945" ht="15" hidden="0" customHeight="1">
      <x:c r="A1945" s="53" t="str">
        <x:v>Anjoman accounting - refined.xlsx</x:v>
      </x:c>
      <x:c r="B1945" s="53" t="str">
        <x:v>خام_تلگرام</x:v>
      </x:c>
      <x:c r="C1945" s="53" t="str">
        <x:v>B24</x:v>
      </x:c>
      <x:c r="D1945" s="53" t="str">
        <x:v>24.07.2025 20:50:53 UTC+03:30</x:v>
      </x:c>
      <x:c r="E1945" s="53"/>
    </x:row>
    <x:row r="1946" ht="15" hidden="0" customHeight="1">
      <x:c r="A1946" s="53" t="str">
        <x:v>Anjoman accounting - refined.xlsx</x:v>
      </x:c>
      <x:c r="B1946" s="53" t="str">
        <x:v>خام_تلگرام</x:v>
      </x:c>
      <x:c r="C1946" s="53" t="str">
        <x:v>C24</x:v>
      </x:c>
      <x:c r="D1946" s="53" t="str">
        <x:v>Deleted Account</x:v>
      </x:c>
      <x:c r="E1946" s="53"/>
    </x:row>
    <x:row r="1947" ht="15" hidden="0" customHeight="1">
      <x:c r="A1947" s="53" t="str">
        <x:v>Anjoman accounting - refined.xlsx</x:v>
      </x:c>
      <x:c r="B1947" s="53" t="str">
        <x:v>خام_تلگرام</x:v>
      </x:c>
      <x:c r="C1947" s="53" t="str">
        <x:v>D24</x:v>
      </x:c>
      <x:c r="D1947" s="53" t="str">
        <x:v>بنازم</x:v>
      </x:c>
      <x:c r="E1947" s="53"/>
    </x:row>
    <x:row r="1948" ht="15" hidden="0" customHeight="1">
      <x:c r="A1948" s="53" t="str">
        <x:v>Anjoman accounting - refined.xlsx</x:v>
      </x:c>
      <x:c r="B1948" s="53" t="str">
        <x:v>خام_تلگرام</x:v>
      </x:c>
      <x:c r="C1948" s="53" t="str">
        <x:v>A25</x:v>
      </x:c>
      <x:c r="D1948" s="53" t="str">
        <x:v>message24</x:v>
      </x:c>
      <x:c r="E1948" s="53"/>
    </x:row>
    <x:row r="1949" ht="15" hidden="0" customHeight="1">
      <x:c r="A1949" s="53" t="str">
        <x:v>Anjoman accounting - refined.xlsx</x:v>
      </x:c>
      <x:c r="B1949" s="53" t="str">
        <x:v>خام_تلگرام</x:v>
      </x:c>
      <x:c r="C1949" s="53" t="str">
        <x:v>B25</x:v>
      </x:c>
      <x:c r="D1949" s="53" t="str">
        <x:v>24.07.2025 20:51:00 UTC+03:30</x:v>
      </x:c>
      <x:c r="E1949" s="53"/>
    </x:row>
    <x:row r="1950" ht="15" hidden="0" customHeight="1">
      <x:c r="A1950" s="53" t="str">
        <x:v>Anjoman accounting - refined.xlsx</x:v>
      </x:c>
      <x:c r="B1950" s="53" t="str">
        <x:v>خام_تلگرام</x:v>
      </x:c>
      <x:c r="C1950" s="53" t="str">
        <x:v>D25</x:v>
      </x:c>
      <x:c r="D1950" s="53" t="str">
        <x:v>20:51 Animation Not included, change data exporting settings to download. 217.2 KB</x:v>
      </x:c>
      <x:c r="E1950" s="53"/>
    </x:row>
    <x:row r="1951" ht="15" hidden="0" customHeight="1">
      <x:c r="A1951" s="53" t="str">
        <x:v>Anjoman accounting - refined.xlsx</x:v>
      </x:c>
      <x:c r="B1951" s="53" t="str">
        <x:v>خام_تلگرام</x:v>
      </x:c>
      <x:c r="C1951" s="53" t="str">
        <x:v>A26</x:v>
      </x:c>
      <x:c r="D1951" s="53" t="str">
        <x:v>message25</x:v>
      </x:c>
      <x:c r="E1951" s="53"/>
    </x:row>
    <x:row r="1952" ht="15" hidden="0" customHeight="1">
      <x:c r="A1952" s="53" t="str">
        <x:v>Anjoman accounting - refined.xlsx</x:v>
      </x:c>
      <x:c r="B1952" s="53" t="str">
        <x:v>خام_تلگرام</x:v>
      </x:c>
      <x:c r="C1952" s="53" t="str">
        <x:v>B26</x:v>
      </x:c>
      <x:c r="D1952" s="53" t="str">
        <x:v>24.07.2025 21:00:16 UTC+03:30</x:v>
      </x:c>
      <x:c r="E1952" s="53"/>
    </x:row>
    <x:row r="1953" ht="15" hidden="0" customHeight="1">
      <x:c r="A1953" s="53" t="str">
        <x:v>Anjoman accounting - refined.xlsx</x:v>
      </x:c>
      <x:c r="B1953" s="53" t="str">
        <x:v>خام_تلگرام</x:v>
      </x:c>
      <x:c r="C1953" s="53" t="str">
        <x:v>D26</x:v>
      </x:c>
      <x:c r="D1953" s="53" t="str">
        <x:v>واریزی کامل حق‌الزحمه مدرس متمتیکا مدرسه تابستانه</x:v>
      </x:c>
      <x:c r="E1953" s="53"/>
    </x:row>
    <x:row r="1954" ht="15" hidden="0" customHeight="1">
      <x:c r="A1954" s="53" t="str">
        <x:v>Anjoman accounting - refined.xlsx</x:v>
      </x:c>
      <x:c r="B1954" s="53" t="str">
        <x:v>خام_تلگرام</x:v>
      </x:c>
      <x:c r="C1954" s="53" t="str">
        <x:v>E26</x:v>
      </x:c>
      <x:c r="D1954" s="53" t="str">
        <x:v>photos/photo_1@24-07-2025_21-00-16.jpg</x:v>
      </x:c>
      <x:c r="E1954" s="53"/>
    </x:row>
    <x:row r="1955" ht="15" hidden="0" customHeight="1">
      <x:c r="A1955" s="53" t="str">
        <x:v>Anjoman accounting - refined.xlsx</x:v>
      </x:c>
      <x:c r="B1955" s="53" t="str">
        <x:v>خام_تلگرام</x:v>
      </x:c>
      <x:c r="C1955" s="53" t="str">
        <x:v>A27</x:v>
      </x:c>
      <x:c r="D1955" s="53" t="str">
        <x:v>message26</x:v>
      </x:c>
      <x:c r="E1955" s="53"/>
    </x:row>
    <x:row r="1956" ht="15" hidden="0" customHeight="1">
      <x:c r="A1956" s="53" t="str">
        <x:v>Anjoman accounting - refined.xlsx</x:v>
      </x:c>
      <x:c r="B1956" s="53" t="str">
        <x:v>خام_تلگرام</x:v>
      </x:c>
      <x:c r="C1956" s="53" t="str">
        <x:v>B27</x:v>
      </x:c>
      <x:c r="D1956" s="53" t="str">
        <x:v>24.07.2025 21:00:17 UTC+03:30</x:v>
      </x:c>
      <x:c r="E1956" s="53"/>
    </x:row>
    <x:row r="1957" ht="15" hidden="0" customHeight="1">
      <x:c r="A1957" s="53" t="str">
        <x:v>Anjoman accounting - refined.xlsx</x:v>
      </x:c>
      <x:c r="B1957" s="53" t="str">
        <x:v>خام_تلگرام</x:v>
      </x:c>
      <x:c r="C1957" s="53" t="str">
        <x:v>D27</x:v>
      </x:c>
      <x:c r="D1957" s="53" t="str">
        <x:v>واریزی و تسویه کامل حق‌الزحمه مدرس پایتون مدرسه تابستانه</x:v>
      </x:c>
      <x:c r="E1957" s="53"/>
    </x:row>
    <x:row r="1958" ht="15" hidden="0" customHeight="1">
      <x:c r="A1958" s="53" t="str">
        <x:v>Anjoman accounting - refined.xlsx</x:v>
      </x:c>
      <x:c r="B1958" s="53" t="str">
        <x:v>خام_تلگرام</x:v>
      </x:c>
      <x:c r="C1958" s="53" t="str">
        <x:v>E27</x:v>
      </x:c>
      <x:c r="D1958" s="53" t="str">
        <x:v>photos/photo_2@24-07-2025_21-00-17.jpg</x:v>
      </x:c>
      <x:c r="E1958" s="53"/>
    </x:row>
    <x:row r="1959" ht="15" hidden="0" customHeight="1">
      <x:c r="A1959" s="53" t="str">
        <x:v>Anjoman accounting - refined.xlsx</x:v>
      </x:c>
      <x:c r="B1959" s="53" t="str">
        <x:v>خام_تلگرام</x:v>
      </x:c>
      <x:c r="C1959" s="53" t="str">
        <x:v>A28</x:v>
      </x:c>
      <x:c r="D1959" s="53" t="str">
        <x:v>message27</x:v>
      </x:c>
      <x:c r="E1959" s="53"/>
    </x:row>
    <x:row r="1960" ht="15" hidden="0" customHeight="1">
      <x:c r="A1960" s="53" t="str">
        <x:v>Anjoman accounting - refined.xlsx</x:v>
      </x:c>
      <x:c r="B1960" s="53" t="str">
        <x:v>خام_تلگرام</x:v>
      </x:c>
      <x:c r="C1960" s="53" t="str">
        <x:v>B28</x:v>
      </x:c>
      <x:c r="D1960" s="53" t="str">
        <x:v>24.07.2025 21:02:51 UTC+03:30</x:v>
      </x:c>
      <x:c r="E1960" s="53"/>
    </x:row>
    <x:row r="1961" ht="15" hidden="0" customHeight="1">
      <x:c r="A1961" s="53" t="str">
        <x:v>Anjoman accounting - refined.xlsx</x:v>
      </x:c>
      <x:c r="B1961" s="53" t="str">
        <x:v>خام_تلگرام</x:v>
      </x:c>
      <x:c r="C1961" s="53" t="str">
        <x:v>D28</x:v>
      </x:c>
      <x:c r="D1961" s="53" t="str">
        <x:v>واریزی و تسویه کامل حق‌الزحمه مدرس لتک مدرسه تابستانه</x:v>
      </x:c>
      <x:c r="E1961" s="53"/>
    </x:row>
    <x:row r="1962" ht="15" hidden="0" customHeight="1">
      <x:c r="A1962" s="53" t="str">
        <x:v>Anjoman accounting - refined.xlsx</x:v>
      </x:c>
      <x:c r="B1962" s="53" t="str">
        <x:v>خام_تلگرام</x:v>
      </x:c>
      <x:c r="C1962" s="53" t="str">
        <x:v>E28</x:v>
      </x:c>
      <x:c r="D1962" s="53" t="str">
        <x:v>photos/photo_3@24-07-2025_21-02-51.jpg</x:v>
      </x:c>
      <x:c r="E1962" s="53"/>
    </x:row>
    <x:row r="1963" ht="15" hidden="0" customHeight="1">
      <x:c r="A1963" s="53" t="str">
        <x:v>Anjoman accounting - refined.xlsx</x:v>
      </x:c>
      <x:c r="B1963" s="53" t="str">
        <x:v>خام_تلگرام</x:v>
      </x:c>
      <x:c r="C1963" s="53" t="str">
        <x:v>A29</x:v>
      </x:c>
      <x:c r="D1963" s="53" t="str">
        <x:v>message28</x:v>
      </x:c>
      <x:c r="E1963" s="53"/>
    </x:row>
    <x:row r="1964" ht="15" hidden="0" customHeight="1">
      <x:c r="A1964" s="53" t="str">
        <x:v>Anjoman accounting - refined.xlsx</x:v>
      </x:c>
      <x:c r="B1964" s="53" t="str">
        <x:v>خام_تلگرام</x:v>
      </x:c>
      <x:c r="C1964" s="53" t="str">
        <x:v>B29</x:v>
      </x:c>
      <x:c r="D1964" s="53" t="str">
        <x:v>24.07.2025 21:02:54 UTC+03:30</x:v>
      </x:c>
      <x:c r="E1964" s="53"/>
    </x:row>
    <x:row r="1965" ht="15" hidden="0" customHeight="1">
      <x:c r="A1965" s="53" t="str">
        <x:v>Anjoman accounting - refined.xlsx</x:v>
      </x:c>
      <x:c r="B1965" s="53" t="str">
        <x:v>خام_تلگرام</x:v>
      </x:c>
      <x:c r="C1965" s="53" t="str">
        <x:v>D29</x:v>
      </x:c>
      <x:c r="D1965" s="53" t="str">
        <x:v>*بانک شهر* سرويس پرداخت لحظه اي (پل) برداشت از:400816808774 مبلغ:37,000,000ريال موجودي:230,203,965 ريال 1404/05/2 21:01:41</x:v>
      </x:c>
      <x:c r="E1965" s="53"/>
    </x:row>
    <x:row r="1966" ht="15" hidden="0" customHeight="1">
      <x:c r="A1966" s="53" t="str">
        <x:v>Anjoman accounting - refined.xlsx</x:v>
      </x:c>
      <x:c r="B1966" s="53" t="str">
        <x:v>خام_تلگرام</x:v>
      </x:c>
      <x:c r="C1966" s="53" t="str">
        <x:v>A30</x:v>
      </x:c>
      <x:c r="D1966" s="53" t="str">
        <x:v>message-2</x:v>
      </x:c>
      <x:c r="E1966" s="53"/>
    </x:row>
    <x:row r="1967" ht="15" hidden="0" customHeight="1">
      <x:c r="A1967" s="53" t="str">
        <x:v>Anjoman accounting - refined.xlsx</x:v>
      </x:c>
      <x:c r="B1967" s="53" t="str">
        <x:v>خام_تلگرام</x:v>
      </x:c>
      <x:c r="C1967" s="53" t="str">
        <x:v>D30</x:v>
      </x:c>
      <x:c r="D1967" s="53" t="str">
        <x:v>25 July 2025</x:v>
      </x:c>
      <x:c r="E1967" s="53"/>
    </x:row>
    <x:row r="1968" ht="15" hidden="0" customHeight="1">
      <x:c r="A1968" s="53" t="str">
        <x:v>Anjoman accounting - refined.xlsx</x:v>
      </x:c>
      <x:c r="B1968" s="53" t="str">
        <x:v>خام_تلگرام</x:v>
      </x:c>
      <x:c r="C1968" s="53" t="str">
        <x:v>A31</x:v>
      </x:c>
      <x:c r="D1968" s="53" t="str">
        <x:v>message29</x:v>
      </x:c>
      <x:c r="E1968" s="53"/>
    </x:row>
    <x:row r="1969" ht="15" hidden="0" customHeight="1">
      <x:c r="A1969" s="53" t="str">
        <x:v>Anjoman accounting - refined.xlsx</x:v>
      </x:c>
      <x:c r="B1969" s="53" t="str">
        <x:v>خام_تلگرام</x:v>
      </x:c>
      <x:c r="C1969" s="53" t="str">
        <x:v>B31</x:v>
      </x:c>
      <x:c r="D1969" s="53" t="str">
        <x:v>25.07.2025 04:04:24 UTC+03:30</x:v>
      </x:c>
      <x:c r="E1969" s="53"/>
    </x:row>
    <x:row r="1970" ht="15" hidden="0" customHeight="1">
      <x:c r="A1970" s="53" t="str">
        <x:v>Anjoman accounting - refined.xlsx</x:v>
      </x:c>
      <x:c r="B1970" s="53" t="str">
        <x:v>خام_تلگرام</x:v>
      </x:c>
      <x:c r="C1970" s="53" t="str">
        <x:v>C31</x:v>
      </x:c>
      <x:c r="D1970" s="53" t="str">
        <x:v>Deleted Account</x:v>
      </x:c>
      <x:c r="E1970" s="53"/>
    </x:row>
    <x:row r="1971" ht="15" hidden="0" customHeight="1">
      <x:c r="A1971" s="53" t="str">
        <x:v>Anjoman accounting - refined.xlsx</x:v>
      </x:c>
      <x:c r="B1971" s="53" t="str">
        <x:v>خام_تلگرام</x:v>
      </x:c>
      <x:c r="C1971" s="53" t="str">
        <x:v>D31</x:v>
      </x:c>
      <x:c r="D1971" s="53" t="str">
        <x:v>واریزی حق الزحمه تی‌ای و فرم و شیت ابراهیم خسروانی مدرسه تابستانه</x:v>
      </x:c>
      <x:c r="E1971" s="53"/>
    </x:row>
    <x:row r="1972" ht="15" hidden="0" customHeight="1">
      <x:c r="A1972" s="53" t="str">
        <x:v>Anjoman accounting - refined.xlsx</x:v>
      </x:c>
      <x:c r="B1972" s="53" t="str">
        <x:v>خام_تلگرام</x:v>
      </x:c>
      <x:c r="C1972" s="53" t="str">
        <x:v>E31</x:v>
      </x:c>
      <x:c r="D1972" s="53" t="str">
        <x:v>photos/photo_4@25-07-2025_04-04-24.jpg</x:v>
      </x:c>
      <x:c r="E1972" s="53"/>
    </x:row>
    <x:row r="1973" ht="15" hidden="0" customHeight="1">
      <x:c r="A1973" s="53" t="str">
        <x:v>Anjoman accounting - refined.xlsx</x:v>
      </x:c>
      <x:c r="B1973" s="53" t="str">
        <x:v>خام_تلگرام</x:v>
      </x:c>
      <x:c r="C1973" s="53" t="str">
        <x:v>A32</x:v>
      </x:c>
      <x:c r="D1973" s="53" t="str">
        <x:v>message30</x:v>
      </x:c>
      <x:c r="E1973" s="53"/>
    </x:row>
    <x:row r="1974" ht="15" hidden="0" customHeight="1">
      <x:c r="A1974" s="53" t="str">
        <x:v>Anjoman accounting - refined.xlsx</x:v>
      </x:c>
      <x:c r="B1974" s="53" t="str">
        <x:v>خام_تلگرام</x:v>
      </x:c>
      <x:c r="C1974" s="53" t="str">
        <x:v>B32</x:v>
      </x:c>
      <x:c r="D1974" s="53" t="str">
        <x:v>25.07.2025 04:08:41 UTC+03:30</x:v>
      </x:c>
      <x:c r="E1974" s="53"/>
    </x:row>
    <x:row r="1975" ht="15" hidden="0" customHeight="1">
      <x:c r="A1975" s="53" t="str">
        <x:v>Anjoman accounting - refined.xlsx</x:v>
      </x:c>
      <x:c r="B1975" s="53" t="str">
        <x:v>خام_تلگرام</x:v>
      </x:c>
      <x:c r="C1975" s="53" t="str">
        <x:v>D32</x:v>
      </x:c>
      <x:c r="D1975" s="53" t="str">
        <x:v>واریزی حق‌الزحمه ثبت نامی و تی ای پایتون مدرسه تابستانه سپهر طلائی</x:v>
      </x:c>
      <x:c r="E1975" s="53"/>
    </x:row>
    <x:row r="1976" ht="15" hidden="0" customHeight="1">
      <x:c r="A1976" s="53" t="str">
        <x:v>Anjoman accounting - refined.xlsx</x:v>
      </x:c>
      <x:c r="B1976" s="53" t="str">
        <x:v>خام_تلگرام</x:v>
      </x:c>
      <x:c r="C1976" s="53" t="str">
        <x:v>E32</x:v>
      </x:c>
      <x:c r="D1976" s="53" t="str">
        <x:v>photos/photo_5@25-07-2025_04-08-41.jpg</x:v>
      </x:c>
      <x:c r="E1976" s="53"/>
    </x:row>
    <x:row r="1977" ht="15" hidden="0" customHeight="1">
      <x:c r="A1977" s="53" t="str">
        <x:v>Anjoman accounting - refined.xlsx</x:v>
      </x:c>
      <x:c r="B1977" s="53" t="str">
        <x:v>خام_تلگرام</x:v>
      </x:c>
      <x:c r="C1977" s="53" t="str">
        <x:v>A33</x:v>
      </x:c>
      <x:c r="D1977" s="53" t="str">
        <x:v>message31</x:v>
      </x:c>
      <x:c r="E1977" s="53"/>
    </x:row>
    <x:row r="1978" ht="15" hidden="0" customHeight="1">
      <x:c r="A1978" s="53" t="str">
        <x:v>Anjoman accounting - refined.xlsx</x:v>
      </x:c>
      <x:c r="B1978" s="53" t="str">
        <x:v>خام_تلگرام</x:v>
      </x:c>
      <x:c r="C1978" s="53" t="str">
        <x:v>B33</x:v>
      </x:c>
      <x:c r="D1978" s="53" t="str">
        <x:v>25.07.2025 15:53:39 UTC+03:30</x:v>
      </x:c>
      <x:c r="E1978" s="53"/>
    </x:row>
    <x:row r="1979" ht="15" hidden="0" customHeight="1">
      <x:c r="A1979" s="53" t="str">
        <x:v>Anjoman accounting - refined.xlsx</x:v>
      </x:c>
      <x:c r="B1979" s="53" t="str">
        <x:v>خام_تلگرام</x:v>
      </x:c>
      <x:c r="C1979" s="53" t="str">
        <x:v>C33</x:v>
      </x:c>
      <x:c r="D1979" s="53" t="str">
        <x:v>Deleted Account</x:v>
      </x:c>
      <x:c r="E1979" s="53"/>
    </x:row>
    <x:row r="1980" ht="15" hidden="0" customHeight="1">
      <x:c r="A1980" s="53" t="str">
        <x:v>Anjoman accounting - refined.xlsx</x:v>
      </x:c>
      <x:c r="B1980" s="53" t="str">
        <x:v>خام_تلگرام</x:v>
      </x:c>
      <x:c r="C1980" s="53" t="str">
        <x:v>D33</x:v>
      </x:c>
      <x:c r="D1980" s="53" t="str">
        <x:v>واریزی حق‌الزحمه امین عزیزی فرآیند ثبت نامی حسابداری و تی ای پایتون مدرسه تابستانه</x:v>
      </x:c>
      <x:c r="E1980" s="53"/>
    </x:row>
    <x:row r="1981" ht="15" hidden="0" customHeight="1">
      <x:c r="A1981" s="53" t="str">
        <x:v>Anjoman accounting - refined.xlsx</x:v>
      </x:c>
      <x:c r="B1981" s="53" t="str">
        <x:v>خام_تلگرام</x:v>
      </x:c>
      <x:c r="C1981" s="53" t="str">
        <x:v>E33</x:v>
      </x:c>
      <x:c r="D1981" s="53" t="str">
        <x:v>photos/photo_6@25-07-2025_15-53-39.jpg</x:v>
      </x:c>
      <x:c r="E1981" s="53"/>
    </x:row>
    <x:row r="1982" ht="15" hidden="0" customHeight="1">
      <x:c r="A1982" s="53" t="str">
        <x:v>Anjoman accounting - refined.xlsx</x:v>
      </x:c>
      <x:c r="B1982" s="53" t="str">
        <x:v>خام_تلگرام</x:v>
      </x:c>
      <x:c r="C1982" s="53" t="str">
        <x:v>A34</x:v>
      </x:c>
      <x:c r="D1982" s="53" t="str">
        <x:v>message32</x:v>
      </x:c>
      <x:c r="E1982" s="53"/>
    </x:row>
    <x:row r="1983" ht="15" hidden="0" customHeight="1">
      <x:c r="A1983" s="53" t="str">
        <x:v>Anjoman accounting - refined.xlsx</x:v>
      </x:c>
      <x:c r="B1983" s="53" t="str">
        <x:v>خام_تلگرام</x:v>
      </x:c>
      <x:c r="C1983" s="53" t="str">
        <x:v>B34</x:v>
      </x:c>
      <x:c r="D1983" s="53" t="str">
        <x:v>25.07.2025 17:26:11 UTC+03:30</x:v>
      </x:c>
      <x:c r="E1983" s="53"/>
    </x:row>
    <x:row r="1984" ht="15" hidden="0" customHeight="1">
      <x:c r="A1984" s="53" t="str">
        <x:v>Anjoman accounting - refined.xlsx</x:v>
      </x:c>
      <x:c r="B1984" s="53" t="str">
        <x:v>خام_تلگرام</x:v>
      </x:c>
      <x:c r="C1984" s="53" t="str">
        <x:v>C34</x:v>
      </x:c>
      <x:c r="D1984" s="53" t="str">
        <x:v>Deleted Account</x:v>
      </x:c>
      <x:c r="E1984" s="53"/>
    </x:row>
    <x:row r="1985" ht="15" hidden="0" customHeight="1">
      <x:c r="A1985" s="53" t="str">
        <x:v>Anjoman accounting - refined.xlsx</x:v>
      </x:c>
      <x:c r="B1985" s="53" t="str">
        <x:v>خام_تلگرام</x:v>
      </x:c>
      <x:c r="C1985" s="53" t="str">
        <x:v>D34</x:v>
      </x:c>
      <x:c r="D1985" s="53" t="str">
        <x:v>*بانک شهر* انتقال وجه کارتي برداشت از:400816808774 مبلغ:6,009,000ريال موجودي:220,589,565 ريال 1404/05/3 15:52:09</x:v>
      </x:c>
      <x:c r="E1985" s="53"/>
    </x:row>
    <x:row r="1986" ht="15" hidden="0" customHeight="1">
      <x:c r="A1986" s="53" t="str">
        <x:v>Anjoman accounting - refined.xlsx</x:v>
      </x:c>
      <x:c r="B1986" s="53" t="str">
        <x:v>خام_تلگرام</x:v>
      </x:c>
      <x:c r="C1986" s="53" t="str">
        <x:v>A35</x:v>
      </x:c>
      <x:c r="D1986" s="53" t="str">
        <x:v>message33</x:v>
      </x:c>
      <x:c r="E1986" s="53"/>
    </x:row>
    <x:row r="1987" ht="15" hidden="0" customHeight="1">
      <x:c r="A1987" s="53" t="str">
        <x:v>Anjoman accounting - refined.xlsx</x:v>
      </x:c>
      <x:c r="B1987" s="53" t="str">
        <x:v>خام_تلگرام</x:v>
      </x:c>
      <x:c r="C1987" s="53" t="str">
        <x:v>B35</x:v>
      </x:c>
      <x:c r="D1987" s="53" t="str">
        <x:v>25.07.2025 17:26:46 UTC+03:30</x:v>
      </x:c>
      <x:c r="E1987" s="53"/>
    </x:row>
    <x:row r="1988" ht="15" hidden="0" customHeight="1">
      <x:c r="A1988" s="53" t="str">
        <x:v>Anjoman accounting - refined.xlsx</x:v>
      </x:c>
      <x:c r="B1988" s="53" t="str">
        <x:v>خام_تلگرام</x:v>
      </x:c>
      <x:c r="C1988" s="53" t="str">
        <x:v>C35</x:v>
      </x:c>
      <x:c r="D1988" s="53" t="str">
        <x:v>امین عزیزی</x:v>
      </x:c>
      <x:c r="E1988" s="53"/>
    </x:row>
    <x:row r="1989" ht="15" hidden="0" customHeight="1">
      <x:c r="A1989" s="53" t="str">
        <x:v>Anjoman accounting - refined.xlsx</x:v>
      </x:c>
      <x:c r="B1989" s="53" t="str">
        <x:v>خام_تلگرام</x:v>
      </x:c>
      <x:c r="C1989" s="53" t="str">
        <x:v>D35</x:v>
      </x:c>
      <x:c r="D1989" s="53" t="str">
        <x:v>به چه شخصی؟</x:v>
      </x:c>
      <x:c r="E1989" s="53"/>
    </x:row>
    <x:row r="1990" ht="15" hidden="0" customHeight="1">
      <x:c r="A1990" s="53" t="str">
        <x:v>Anjoman accounting - refined.xlsx</x:v>
      </x:c>
      <x:c r="B1990" s="53" t="str">
        <x:v>خام_تلگرام</x:v>
      </x:c>
      <x:c r="C1990" s="53" t="str">
        <x:v>A36</x:v>
      </x:c>
      <x:c r="D1990" s="53" t="str">
        <x:v>message34</x:v>
      </x:c>
      <x:c r="E1990" s="53"/>
    </x:row>
    <x:row r="1991" ht="15" hidden="0" customHeight="1">
      <x:c r="A1991" s="53" t="str">
        <x:v>Anjoman accounting - refined.xlsx</x:v>
      </x:c>
      <x:c r="B1991" s="53" t="str">
        <x:v>خام_تلگرام</x:v>
      </x:c>
      <x:c r="C1991" s="53" t="str">
        <x:v>B36</x:v>
      </x:c>
      <x:c r="D1991" s="53" t="str">
        <x:v>25.07.2025 17:34:21 UTC+03:30</x:v>
      </x:c>
      <x:c r="E1991" s="53"/>
    </x:row>
    <x:row r="1992" ht="15" hidden="0" customHeight="1">
      <x:c r="A1992" s="53" t="str">
        <x:v>Anjoman accounting - refined.xlsx</x:v>
      </x:c>
      <x:c r="B1992" s="53" t="str">
        <x:v>خام_تلگرام</x:v>
      </x:c>
      <x:c r="C1992" s="53" t="str">
        <x:v>C36</x:v>
      </x:c>
      <x:c r="D1992" s="53" t="str">
        <x:v>Deleted Account</x:v>
      </x:c>
      <x:c r="E1992" s="53"/>
    </x:row>
    <x:row r="1993" ht="15" hidden="0" customHeight="1">
      <x:c r="A1993" s="53" t="str">
        <x:v>Anjoman accounting - refined.xlsx</x:v>
      </x:c>
      <x:c r="B1993" s="53" t="str">
        <x:v>خام_تلگرام</x:v>
      </x:c>
      <x:c r="C1993" s="53" t="str">
        <x:v>D36</x:v>
      </x:c>
      <x:c r="D1993" s="53" t="str">
        <x:v>این همین اخریه</x:v>
      </x:c>
      <x:c r="E1993" s="53"/>
    </x:row>
    <x:row r="1994" ht="15" hidden="0" customHeight="1">
      <x:c r="A1994" s="53" t="str">
        <x:v>Anjoman accounting - refined.xlsx</x:v>
      </x:c>
      <x:c r="B1994" s="53" t="str">
        <x:v>خام_تلگرام</x:v>
      </x:c>
      <x:c r="C1994" s="53" t="str">
        <x:v>A37</x:v>
      </x:c>
      <x:c r="D1994" s="53" t="str">
        <x:v>message35</x:v>
      </x:c>
      <x:c r="E1994" s="53"/>
    </x:row>
    <x:row r="1995" ht="15" hidden="0" customHeight="1">
      <x:c r="A1995" s="53" t="str">
        <x:v>Anjoman accounting - refined.xlsx</x:v>
      </x:c>
      <x:c r="B1995" s="53" t="str">
        <x:v>خام_تلگرام</x:v>
      </x:c>
      <x:c r="C1995" s="53" t="str">
        <x:v>B37</x:v>
      </x:c>
      <x:c r="D1995" s="53" t="str">
        <x:v>25.07.2025 17:34:31 UTC+03:30</x:v>
      </x:c>
      <x:c r="E1995" s="53"/>
    </x:row>
    <x:row r="1996" ht="15" hidden="0" customHeight="1">
      <x:c r="A1996" s="53" t="str">
        <x:v>Anjoman accounting - refined.xlsx</x:v>
      </x:c>
      <x:c r="B1996" s="53" t="str">
        <x:v>خام_تلگرام</x:v>
      </x:c>
      <x:c r="C1996" s="53" t="str">
        <x:v>D37</x:v>
      </x:c>
      <x:c r="D1996" s="53" t="str">
        <x:v>این موجودی نهایی رو فعلا ثبت کن</x:v>
      </x:c>
      <x:c r="E1996" s="53"/>
    </x:row>
    <x:row r="1997" ht="15" hidden="0" customHeight="1">
      <x:c r="A1997" s="53" t="str">
        <x:v>Anjoman accounting - refined.xlsx</x:v>
      </x:c>
      <x:c r="B1997" s="53" t="str">
        <x:v>خام_تلگرام</x:v>
      </x:c>
      <x:c r="C1997" s="53" t="str">
        <x:v>A38</x:v>
      </x:c>
      <x:c r="D1997" s="53" t="str">
        <x:v>message-3</x:v>
      </x:c>
      <x:c r="E1997" s="53"/>
    </x:row>
    <x:row r="1998" ht="15" hidden="0" customHeight="1">
      <x:c r="A1998" s="53" t="str">
        <x:v>Anjoman accounting - refined.xlsx</x:v>
      </x:c>
      <x:c r="B1998" s="53" t="str">
        <x:v>خام_تلگرام</x:v>
      </x:c>
      <x:c r="C1998" s="53" t="str">
        <x:v>D38</x:v>
      </x:c>
      <x:c r="D1998" s="53" t="str">
        <x:v>26 July 2025</x:v>
      </x:c>
      <x:c r="E1998" s="53"/>
    </x:row>
    <x:row r="1999" ht="15" hidden="0" customHeight="1">
      <x:c r="A1999" s="53" t="str">
        <x:v>Anjoman accounting - refined.xlsx</x:v>
      </x:c>
      <x:c r="B1999" s="53" t="str">
        <x:v>خام_تلگرام</x:v>
      </x:c>
      <x:c r="C1999" s="53" t="str">
        <x:v>A39</x:v>
      </x:c>
      <x:c r="D1999" s="53" t="str">
        <x:v>message36</x:v>
      </x:c>
      <x:c r="E1999" s="53"/>
    </x:row>
    <x:row r="2000" ht="15" hidden="0" customHeight="1">
      <x:c r="A2000" s="53" t="str">
        <x:v>Anjoman accounting - refined.xlsx</x:v>
      </x:c>
      <x:c r="B2000" s="53" t="str">
        <x:v>خام_تلگرام</x:v>
      </x:c>
      <x:c r="C2000" s="53" t="str">
        <x:v>B39</x:v>
      </x:c>
      <x:c r="D2000" s="53" t="str">
        <x:v>26.07.2025 08:05:51 UTC+03:30</x:v>
      </x:c>
      <x:c r="E2000" s="53"/>
    </x:row>
    <x:row r="2001" ht="15" hidden="0" customHeight="1">
      <x:c r="A2001" s="53" t="str">
        <x:v>Anjoman accounting - refined.xlsx</x:v>
      </x:c>
      <x:c r="B2001" s="53" t="str">
        <x:v>خام_تلگرام</x:v>
      </x:c>
      <x:c r="C2001" s="53" t="str">
        <x:v>C39</x:v>
      </x:c>
      <x:c r="D2001" s="53" t="str">
        <x:v>امین عزیزی</x:v>
      </x:c>
      <x:c r="E2001" s="53"/>
    </x:row>
    <x:row r="2002" ht="15" hidden="0" customHeight="1">
      <x:c r="A2002" s="53" t="str">
        <x:v>Anjoman accounting - refined.xlsx</x:v>
      </x:c>
      <x:c r="B2002" s="53" t="str">
        <x:v>خام_تلگرام</x:v>
      </x:c>
      <x:c r="C2002" s="53" t="str">
        <x:v>D39</x:v>
      </x:c>
      <x:c r="D2002" s="53" t="str">
        <x:v>حسن از قبل تو کارتت پول بوده؟</x:v>
      </x:c>
      <x:c r="E2002" s="53"/>
    </x:row>
    <x:row r="2003" ht="15" hidden="0" customHeight="1">
      <x:c r="A2003" s="53" t="str">
        <x:v>Anjoman accounting - refined.xlsx</x:v>
      </x:c>
      <x:c r="B2003" s="53" t="str">
        <x:v>خام_تلگرام</x:v>
      </x:c>
      <x:c r="C2003" s="53" t="str">
        <x:v>A40</x:v>
      </x:c>
      <x:c r="D2003" s="53" t="str">
        <x:v>message37</x:v>
      </x:c>
      <x:c r="E2003" s="53"/>
    </x:row>
    <x:row r="2004" ht="15" hidden="0" customHeight="1">
      <x:c r="A2004" s="53" t="str">
        <x:v>Anjoman accounting - refined.xlsx</x:v>
      </x:c>
      <x:c r="B2004" s="53" t="str">
        <x:v>خام_تلگرام</x:v>
      </x:c>
      <x:c r="C2004" s="53" t="str">
        <x:v>B40</x:v>
      </x:c>
      <x:c r="D2004" s="53" t="str">
        <x:v>26.07.2025 08:06:15 UTC+03:30</x:v>
      </x:c>
      <x:c r="E2004" s="53"/>
    </x:row>
    <x:row r="2005" ht="15" hidden="0" customHeight="1">
      <x:c r="A2005" s="53" t="str">
        <x:v>Anjoman accounting - refined.xlsx</x:v>
      </x:c>
      <x:c r="B2005" s="53" t="str">
        <x:v>خام_تلگرام</x:v>
      </x:c>
      <x:c r="C2005" s="53" t="str">
        <x:v>D40</x:v>
      </x:c>
      <x:c r="D2005" s="53" t="str">
        <x:v>موجودیش از تراز مالیمون بیشتره😂</x:v>
      </x:c>
      <x:c r="E2005" s="53"/>
    </x:row>
    <x:row r="2006" ht="15" hidden="0" customHeight="1">
      <x:c r="A2006" s="53" t="str">
        <x:v>Anjoman accounting - refined.xlsx</x:v>
      </x:c>
      <x:c r="B2006" s="53" t="str">
        <x:v>خام_تلگرام</x:v>
      </x:c>
      <x:c r="C2006" s="53" t="str">
        <x:v>A41</x:v>
      </x:c>
      <x:c r="D2006" s="53" t="str">
        <x:v>message38</x:v>
      </x:c>
      <x:c r="E2006" s="53"/>
    </x:row>
    <x:row r="2007" ht="15" hidden="0" customHeight="1">
      <x:c r="A2007" s="53" t="str">
        <x:v>Anjoman accounting - refined.xlsx</x:v>
      </x:c>
      <x:c r="B2007" s="53" t="str">
        <x:v>خام_تلگرام</x:v>
      </x:c>
      <x:c r="C2007" s="53" t="str">
        <x:v>B41</x:v>
      </x:c>
      <x:c r="D2007" s="53" t="str">
        <x:v>26.07.2025 08:07:14 UTC+03:30</x:v>
      </x:c>
      <x:c r="E2007" s="53"/>
    </x:row>
    <x:row r="2008" ht="15" hidden="0" customHeight="1">
      <x:c r="A2008" s="53" t="str">
        <x:v>Anjoman accounting - refined.xlsx</x:v>
      </x:c>
      <x:c r="B2008" s="53" t="str">
        <x:v>خام_تلگرام</x:v>
      </x:c>
      <x:c r="C2008" s="53" t="str">
        <x:v>D41</x:v>
      </x:c>
      <x:c r="D2008" s="53" t="str">
        <x:v>راستی یه ایمیل هم بده بهم که اکسس شیت رو بدم بهش</x:v>
      </x:c>
      <x:c r="E2008" s="53"/>
    </x:row>
    <x:row r="2009" ht="15" hidden="0" customHeight="1">
      <x:c r="A2009" s="53" t="str">
        <x:v>Anjoman accounting - refined.xlsx</x:v>
      </x:c>
      <x:c r="B2009" s="53" t="str">
        <x:v>خام_تلگرام</x:v>
      </x:c>
      <x:c r="C2009" s="53" t="str">
        <x:v>A42</x:v>
      </x:c>
      <x:c r="D2009" s="53" t="str">
        <x:v>message39</x:v>
      </x:c>
      <x:c r="E2009" s="53"/>
    </x:row>
    <x:row r="2010" ht="15" hidden="0" customHeight="1">
      <x:c r="A2010" s="53" t="str">
        <x:v>Anjoman accounting - refined.xlsx</x:v>
      </x:c>
      <x:c r="B2010" s="53" t="str">
        <x:v>خام_تلگرام</x:v>
      </x:c>
      <x:c r="C2010" s="53" t="str">
        <x:v>B42</x:v>
      </x:c>
      <x:c r="D2010" s="53" t="str">
        <x:v>26.07.2025 09:01:17 UTC+03:30</x:v>
      </x:c>
      <x:c r="E2010" s="53"/>
    </x:row>
    <x:row r="2011" ht="15" hidden="0" customHeight="1">
      <x:c r="A2011" s="53" t="str">
        <x:v>Anjoman accounting - refined.xlsx</x:v>
      </x:c>
      <x:c r="B2011" s="53" t="str">
        <x:v>خام_تلگرام</x:v>
      </x:c>
      <x:c r="C2011" s="53" t="str">
        <x:v>C42</x:v>
      </x:c>
      <x:c r="D2011" s="53" t="str">
        <x:v>Deleted Account</x:v>
      </x:c>
      <x:c r="E2011" s="53"/>
    </x:row>
    <x:row r="2012" ht="15" hidden="0" customHeight="1">
      <x:c r="A2012" s="53" t="str">
        <x:v>Anjoman accounting - refined.xlsx</x:v>
      </x:c>
      <x:c r="B2012" s="53" t="str">
        <x:v>خام_تلگرام</x:v>
      </x:c>
      <x:c r="C2012" s="53" t="str">
        <x:v>D42</x:v>
      </x:c>
      <x:c r="D2012" s="53" t="str">
        <x:v>چهل هزارتومن😂</x:v>
      </x:c>
      <x:c r="E2012" s="53"/>
    </x:row>
    <x:row r="2013" ht="15" hidden="0" customHeight="1">
      <x:c r="A2013" s="53" t="str">
        <x:v>Anjoman accounting - refined.xlsx</x:v>
      </x:c>
      <x:c r="B2013" s="53" t="str">
        <x:v>خام_تلگرام</x:v>
      </x:c>
      <x:c r="C2013" s="53" t="str">
        <x:v>A43</x:v>
      </x:c>
      <x:c r="D2013" s="53" t="str">
        <x:v>message40</x:v>
      </x:c>
      <x:c r="E2013" s="53"/>
    </x:row>
    <x:row r="2014" ht="15" hidden="0" customHeight="1">
      <x:c r="A2014" s="53" t="str">
        <x:v>Anjoman accounting - refined.xlsx</x:v>
      </x:c>
      <x:c r="B2014" s="53" t="str">
        <x:v>خام_تلگرام</x:v>
      </x:c>
      <x:c r="C2014" s="53" t="str">
        <x:v>B43</x:v>
      </x:c>
      <x:c r="D2014" s="53" t="str">
        <x:v>26.07.2025 09:01:24 UTC+03:30</x:v>
      </x:c>
      <x:c r="E2014" s="53"/>
    </x:row>
    <x:row r="2015" ht="15" hidden="0" customHeight="1">
      <x:c r="A2015" s="53" t="str">
        <x:v>Anjoman accounting - refined.xlsx</x:v>
      </x:c>
      <x:c r="B2015" s="53" t="str">
        <x:v>خام_تلگرام</x:v>
      </x:c>
      <x:c r="C2015" s="53" t="str">
        <x:v>D43</x:v>
      </x:c>
      <x:c r="D2015" s="53" t="str">
        <x:v>sandmanshiri@gmail.com</x:v>
      </x:c>
      <x:c r="E2015" s="53"/>
    </x:row>
    <x:row r="2016" ht="15" hidden="0" customHeight="1">
      <x:c r="A2016" s="53" t="str">
        <x:v>Anjoman accounting - refined.xlsx</x:v>
      </x:c>
      <x:c r="B2016" s="53" t="str">
        <x:v>خام_تلگرام</x:v>
      </x:c>
      <x:c r="C2016" s="53" t="str">
        <x:v>E43</x:v>
      </x:c>
      <x:c r="D2016" s="53" t="str">
        <x:v>mailto:sandmanshiri@gmail.com</x:v>
      </x:c>
      <x:c r="E2016" s="53"/>
    </x:row>
    <x:row r="2017" ht="15" hidden="0" customHeight="1">
      <x:c r="A2017" s="53" t="str">
        <x:v>Anjoman accounting - refined.xlsx</x:v>
      </x:c>
      <x:c r="B2017" s="53" t="str">
        <x:v>خام_تلگرام</x:v>
      </x:c>
      <x:c r="C2017" s="53" t="str">
        <x:v>A44</x:v>
      </x:c>
      <x:c r="D2017" s="53" t="str">
        <x:v>message41</x:v>
      </x:c>
      <x:c r="E2017" s="53"/>
    </x:row>
    <x:row r="2018" ht="15" hidden="0" customHeight="1">
      <x:c r="A2018" s="53" t="str">
        <x:v>Anjoman accounting - refined.xlsx</x:v>
      </x:c>
      <x:c r="B2018" s="53" t="str">
        <x:v>خام_تلگرام</x:v>
      </x:c>
      <x:c r="C2018" s="53" t="str">
        <x:v>B44</x:v>
      </x:c>
      <x:c r="D2018" s="53" t="str">
        <x:v>26.07.2025 14:05:44 UTC+03:30</x:v>
      </x:c>
      <x:c r="E2018" s="53"/>
    </x:row>
    <x:row r="2019" ht="15" hidden="0" customHeight="1">
      <x:c r="A2019" s="53" t="str">
        <x:v>Anjoman accounting - refined.xlsx</x:v>
      </x:c>
      <x:c r="B2019" s="53" t="str">
        <x:v>خام_تلگرام</x:v>
      </x:c>
      <x:c r="C2019" s="53" t="str">
        <x:v>C44</x:v>
      </x:c>
      <x:c r="D2019" s="53" t="str">
        <x:v>امین عزیزی</x:v>
      </x:c>
      <x:c r="E2019" s="53"/>
    </x:row>
    <x:row r="2020" ht="15" hidden="0" customHeight="1">
      <x:c r="A2020" s="53" t="str">
        <x:v>Anjoman accounting - refined.xlsx</x:v>
      </x:c>
      <x:c r="B2020" s="53" t="str">
        <x:v>خام_تلگرام</x:v>
      </x:c>
      <x:c r="C2020" s="53" t="str">
        <x:v>D44</x:v>
      </x:c>
      <x:c r="D2020" s="53" t="str">
        <x:v>ایمیل زدم برات</x:v>
      </x:c>
      <x:c r="E2020" s="53"/>
    </x:row>
    <x:row r="2021" ht="15" hidden="0" customHeight="1">
      <x:c r="A2021" s="53" t="str">
        <x:v>Anjoman accounting - refined.xlsx</x:v>
      </x:c>
      <x:c r="B2021" s="53" t="str">
        <x:v>خام_تلگرام</x:v>
      </x:c>
      <x:c r="C2021" s="53" t="str">
        <x:v>A45</x:v>
      </x:c>
      <x:c r="D2021" s="53" t="str">
        <x:v>message-4</x:v>
      </x:c>
      <x:c r="E2021" s="53"/>
    </x:row>
    <x:row r="2022" ht="15" hidden="0" customHeight="1">
      <x:c r="A2022" s="53" t="str">
        <x:v>Anjoman accounting - refined.xlsx</x:v>
      </x:c>
      <x:c r="B2022" s="53" t="str">
        <x:v>خام_تلگرام</x:v>
      </x:c>
      <x:c r="C2022" s="53" t="str">
        <x:v>D45</x:v>
      </x:c>
      <x:c r="D2022" s="53" t="str">
        <x:v>11 August 2025</x:v>
      </x:c>
      <x:c r="E2022" s="53"/>
    </x:row>
    <x:row r="2023" ht="15" hidden="0" customHeight="1">
      <x:c r="A2023" s="53" t="str">
        <x:v>Anjoman accounting - refined.xlsx</x:v>
      </x:c>
      <x:c r="B2023" s="53" t="str">
        <x:v>خام_تلگرام</x:v>
      </x:c>
      <x:c r="C2023" s="53" t="str">
        <x:v>A46</x:v>
      </x:c>
      <x:c r="D2023" s="53" t="str">
        <x:v>message42</x:v>
      </x:c>
      <x:c r="E2023" s="53"/>
    </x:row>
    <x:row r="2024" ht="15" hidden="0" customHeight="1">
      <x:c r="A2024" s="53" t="str">
        <x:v>Anjoman accounting - refined.xlsx</x:v>
      </x:c>
      <x:c r="B2024" s="53" t="str">
        <x:v>خام_تلگرام</x:v>
      </x:c>
      <x:c r="C2024" s="53" t="str">
        <x:v>B46</x:v>
      </x:c>
      <x:c r="D2024" s="53" t="str">
        <x:v>11.08.2025 15:51:55 UTC+03:30</x:v>
      </x:c>
      <x:c r="E2024" s="53"/>
    </x:row>
    <x:row r="2025" ht="15" hidden="0" customHeight="1">
      <x:c r="A2025" s="53" t="str">
        <x:v>Anjoman accounting - refined.xlsx</x:v>
      </x:c>
      <x:c r="B2025" s="53" t="str">
        <x:v>خام_تلگرام</x:v>
      </x:c>
      <x:c r="C2025" s="53" t="str">
        <x:v>C46</x:v>
      </x:c>
      <x:c r="D2025" s="53" t="str">
        <x:v>Deleted Account</x:v>
      </x:c>
      <x:c r="E2025" s="53"/>
    </x:row>
    <x:row r="2026" ht="15" hidden="0" customHeight="1">
      <x:c r="A2026" s="53" t="str">
        <x:v>Anjoman accounting - refined.xlsx</x:v>
      </x:c>
      <x:c r="B2026" s="53" t="str">
        <x:v>خام_تلگرام</x:v>
      </x:c>
      <x:c r="C2026" s="53" t="str">
        <x:v>D46</x:v>
      </x:c>
      <x:c r="D2026" s="53" t="str">
        <x:v>بابت ضبط جبرانی جلسه ۳ لتک</x:v>
      </x:c>
      <x:c r="E2026" s="53"/>
    </x:row>
    <x:row r="2027" ht="15" hidden="0" customHeight="1">
      <x:c r="A2027" s="53" t="str">
        <x:v>Anjoman accounting - refined.xlsx</x:v>
      </x:c>
      <x:c r="B2027" s="53" t="str">
        <x:v>خام_تلگرام</x:v>
      </x:c>
      <x:c r="C2027" s="53" t="str">
        <x:v>E46</x:v>
      </x:c>
      <x:c r="D2027" s="53" t="str">
        <x:v>photos/photo_7@11-08-2025_15-51-55.jpg</x:v>
      </x:c>
      <x:c r="E2027" s="53"/>
    </x:row>
    <x:row r="2028" ht="15" hidden="0" customHeight="1">
      <x:c r="A2028" s="53" t="str">
        <x:v>Anjoman accounting - refined.xlsx</x:v>
      </x:c>
      <x:c r="B2028" s="53" t="str">
        <x:v>خام_تلگرام</x:v>
      </x:c>
      <x:c r="C2028" s="53" t="str">
        <x:v>A47</x:v>
      </x:c>
      <x:c r="D2028" s="53" t="str">
        <x:v>message-5</x:v>
      </x:c>
      <x:c r="E2028" s="53"/>
    </x:row>
    <x:row r="2029" ht="15" hidden="0" customHeight="1">
      <x:c r="A2029" s="53" t="str">
        <x:v>Anjoman accounting - refined.xlsx</x:v>
      </x:c>
      <x:c r="B2029" s="53" t="str">
        <x:v>خام_تلگرام</x:v>
      </x:c>
      <x:c r="C2029" s="53" t="str">
        <x:v>D47</x:v>
      </x:c>
      <x:c r="D2029" s="53" t="str">
        <x:v>12 August 2025</x:v>
      </x:c>
      <x:c r="E2029" s="53"/>
    </x:row>
    <x:row r="2030" ht="15" hidden="0" customHeight="1">
      <x:c r="A2030" s="53" t="str">
        <x:v>Anjoman accounting - refined.xlsx</x:v>
      </x:c>
      <x:c r="B2030" s="53" t="str">
        <x:v>خام_تلگرام</x:v>
      </x:c>
      <x:c r="C2030" s="53" t="str">
        <x:v>A48</x:v>
      </x:c>
      <x:c r="D2030" s="53" t="str">
        <x:v>message43</x:v>
      </x:c>
      <x:c r="E2030" s="53"/>
    </x:row>
    <x:row r="2031" ht="15" hidden="0" customHeight="1">
      <x:c r="A2031" s="53" t="str">
        <x:v>Anjoman accounting - refined.xlsx</x:v>
      </x:c>
      <x:c r="B2031" s="53" t="str">
        <x:v>خام_تلگرام</x:v>
      </x:c>
      <x:c r="C2031" s="53" t="str">
        <x:v>B48</x:v>
      </x:c>
      <x:c r="D2031" s="53" t="str">
        <x:v>12.08.2025 09:58:34 UTC+03:30</x:v>
      </x:c>
      <x:c r="E2031" s="53"/>
    </x:row>
    <x:row r="2032" ht="15" hidden="0" customHeight="1">
      <x:c r="A2032" s="53" t="str">
        <x:v>Anjoman accounting - refined.xlsx</x:v>
      </x:c>
      <x:c r="B2032" s="53" t="str">
        <x:v>خام_تلگرام</x:v>
      </x:c>
      <x:c r="C2032" s="53" t="str">
        <x:v>C48</x:v>
      </x:c>
      <x:c r="D2032" s="53" t="str">
        <x:v>Deleted Account</x:v>
      </x:c>
      <x:c r="E2032" s="53"/>
    </x:row>
    <x:row r="2033" ht="15" hidden="0" customHeight="1">
      <x:c r="A2033" s="53" t="str">
        <x:v>Anjoman accounting - refined.xlsx</x:v>
      </x:c>
      <x:c r="B2033" s="53" t="str">
        <x:v>خام_تلگرام</x:v>
      </x:c>
      <x:c r="C2033" s="53" t="str">
        <x:v>D48</x:v>
      </x:c>
      <x:c r="D2033" s="53" t="str">
        <x:v>تبلیغات مدرسه مهمات شریف</x:v>
      </x:c>
      <x:c r="E2033" s="53"/>
    </x:row>
    <x:row r="2034" ht="15" hidden="0" customHeight="1">
      <x:c r="A2034" s="53" t="str">
        <x:v>Anjoman accounting - refined.xlsx</x:v>
      </x:c>
      <x:c r="B2034" s="53" t="str">
        <x:v>خام_تلگرام</x:v>
      </x:c>
      <x:c r="C2034" s="53" t="str">
        <x:v>A49</x:v>
      </x:c>
      <x:c r="D2034" s="53" t="str">
        <x:v>message44</x:v>
      </x:c>
      <x:c r="E2034" s="53"/>
    </x:row>
    <x:row r="2035" ht="15" hidden="0" customHeight="1">
      <x:c r="A2035" s="53" t="str">
        <x:v>Anjoman accounting - refined.xlsx</x:v>
      </x:c>
      <x:c r="B2035" s="53" t="str">
        <x:v>خام_تلگرام</x:v>
      </x:c>
      <x:c r="C2035" s="53" t="str">
        <x:v>B49</x:v>
      </x:c>
      <x:c r="D2035" s="53" t="str">
        <x:v>12.08.2025 09:58:34 UTC+03:30</x:v>
      </x:c>
      <x:c r="E2035" s="53"/>
    </x:row>
    <x:row r="2036" ht="15" hidden="0" customHeight="1">
      <x:c r="A2036" s="53" t="str">
        <x:v>Anjoman accounting - refined.xlsx</x:v>
      </x:c>
      <x:c r="B2036" s="53" t="str">
        <x:v>خام_تلگرام</x:v>
      </x:c>
      <x:c r="C2036" s="53" t="str">
        <x:v>C49</x:v>
      </x:c>
      <x:c r="D2036" s="53" t="str">
        <x:v>Deleted Account</x:v>
      </x:c>
      <x:c r="E2036" s="53"/>
    </x:row>
    <x:row r="2037" ht="15" hidden="0" customHeight="1">
      <x:c r="A2037" s="53" t="str">
        <x:v>Anjoman accounting - refined.xlsx</x:v>
      </x:c>
      <x:c r="B2037" s="53" t="str">
        <x:v>خام_تلگرام</x:v>
      </x:c>
      <x:c r="C2037" s="53" t="str">
        <x:v>D49</x:v>
      </x:c>
      <x:c r="D2037" s="53" t="str">
        <x:v>09:58 Deleted Account Deleted Account 19.07.2025 16:42:32 👍 ا</x:v>
      </x:c>
      <x:c r="E2037" s="53"/>
    </x:row>
    <x:row r="2038" ht="15" hidden="0" customHeight="1">
      <x:c r="A2038" s="53" t="str">
        <x:v>Anjoman accounting - refined.xlsx</x:v>
      </x:c>
      <x:c r="B2038" s="53" t="str">
        <x:v>خام_تلگرام</x:v>
      </x:c>
      <x:c r="C2038" s="53" t="str">
        <x:v>E49</x:v>
      </x:c>
      <x:c r="D2038" s="53" t="str">
        <x:v>photos/photo_8@12-08-2025_09-58-34.jpg</x:v>
      </x:c>
      <x:c r="E2038" s="53"/>
    </x:row>
    <x:row r="2039" ht="15" hidden="0" customHeight="1">
      <x:c r="A2039" s="53" t="str">
        <x:v>Anjoman accounting - refined.xlsx</x:v>
      </x:c>
      <x:c r="B2039" s="53" t="str">
        <x:v>خام_تلگرام</x:v>
      </x:c>
      <x:c r="C2039" s="53" t="str">
        <x:v>A50</x:v>
      </x:c>
      <x:c r="D2039" s="53" t="str">
        <x:v>message45</x:v>
      </x:c>
      <x:c r="E2039" s="53"/>
    </x:row>
    <x:row r="2040" ht="15" hidden="0" customHeight="1">
      <x:c r="A2040" s="53" t="str">
        <x:v>Anjoman accounting - refined.xlsx</x:v>
      </x:c>
      <x:c r="B2040" s="53" t="str">
        <x:v>خام_تلگرام</x:v>
      </x:c>
      <x:c r="C2040" s="53" t="str">
        <x:v>B50</x:v>
      </x:c>
      <x:c r="D2040" s="53" t="str">
        <x:v>12.08.2025 09:58:34 UTC+03:30</x:v>
      </x:c>
      <x:c r="E2040" s="53"/>
    </x:row>
    <x:row r="2041" ht="15" hidden="0" customHeight="1">
      <x:c r="A2041" s="53" t="str">
        <x:v>Anjoman accounting - refined.xlsx</x:v>
      </x:c>
      <x:c r="B2041" s="53" t="str">
        <x:v>خام_تلگرام</x:v>
      </x:c>
      <x:c r="C2041" s="53" t="str">
        <x:v>C50</x:v>
      </x:c>
      <x:c r="D2041" s="53" t="str">
        <x:v>Deleted Account</x:v>
      </x:c>
      <x:c r="E2041" s="53"/>
    </x:row>
    <x:row r="2042" ht="15" hidden="0" customHeight="1">
      <x:c r="A2042" s="53" t="str">
        <x:v>Anjoman accounting - refined.xlsx</x:v>
      </x:c>
      <x:c r="B2042" s="53" t="str">
        <x:v>خام_تلگرام</x:v>
      </x:c>
      <x:c r="C2042" s="53" t="str">
        <x:v>D50</x:v>
      </x:c>
      <x:c r="D2042" s="53" t="str">
        <x:v>‌.سلام وقتتون بخیر خدمت شما امیدوارم موثر بوده باشه</x:v>
      </x:c>
      <x:c r="E2042" s="53"/>
    </x:row>
    <x:row r="2043" ht="15" hidden="0" customHeight="1">
      <x:c r="A2043" s="53" t="str">
        <x:v>Anjoman accounting - refined.xlsx</x:v>
      </x:c>
      <x:c r="B2043" s="53" t="str">
        <x:v>خام_تلگرام</x:v>
      </x:c>
      <x:c r="C2043" s="53" t="str">
        <x:v>A51</x:v>
      </x:c>
      <x:c r="D2043" s="53" t="str">
        <x:v>message46</x:v>
      </x:c>
      <x:c r="E2043" s="53"/>
    </x:row>
    <x:row r="2044" ht="15" hidden="0" customHeight="1">
      <x:c r="A2044" s="53" t="str">
        <x:v>Anjoman accounting - refined.xlsx</x:v>
      </x:c>
      <x:c r="B2044" s="53" t="str">
        <x:v>خام_تلگرام</x:v>
      </x:c>
      <x:c r="C2044" s="53" t="str">
        <x:v>B51</x:v>
      </x:c>
      <x:c r="D2044" s="53" t="str">
        <x:v>12.08.2025 09:58:34 UTC+03:30</x:v>
      </x:c>
      <x:c r="E2044" s="53"/>
    </x:row>
    <x:row r="2045" ht="15" hidden="0" customHeight="1">
      <x:c r="A2045" s="53" t="str">
        <x:v>Anjoman accounting - refined.xlsx</x:v>
      </x:c>
      <x:c r="B2045" s="53" t="str">
        <x:v>خام_تلگرام</x:v>
      </x:c>
      <x:c r="C2045" s="53" t="str">
        <x:v>D51</x:v>
      </x:c>
      <x:c r="D2045" s="53" t="str">
        <x:v>09:58</x:v>
      </x:c>
      <x:c r="E2045" s="53"/>
    </x:row>
    <x:row r="2046" ht="15" hidden="0" customHeight="1">
      <x:c r="A2046" s="53" t="str">
        <x:v>Anjoman accounting - refined.xlsx</x:v>
      </x:c>
      <x:c r="B2046" s="53" t="str">
        <x:v>خام_تلگرام</x:v>
      </x:c>
      <x:c r="C2046" s="53" t="str">
        <x:v>E51</x:v>
      </x:c>
      <x:c r="D2046" s="53" t="str">
        <x:v>photos/photo_9@12-08-2025_09-58-34.jpg</x:v>
      </x:c>
      <x:c r="E2046" s="53"/>
    </x:row>
    <x:row r="2047" ht="15" hidden="0" customHeight="1">
      <x:c r="A2047" s="53" t="str">
        <x:v>Anjoman accounting - refined.xlsx</x:v>
      </x:c>
      <x:c r="B2047" s="53" t="str">
        <x:v>خام_تلگرام</x:v>
      </x:c>
      <x:c r="C2047" s="53" t="str">
        <x:v>A52</x:v>
      </x:c>
      <x:c r="D2047" s="53" t="str">
        <x:v>message-6</x:v>
      </x:c>
      <x:c r="E2047" s="53"/>
    </x:row>
    <x:row r="2048" ht="15" hidden="0" customHeight="1">
      <x:c r="A2048" s="53" t="str">
        <x:v>Anjoman accounting - refined.xlsx</x:v>
      </x:c>
      <x:c r="B2048" s="53" t="str">
        <x:v>خام_تلگرام</x:v>
      </x:c>
      <x:c r="C2048" s="53" t="str">
        <x:v>D52</x:v>
      </x:c>
      <x:c r="D2048" s="53" t="str">
        <x:v>15 August 2025</x:v>
      </x:c>
      <x:c r="E2048" s="53"/>
    </x:row>
    <x:row r="2049" ht="15" hidden="0" customHeight="1">
      <x:c r="A2049" s="53" t="str">
        <x:v>Anjoman accounting - refined.xlsx</x:v>
      </x:c>
      <x:c r="B2049" s="53" t="str">
        <x:v>خام_تلگرام</x:v>
      </x:c>
      <x:c r="C2049" s="53" t="str">
        <x:v>A53</x:v>
      </x:c>
      <x:c r="D2049" s="53" t="str">
        <x:v>message47</x:v>
      </x:c>
      <x:c r="E2049" s="53"/>
    </x:row>
    <x:row r="2050" ht="15" hidden="0" customHeight="1">
      <x:c r="A2050" s="53" t="str">
        <x:v>Anjoman accounting - refined.xlsx</x:v>
      </x:c>
      <x:c r="B2050" s="53" t="str">
        <x:v>خام_تلگرام</x:v>
      </x:c>
      <x:c r="C2050" s="53" t="str">
        <x:v>B53</x:v>
      </x:c>
      <x:c r="D2050" s="53" t="str">
        <x:v>15.08.2025 18:28:22 UTC+03:30</x:v>
      </x:c>
      <x:c r="E2050" s="53"/>
    </x:row>
    <x:row r="2051" ht="15" hidden="0" customHeight="1">
      <x:c r="A2051" s="53" t="str">
        <x:v>Anjoman accounting - refined.xlsx</x:v>
      </x:c>
      <x:c r="B2051" s="53" t="str">
        <x:v>خام_تلگرام</x:v>
      </x:c>
      <x:c r="C2051" s="53" t="str">
        <x:v>C53</x:v>
      </x:c>
      <x:c r="D2051" s="53" t="str">
        <x:v>Deleted Account</x:v>
      </x:c>
      <x:c r="E2051" s="53"/>
    </x:row>
    <x:row r="2052" ht="15" hidden="0" customHeight="1">
      <x:c r="A2052" s="53" t="str">
        <x:v>Anjoman accounting - refined.xlsx</x:v>
      </x:c>
      <x:c r="B2052" s="53" t="str">
        <x:v>خام_تلگرام</x:v>
      </x:c>
      <x:c r="C2052" s="53" t="str">
        <x:v>D53</x:v>
      </x:c>
      <x:c r="D2052" s="53" t="str">
        <x:v>حق الزحمه ضبط جبرانی جلسه 4 پایتون</x:v>
      </x:c>
      <x:c r="E2052" s="53"/>
    </x:row>
    <x:row r="2053" ht="15" hidden="0" customHeight="1">
      <x:c r="A2053" s="53" t="str">
        <x:v>Anjoman accounting - refined.xlsx</x:v>
      </x:c>
      <x:c r="B2053" s="53" t="str">
        <x:v>خام_تلگرام</x:v>
      </x:c>
      <x:c r="C2053" s="53" t="str">
        <x:v>E53</x:v>
      </x:c>
      <x:c r="D2053" s="53" t="str">
        <x:v>photos/photo_10@15-08-2025_18-28-22.jpg</x:v>
      </x:c>
      <x:c r="E2053" s="53"/>
    </x:row>
    <x:row r="2054" ht="15" hidden="0" customHeight="1">
      <x:c r="A2054" s="53" t="str">
        <x:v>Anjoman accounting - refined.xlsx</x:v>
      </x:c>
      <x:c r="B2054" s="53" t="str">
        <x:v>خام_تلگرام</x:v>
      </x:c>
      <x:c r="C2054" s="53" t="str">
        <x:v>A54</x:v>
      </x:c>
      <x:c r="D2054" s="53" t="str">
        <x:v>message-7</x:v>
      </x:c>
      <x:c r="E2054" s="53"/>
    </x:row>
    <x:row r="2055" ht="15" hidden="0" customHeight="1">
      <x:c r="A2055" s="53" t="str">
        <x:v>Anjoman accounting - refined.xlsx</x:v>
      </x:c>
      <x:c r="B2055" s="53" t="str">
        <x:v>خام_تلگرام</x:v>
      </x:c>
      <x:c r="C2055" s="53" t="str">
        <x:v>D54</x:v>
      </x:c>
      <x:c r="D2055" s="53" t="str">
        <x:v>4 September 2025</x:v>
      </x:c>
      <x:c r="E2055" s="53"/>
    </x:row>
    <x:row r="2056" ht="15" hidden="0" customHeight="1">
      <x:c r="A2056" s="53" t="str">
        <x:v>Anjoman accounting - refined.xlsx</x:v>
      </x:c>
      <x:c r="B2056" s="53" t="str">
        <x:v>خام_تلگرام</x:v>
      </x:c>
      <x:c r="C2056" s="53" t="str">
        <x:v>A55</x:v>
      </x:c>
      <x:c r="D2056" s="53" t="str">
        <x:v>message48</x:v>
      </x:c>
      <x:c r="E2056" s="53"/>
    </x:row>
    <x:row r="2057" ht="15" hidden="0" customHeight="1">
      <x:c r="A2057" s="53" t="str">
        <x:v>Anjoman accounting - refined.xlsx</x:v>
      </x:c>
      <x:c r="B2057" s="53" t="str">
        <x:v>خام_تلگرام</x:v>
      </x:c>
      <x:c r="C2057" s="53" t="str">
        <x:v>B55</x:v>
      </x:c>
      <x:c r="D2057" s="53" t="str">
        <x:v>04.09.2025 14:05:56 UTC+03:30</x:v>
      </x:c>
      <x:c r="E2057" s="53"/>
    </x:row>
    <x:row r="2058" ht="15" hidden="0" customHeight="1">
      <x:c r="A2058" s="53" t="str">
        <x:v>Anjoman accounting - refined.xlsx</x:v>
      </x:c>
      <x:c r="B2058" s="53" t="str">
        <x:v>خام_تلگرام</x:v>
      </x:c>
      <x:c r="C2058" s="53" t="str">
        <x:v>C55</x:v>
      </x:c>
      <x:c r="D2058" s="53" t="str">
        <x:v>امین عزیزی</x:v>
      </x:c>
      <x:c r="E2058" s="53"/>
    </x:row>
    <x:row r="2059" ht="15" hidden="0" customHeight="1">
      <x:c r="A2059" s="53" t="str">
        <x:v>Anjoman accounting - refined.xlsx</x:v>
      </x:c>
      <x:c r="B2059" s="53" t="str">
        <x:v>خام_تلگرام</x:v>
      </x:c>
      <x:c r="C2059" s="53" t="str">
        <x:v>D55</x:v>
      </x:c>
      <x:c r="D2059" s="53" t="str">
        <x:v>پرداخت شود به محمدامین عزیزی بابت چاپ پوستر و بارکد برای میز معرفی دانشگاه</x:v>
      </x:c>
      <x:c r="E2059" s="53"/>
    </x:row>
    <x:row r="2060" ht="15" hidden="0" customHeight="1">
      <x:c r="A2060" s="53" t="str">
        <x:v>Anjoman accounting - refined.xlsx</x:v>
      </x:c>
      <x:c r="B2060" s="53" t="str">
        <x:v>خام_تلگرام</x:v>
      </x:c>
      <x:c r="C2060" s="53" t="str">
        <x:v>E55</x:v>
      </x:c>
      <x:c r="D2060" s="53" t="str">
        <x:v>photos/photo_11@04-09-2025_14-05-56.jpg</x:v>
      </x:c>
      <x:c r="E2060" s="53"/>
    </x:row>
    <x:row r="2061" ht="15" hidden="0" customHeight="1">
      <x:c r="A2061" s="53" t="str">
        <x:v>Anjoman accounting - refined.xlsx</x:v>
      </x:c>
      <x:c r="B2061" s="53" t="str">
        <x:v>خام_تلگرام</x:v>
      </x:c>
      <x:c r="C2061" s="53" t="str">
        <x:v>A56</x:v>
      </x:c>
      <x:c r="D2061" s="53" t="str">
        <x:v>message-8</x:v>
      </x:c>
      <x:c r="E2061" s="53"/>
    </x:row>
    <x:row r="2062" ht="15" hidden="0" customHeight="1">
      <x:c r="A2062" s="53" t="str">
        <x:v>Anjoman accounting - refined.xlsx</x:v>
      </x:c>
      <x:c r="B2062" s="53" t="str">
        <x:v>خام_تلگرام</x:v>
      </x:c>
      <x:c r="C2062" s="53" t="str">
        <x:v>D56</x:v>
      </x:c>
      <x:c r="D2062" s="53" t="str">
        <x:v>27 September 2025</x:v>
      </x:c>
      <x:c r="E2062" s="53"/>
    </x:row>
    <x:row r="2063" ht="15" hidden="0" customHeight="1">
      <x:c r="A2063" s="53" t="str">
        <x:v>Anjoman accounting - refined.xlsx</x:v>
      </x:c>
      <x:c r="B2063" s="53" t="str">
        <x:v>خام_تلگرام</x:v>
      </x:c>
      <x:c r="C2063" s="53" t="str">
        <x:v>A57</x:v>
      </x:c>
      <x:c r="D2063" s="53" t="str">
        <x:v>message49</x:v>
      </x:c>
      <x:c r="E2063" s="53"/>
    </x:row>
    <x:row r="2064" ht="15" hidden="0" customHeight="1">
      <x:c r="A2064" s="53" t="str">
        <x:v>Anjoman accounting - refined.xlsx</x:v>
      </x:c>
      <x:c r="B2064" s="53" t="str">
        <x:v>خام_تلگرام</x:v>
      </x:c>
      <x:c r="C2064" s="53" t="str">
        <x:v>B57</x:v>
      </x:c>
      <x:c r="D2064" s="53" t="str">
        <x:v>27.09.2025 11:43:22 UTC+03:30</x:v>
      </x:c>
      <x:c r="E2064" s="53"/>
    </x:row>
    <x:row r="2065" ht="15" hidden="0" customHeight="1">
      <x:c r="A2065" s="53" t="str">
        <x:v>Anjoman accounting - refined.xlsx</x:v>
      </x:c>
      <x:c r="B2065" s="53" t="str">
        <x:v>خام_تلگرام</x:v>
      </x:c>
      <x:c r="C2065" s="53" t="str">
        <x:v>C57</x:v>
      </x:c>
      <x:c r="D2065" s="53" t="str">
        <x:v>امین عزیزی</x:v>
      </x:c>
      <x:c r="E2065" s="53"/>
    </x:row>
    <x:row r="2066" ht="15" hidden="0" customHeight="1">
      <x:c r="A2066" s="53" t="str">
        <x:v>Anjoman accounting - refined.xlsx</x:v>
      </x:c>
      <x:c r="B2066" s="53" t="str">
        <x:v>خام_تلگرام</x:v>
      </x:c>
      <x:c r="C2066" s="53" t="str">
        <x:v>D57</x:v>
      </x:c>
      <x:c r="D2066" s="53" t="str">
        <x:v>حسن شماره این کارتی که پولهای انجمن توش هست رو بذار اینجا من باقی مونده پول رویداد رو بریزم تو اون</x:v>
      </x:c>
      <x:c r="E2066" s="53"/>
    </x:row>
    <x:row r="2067" ht="15" hidden="0" customHeight="1">
      <x:c r="A2067" s="53" t="str">
        <x:v>Anjoman accounting - refined.xlsx</x:v>
      </x:c>
      <x:c r="B2067" s="53" t="str">
        <x:v>خام_تلگرام</x:v>
      </x:c>
      <x:c r="C2067" s="53" t="str">
        <x:v>A58</x:v>
      </x:c>
      <x:c r="D2067" s="53" t="str">
        <x:v>message-9</x:v>
      </x:c>
      <x:c r="E2067" s="53"/>
    </x:row>
    <x:row r="2068" ht="15" hidden="0" customHeight="1">
      <x:c r="A2068" s="53" t="str">
        <x:v>Anjoman accounting - refined.xlsx</x:v>
      </x:c>
      <x:c r="B2068" s="53" t="str">
        <x:v>خام_تلگرام</x:v>
      </x:c>
      <x:c r="C2068" s="53" t="str">
        <x:v>D58</x:v>
      </x:c>
      <x:c r="D2068" s="53" t="str">
        <x:v>1 October 2025</x:v>
      </x:c>
      <x:c r="E2068" s="53"/>
    </x:row>
    <x:row r="2069" ht="15" hidden="0" customHeight="1">
      <x:c r="A2069" s="53" t="str">
        <x:v>Anjoman accounting - refined.xlsx</x:v>
      </x:c>
      <x:c r="B2069" s="53" t="str">
        <x:v>خام_تلگرام</x:v>
      </x:c>
      <x:c r="C2069" s="53" t="str">
        <x:v>A59</x:v>
      </x:c>
      <x:c r="D2069" s="53" t="str">
        <x:v>message50</x:v>
      </x:c>
      <x:c r="E2069" s="53"/>
    </x:row>
    <x:row r="2070" ht="15" hidden="0" customHeight="1">
      <x:c r="A2070" s="53" t="str">
        <x:v>Anjoman accounting - refined.xlsx</x:v>
      </x:c>
      <x:c r="B2070" s="53" t="str">
        <x:v>خام_تلگرام</x:v>
      </x:c>
      <x:c r="C2070" s="53" t="str">
        <x:v>B59</x:v>
      </x:c>
      <x:c r="D2070" s="53" t="str">
        <x:v>01.10.2025 11:51:03 UTC+03:30</x:v>
      </x:c>
      <x:c r="E2070" s="53"/>
    </x:row>
    <x:row r="2071" ht="15" hidden="0" customHeight="1">
      <x:c r="A2071" s="53" t="str">
        <x:v>Anjoman accounting - refined.xlsx</x:v>
      </x:c>
      <x:c r="B2071" s="53" t="str">
        <x:v>خام_تلگرام</x:v>
      </x:c>
      <x:c r="C2071" s="53" t="str">
        <x:v>C59</x:v>
      </x:c>
      <x:c r="D2071" s="53" t="str">
        <x:v>Deleted Account</x:v>
      </x:c>
      <x:c r="E2071" s="53"/>
    </x:row>
    <x:row r="2072" ht="15" hidden="0" customHeight="1">
      <x:c r="A2072" s="53" t="str">
        <x:v>Anjoman accounting - refined.xlsx</x:v>
      </x:c>
      <x:c r="B2072" s="53" t="str">
        <x:v>خام_تلگرام</x:v>
      </x:c>
      <x:c r="C2072" s="53" t="str">
        <x:v>D59</x:v>
      </x:c>
      <x:c r="D2072" s="53" t="str">
        <x:v>5047061055888966</x:v>
      </x:c>
      <x:c r="E2072" s="53"/>
    </x:row>
    <x:row r="2073" ht="15" hidden="0" customHeight="1">
      <x:c r="A2073" s="53" t="str">
        <x:v>Anjoman accounting - refined.xlsx</x:v>
      </x:c>
      <x:c r="B2073" s="53" t="str">
        <x:v>خام_تلگرام</x:v>
      </x:c>
      <x:c r="C2073" s="53" t="str">
        <x:v>A60</x:v>
      </x:c>
      <x:c r="D2073" s="53" t="str">
        <x:v>message51</x:v>
      </x:c>
      <x:c r="E2073" s="53"/>
    </x:row>
    <x:row r="2074" ht="15" hidden="0" customHeight="1">
      <x:c r="A2074" s="53" t="str">
        <x:v>Anjoman accounting - refined.xlsx</x:v>
      </x:c>
      <x:c r="B2074" s="53" t="str">
        <x:v>خام_تلگرام</x:v>
      </x:c>
      <x:c r="C2074" s="53" t="str">
        <x:v>B60</x:v>
      </x:c>
      <x:c r="D2074" s="53" t="str">
        <x:v>01.10.2025 18:02:44 UTC+03:30</x:v>
      </x:c>
      <x:c r="E2074" s="53"/>
    </x:row>
    <x:row r="2075" ht="15" hidden="0" customHeight="1">
      <x:c r="A2075" s="53" t="str">
        <x:v>Anjoman accounting - refined.xlsx</x:v>
      </x:c>
      <x:c r="B2075" s="53" t="str">
        <x:v>خام_تلگرام</x:v>
      </x:c>
      <x:c r="C2075" s="53" t="str">
        <x:v>C60</x:v>
      </x:c>
      <x:c r="D2075" s="53" t="str">
        <x:v>امین عزیزی</x:v>
      </x:c>
      <x:c r="E2075" s="53"/>
    </x:row>
    <x:row r="2076" ht="15" hidden="0" customHeight="1">
      <x:c r="A2076" s="53" t="str">
        <x:v>Anjoman accounting - refined.xlsx</x:v>
      </x:c>
      <x:c r="B2076" s="53" t="str">
        <x:v>خام_تلگرام</x:v>
      </x:c>
      <x:c r="C2076" s="53" t="str">
        <x:v>D60</x:v>
      </x:c>
      <x:c r="D2076" s="53" t="str">
        <x:v>انتقال درآمد خالص از همایش معرفی رشته به حساب اصلی</x:v>
      </x:c>
      <x:c r="E2076" s="53"/>
    </x:row>
    <x:row r="2077" ht="15" hidden="0" customHeight="1">
      <x:c r="A2077" s="53" t="str">
        <x:v>Anjoman accounting - refined.xlsx</x:v>
      </x:c>
      <x:c r="B2077" s="53" t="str">
        <x:v>خام_تلگرام</x:v>
      </x:c>
      <x:c r="C2077" s="53" t="str">
        <x:v>E60</x:v>
      </x:c>
      <x:c r="D2077" s="53" t="str">
        <x:v>photos/photo_12@01-10-2025_18-02-44.jpg</x:v>
      </x:c>
      <x:c r="E2077" s="53"/>
    </x:row>
    <x:row r="2078" ht="15" hidden="0" customHeight="1">
      <x:c r="A2078" s="53" t="str">
        <x:v>Anjoman accounting - refined.xlsx</x:v>
      </x:c>
      <x:c r="B2078" s="53" t="str">
        <x:v>خام_تلگرام</x:v>
      </x:c>
      <x:c r="C2078" s="53" t="str">
        <x:v>A61</x:v>
      </x:c>
      <x:c r="D2078" s="53" t="str">
        <x:v>message52</x:v>
      </x:c>
      <x:c r="E2078" s="53"/>
    </x:row>
    <x:row r="2079" ht="15" hidden="0" customHeight="1">
      <x:c r="A2079" s="53" t="str">
        <x:v>Anjoman accounting - refined.xlsx</x:v>
      </x:c>
      <x:c r="B2079" s="53" t="str">
        <x:v>خام_تلگرام</x:v>
      </x:c>
      <x:c r="C2079" s="53" t="str">
        <x:v>B61</x:v>
      </x:c>
      <x:c r="D2079" s="53" t="str">
        <x:v>01.10.2025 22:22:43 UTC+03:30</x:v>
      </x:c>
      <x:c r="E2079" s="53"/>
    </x:row>
    <x:row r="2080" ht="15" hidden="0" customHeight="1">
      <x:c r="A2080" s="53" t="str">
        <x:v>Anjoman accounting - refined.xlsx</x:v>
      </x:c>
      <x:c r="B2080" s="53" t="str">
        <x:v>خام_تلگرام</x:v>
      </x:c>
      <x:c r="C2080" s="53" t="str">
        <x:v>C61</x:v>
      </x:c>
      <x:c r="D2080" s="53" t="str">
        <x:v>Deleted Account</x:v>
      </x:c>
      <x:c r="E2080" s="53"/>
    </x:row>
    <x:row r="2081" ht="15" hidden="0" customHeight="1">
      <x:c r="A2081" s="53" t="str">
        <x:v>Anjoman accounting - refined.xlsx</x:v>
      </x:c>
      <x:c r="B2081" s="53" t="str">
        <x:v>خام_تلگرام</x:v>
      </x:c>
      <x:c r="C2081" s="53" t="str">
        <x:v>D61</x:v>
      </x:c>
      <x:c r="D2081" s="53" t="str">
        <x:v>22,765,000 موجودی فعلی</x:v>
      </x:c>
      <x:c r="E2081" s="53"/>
    </x:row>
    <x:row r="2082" ht="15" hidden="0" customHeight="1">
      <x:c r="A2082" s="53" t="str">
        <x:v>Anjoman accounting - refined.xlsx</x:v>
      </x:c>
      <x:c r="B2082" s="53" t="str">
        <x:v>خام_تلگرام</x:v>
      </x:c>
      <x:c r="C2082" s="53" t="str">
        <x:v>A62</x:v>
      </x:c>
      <x:c r="D2082" s="53" t="str">
        <x:v>message53</x:v>
      </x:c>
      <x:c r="E2082" s="53"/>
    </x:row>
    <x:row r="2083" ht="15" hidden="0" customHeight="1">
      <x:c r="A2083" s="53" t="str">
        <x:v>Anjoman accounting - refined.xlsx</x:v>
      </x:c>
      <x:c r="B2083" s="53" t="str">
        <x:v>خام_تلگرام</x:v>
      </x:c>
      <x:c r="C2083" s="53" t="str">
        <x:v>B62</x:v>
      </x:c>
      <x:c r="D2083" s="53" t="str">
        <x:v>01.10.2025 22:22:51 UTC+03:30</x:v>
      </x:c>
      <x:c r="E2083" s="53"/>
    </x:row>
    <x:row r="2084" ht="15" hidden="0" customHeight="1">
      <x:c r="A2084" s="53" t="str">
        <x:v>Anjoman accounting - refined.xlsx</x:v>
      </x:c>
      <x:c r="B2084" s="53" t="str">
        <x:v>خام_تلگرام</x:v>
      </x:c>
      <x:c r="C2084" s="53" t="str">
        <x:v>D62</x:v>
      </x:c>
      <x:c r="D2084" s="53" t="str">
        <x:v>این رو کسر کردی امین؟</x:v>
      </x:c>
      <x:c r="E2084" s="53"/>
    </x:row>
    <x:row r="2085" ht="15" hidden="0" customHeight="1">
      <x:c r="A2085" s="53" t="str">
        <x:v>Anjoman accounting - refined.xlsx</x:v>
      </x:c>
      <x:c r="B2085" s="53" t="str">
        <x:v>خام_تلگرام</x:v>
      </x:c>
      <x:c r="C2085" s="53" t="str">
        <x:v>A63</x:v>
      </x:c>
      <x:c r="D2085" s="53" t="str">
        <x:v>message54</x:v>
      </x:c>
      <x:c r="E2085" s="53"/>
    </x:row>
    <x:row r="2086" ht="15" hidden="0" customHeight="1">
      <x:c r="A2086" s="53" t="str">
        <x:v>Anjoman accounting - refined.xlsx</x:v>
      </x:c>
      <x:c r="B2086" s="53" t="str">
        <x:v>خام_تلگرام</x:v>
      </x:c>
      <x:c r="C2086" s="53" t="str">
        <x:v>B63</x:v>
      </x:c>
      <x:c r="D2086" s="53" t="str">
        <x:v>01.10.2025 23:25:53 UTC+03:30</x:v>
      </x:c>
      <x:c r="E2086" s="53"/>
    </x:row>
    <x:row r="2087" ht="15" hidden="0" customHeight="1">
      <x:c r="A2087" s="53" t="str">
        <x:v>Anjoman accounting - refined.xlsx</x:v>
      </x:c>
      <x:c r="B2087" s="53" t="str">
        <x:v>خام_تلگرام</x:v>
      </x:c>
      <x:c r="C2087" s="53" t="str">
        <x:v>C63</x:v>
      </x:c>
      <x:c r="D2087" s="53" t="str">
        <x:v>امین عزیزی</x:v>
      </x:c>
      <x:c r="E2087" s="53"/>
    </x:row>
    <x:row r="2088" ht="15" hidden="0" customHeight="1">
      <x:c r="A2088" s="53" t="str">
        <x:v>Anjoman accounting - refined.xlsx</x:v>
      </x:c>
      <x:c r="B2088" s="53" t="str">
        <x:v>خام_تلگرام</x:v>
      </x:c>
      <x:c r="C2088" s="53" t="str">
        <x:v>D63</x:v>
      </x:c>
      <x:c r="D2088" s="53" t="str">
        <x:v>آره</x:v>
      </x:c>
      <x:c r="E2088" s="53"/>
    </x:row>
    <x:row r="2089" ht="15" hidden="0" customHeight="1">
      <x:c r="A2089" s="53" t="str">
        <x:v>Anjoman accounting - refined.xlsx</x:v>
      </x:c>
      <x:c r="B2089" s="53" t="str">
        <x:v>خام_تلگرام</x:v>
      </x:c>
      <x:c r="C2089" s="53" t="str">
        <x:v>A64</x:v>
      </x:c>
      <x:c r="D2089" s="53" t="str">
        <x:v>message-10</x:v>
      </x:c>
      <x:c r="E2089" s="53"/>
    </x:row>
    <x:row r="2090" ht="15" hidden="0" customHeight="1">
      <x:c r="A2090" s="53" t="str">
        <x:v>Anjoman accounting - refined.xlsx</x:v>
      </x:c>
      <x:c r="B2090" s="53" t="str">
        <x:v>خام_تلگرام</x:v>
      </x:c>
      <x:c r="C2090" s="53" t="str">
        <x:v>D64</x:v>
      </x:c>
      <x:c r="D2090" s="53" t="str">
        <x:v>10 October 2025</x:v>
      </x:c>
      <x:c r="E2090" s="53"/>
    </x:row>
    <x:row r="2091" ht="15" hidden="0" customHeight="1">
      <x:c r="A2091" s="53" t="str">
        <x:v>Anjoman accounting - refined.xlsx</x:v>
      </x:c>
      <x:c r="B2091" s="53" t="str">
        <x:v>خام_تلگرام</x:v>
      </x:c>
      <x:c r="C2091" s="53" t="str">
        <x:v>A65</x:v>
      </x:c>
      <x:c r="D2091" s="53" t="str">
        <x:v>message55</x:v>
      </x:c>
      <x:c r="E2091" s="53"/>
    </x:row>
    <x:row r="2092" ht="15" hidden="0" customHeight="1">
      <x:c r="A2092" s="53" t="str">
        <x:v>Anjoman accounting - refined.xlsx</x:v>
      </x:c>
      <x:c r="B2092" s="53" t="str">
        <x:v>خام_تلگرام</x:v>
      </x:c>
      <x:c r="C2092" s="53" t="str">
        <x:v>B65</x:v>
      </x:c>
      <x:c r="D2092" s="53" t="str">
        <x:v>10.10.2025 04:08:44 UTC+03:30</x:v>
      </x:c>
      <x:c r="E2092" s="53"/>
    </x:row>
    <x:row r="2093" ht="15" hidden="0" customHeight="1">
      <x:c r="A2093" s="53" t="str">
        <x:v>Anjoman accounting - refined.xlsx</x:v>
      </x:c>
      <x:c r="B2093" s="53" t="str">
        <x:v>خام_تلگرام</x:v>
      </x:c>
      <x:c r="C2093" s="53" t="str">
        <x:v>C65</x:v>
      </x:c>
      <x:c r="D2093" s="53" t="str">
        <x:v>Deleted Account</x:v>
      </x:c>
      <x:c r="E2093" s="53"/>
    </x:row>
    <x:row r="2094" ht="15" hidden="0" customHeight="1">
      <x:c r="A2094" s="53" t="str">
        <x:v>Anjoman accounting - refined.xlsx</x:v>
      </x:c>
      <x:c r="B2094" s="53" t="str">
        <x:v>خام_تلگرام</x:v>
      </x:c>
      <x:c r="C2094" s="53" t="str">
        <x:v>D65</x:v>
      </x:c>
      <x:c r="D2094" s="53" t="str">
        <x:v>@FCS_Amzz https://docs.google.com/spreadsheets/d/12dGUWPGR8eJiLOSkOMYbIjftBJd0PxpBjG16vWOxGVo/edit?gid=696169602#gid=696169602</x:v>
      </x:c>
      <x:c r="E2094" s="53"/>
    </x:row>
    <x:row r="2095" ht="15" hidden="0" customHeight="1">
      <x:c r="A2095" s="53" t="str">
        <x:v>Anjoman accounting - refined.xlsx</x:v>
      </x:c>
      <x:c r="B2095" s="53" t="str">
        <x:v>خام_تلگرام</x:v>
      </x:c>
      <x:c r="C2095" s="53" t="str">
        <x:v>E65</x:v>
      </x:c>
      <x:c r="D2095" s="53" t="str">
        <x:v>https://t.me/FCS_Amzz; https://docs.google.com/spreadsheets/d/12dGUWPGR8eJiLOSkOMYbIjftBJd0PxpBjG16vWOxGVo/edit?gid=696169602#gid=696169602</x:v>
      </x:c>
      <x:c r="E2095" s="53"/>
    </x:row>
    <x:row r="2096" ht="15" hidden="0" customHeight="1">
      <x:c r="A2096" s="53" t="str">
        <x:v>Anjoman accounting - refined.xlsx</x:v>
      </x:c>
      <x:c r="B2096" s="53" t="str">
        <x:v>خام_تلگرام</x:v>
      </x:c>
      <x:c r="C2096" s="53" t="str">
        <x:v>A66</x:v>
      </x:c>
      <x:c r="D2096" s="53" t="str">
        <x:v>message56</x:v>
      </x:c>
      <x:c r="E2096" s="53"/>
    </x:row>
    <x:row r="2097" ht="15" hidden="0" customHeight="1">
      <x:c r="A2097" s="53" t="str">
        <x:v>Anjoman accounting - refined.xlsx</x:v>
      </x:c>
      <x:c r="B2097" s="53" t="str">
        <x:v>خام_تلگرام</x:v>
      </x:c>
      <x:c r="C2097" s="53" t="str">
        <x:v>B66</x:v>
      </x:c>
      <x:c r="D2097" s="53" t="str">
        <x:v>10.10.2025 04:08:50 UTC+03:30</x:v>
      </x:c>
      <x:c r="E2097" s="53"/>
    </x:row>
    <x:row r="2098" ht="15" hidden="0" customHeight="1">
      <x:c r="A2098" s="53" t="str">
        <x:v>Anjoman accounting - refined.xlsx</x:v>
      </x:c>
      <x:c r="B2098" s="53" t="str">
        <x:v>خام_تلگرام</x:v>
      </x:c>
      <x:c r="C2098" s="53" t="str">
        <x:v>D66</x:v>
      </x:c>
      <x:c r="D2098" s="53" t="str">
        <x:v>آپدیتش کن نازنین</x:v>
      </x:c>
      <x:c r="E2098" s="53"/>
    </x:row>
    <x:row r="2099" ht="15" hidden="0" customHeight="1">
      <x:c r="A2099" s="53" t="str">
        <x:v>Anjoman accounting - refined.xlsx</x:v>
      </x:c>
      <x:c r="B2099" s="53" t="str">
        <x:v>خام_تلگرام</x:v>
      </x:c>
      <x:c r="C2099" s="53" t="str">
        <x:v>A67</x:v>
      </x:c>
      <x:c r="D2099" s="53" t="str">
        <x:v>message57</x:v>
      </x:c>
      <x:c r="E2099" s="53"/>
    </x:row>
    <x:row r="2100" ht="15" hidden="0" customHeight="1">
      <x:c r="A2100" s="53" t="str">
        <x:v>Anjoman accounting - refined.xlsx</x:v>
      </x:c>
      <x:c r="B2100" s="53" t="str">
        <x:v>خام_تلگرام</x:v>
      </x:c>
      <x:c r="C2100" s="53" t="str">
        <x:v>B67</x:v>
      </x:c>
      <x:c r="D2100" s="53" t="str">
        <x:v>10.10.2025 04:09:43 UTC+03:30</x:v>
      </x:c>
      <x:c r="E2100" s="53"/>
    </x:row>
    <x:row r="2101" ht="15" hidden="0" customHeight="1">
      <x:c r="A2101" s="53" t="str">
        <x:v>Anjoman accounting - refined.xlsx</x:v>
      </x:c>
      <x:c r="B2101" s="53" t="str">
        <x:v>خام_تلگرام</x:v>
      </x:c>
      <x:c r="C2101" s="53" t="str">
        <x:v>D67</x:v>
      </x:c>
      <x:c r="D2101" s="53" t="str">
        <x:v>اون کلید ها که من زدم با تبلیغ مهمات شریف و پوستری که تو چاپ کردی</x:v>
      </x:c>
      <x:c r="E2101" s="53"/>
    </x:row>
    <x:row r="2102" ht="15" hidden="0" customHeight="1">
      <x:c r="A2102" s="53" t="str">
        <x:v>Anjoman accounting - refined.xlsx</x:v>
      </x:c>
      <x:c r="B2102" s="53" t="str">
        <x:v>خام_تلگرام</x:v>
      </x:c>
      <x:c r="C2102" s="53" t="str">
        <x:v>A68</x:v>
      </x:c>
      <x:c r="D2102" s="53" t="str">
        <x:v>message58</x:v>
      </x:c>
      <x:c r="E2102" s="53"/>
    </x:row>
    <x:row r="2103" ht="15" hidden="0" customHeight="1">
      <x:c r="A2103" s="53" t="str">
        <x:v>Anjoman accounting - refined.xlsx</x:v>
      </x:c>
      <x:c r="B2103" s="53" t="str">
        <x:v>خام_تلگرام</x:v>
      </x:c>
      <x:c r="C2103" s="53" t="str">
        <x:v>B68</x:v>
      </x:c>
      <x:c r="D2103" s="53" t="str">
        <x:v>10.10.2025 11:50:44 UTC+03:30</x:v>
      </x:c>
      <x:c r="E2103" s="53"/>
    </x:row>
    <x:row r="2104" ht="15" hidden="0" customHeight="1">
      <x:c r="A2104" s="53" t="str">
        <x:v>Anjoman accounting - refined.xlsx</x:v>
      </x:c>
      <x:c r="B2104" s="53" t="str">
        <x:v>خام_تلگرام</x:v>
      </x:c>
      <x:c r="C2104" s="53" t="str">
        <x:v>C68</x:v>
      </x:c>
      <x:c r="D2104" s="53" t="str">
        <x:v>امین عزیزی</x:v>
      </x:c>
      <x:c r="E2104" s="53"/>
    </x:row>
    <x:row r="2105" ht="15" hidden="0" customHeight="1">
      <x:c r="A2105" s="53" t="str">
        <x:v>Anjoman accounting - refined.xlsx</x:v>
      </x:c>
      <x:c r="B2105" s="53" t="str">
        <x:v>خام_تلگرام</x:v>
      </x:c>
      <x:c r="C2105" s="53" t="str">
        <x:v>D68</x:v>
      </x:c>
      <x:c r="D2105" s="53" t="str">
        <x:v>کدوم پوستر منظورته؟</x:v>
      </x:c>
      <x:c r="E2105" s="53"/>
    </x:row>
    <x:row r="2106" ht="15" hidden="0" customHeight="1">
      <x:c r="A2106" s="53" t="str">
        <x:v>Anjoman accounting - refined.xlsx</x:v>
      </x:c>
      <x:c r="B2106" s="53" t="str">
        <x:v>خام_تلگرام</x:v>
      </x:c>
      <x:c r="C2106" s="53" t="str">
        <x:v>A69</x:v>
      </x:c>
      <x:c r="D2106" s="53" t="str">
        <x:v>message59</x:v>
      </x:c>
      <x:c r="E2106" s="53"/>
    </x:row>
    <x:row r="2107" ht="15" hidden="0" customHeight="1">
      <x:c r="A2107" s="53" t="str">
        <x:v>Anjoman accounting - refined.xlsx</x:v>
      </x:c>
      <x:c r="B2107" s="53" t="str">
        <x:v>خام_تلگرام</x:v>
      </x:c>
      <x:c r="C2107" s="53" t="str">
        <x:v>B69</x:v>
      </x:c>
      <x:c r="D2107" s="53" t="str">
        <x:v>10.10.2025 11:55:42 UTC+03:30</x:v>
      </x:c>
      <x:c r="E2107" s="53"/>
    </x:row>
    <x:row r="2108" ht="15" hidden="0" customHeight="1">
      <x:c r="A2108" s="53" t="str">
        <x:v>Anjoman accounting - refined.xlsx</x:v>
      </x:c>
      <x:c r="B2108" s="53" t="str">
        <x:v>خام_تلگرام</x:v>
      </x:c>
      <x:c r="C2108" s="53" t="str">
        <x:v>C69</x:v>
      </x:c>
      <x:c r="D2108" s="53" t="str">
        <x:v>Deleted Account</x:v>
      </x:c>
      <x:c r="E2108" s="53"/>
    </x:row>
    <x:row r="2109" ht="15" hidden="0" customHeight="1">
      <x:c r="A2109" s="53" t="str">
        <x:v>Anjoman accounting - refined.xlsx</x:v>
      </x:c>
      <x:c r="B2109" s="53" t="str">
        <x:v>خام_تلگرام</x:v>
      </x:c>
      <x:c r="C2109" s="53" t="str">
        <x:v>D69</x:v>
      </x:c>
      <x:c r="D2109" s="53" t="str">
        <x:v>این</x:v>
      </x:c>
      <x:c r="E2109" s="53"/>
    </x:row>
    <x:row r="2110" ht="15" hidden="0" customHeight="1">
      <x:c r="A2110" s="53" t="str">
        <x:v>Anjoman accounting - refined.xlsx</x:v>
      </x:c>
      <x:c r="B2110" s="53" t="str">
        <x:v>خام_تلگرام</x:v>
      </x:c>
      <x:c r="C2110" s="53" t="str">
        <x:v>A70</x:v>
      </x:c>
      <x:c r="D2110" s="53" t="str">
        <x:v>message60</x:v>
      </x:c>
      <x:c r="E2110" s="53"/>
    </x:row>
    <x:row r="2111" ht="15" hidden="0" customHeight="1">
      <x:c r="A2111" s="53" t="str">
        <x:v>Anjoman accounting - refined.xlsx</x:v>
      </x:c>
      <x:c r="B2111" s="53" t="str">
        <x:v>خام_تلگرام</x:v>
      </x:c>
      <x:c r="C2111" s="53" t="str">
        <x:v>B70</x:v>
      </x:c>
      <x:c r="D2111" s="53" t="str">
        <x:v>10.10.2025 11:57:06 UTC+03:30</x:v>
      </x:c>
      <x:c r="E2111" s="53"/>
    </x:row>
    <x:row r="2112" ht="15" hidden="0" customHeight="1">
      <x:c r="A2112" s="53" t="str">
        <x:v>Anjoman accounting - refined.xlsx</x:v>
      </x:c>
      <x:c r="B2112" s="53" t="str">
        <x:v>خام_تلگرام</x:v>
      </x:c>
      <x:c r="C2112" s="53" t="str">
        <x:v>C70</x:v>
      </x:c>
      <x:c r="D2112" s="53" t="str">
        <x:v>امین عزیزی</x:v>
      </x:c>
      <x:c r="E2112" s="53"/>
    </x:row>
    <x:row r="2113" ht="15" hidden="0" customHeight="1">
      <x:c r="A2113" s="53" t="str">
        <x:v>Anjoman accounting - refined.xlsx</x:v>
      </x:c>
      <x:c r="B2113" s="53" t="str">
        <x:v>خام_تلگرام</x:v>
      </x:c>
      <x:c r="C2113" s="53" t="str">
        <x:v>D70</x:v>
      </x:c>
      <x:c r="D2113" s="53" t="str">
        <x:v>اینو زدم</x:v>
      </x:c>
      <x:c r="E2113" s="53"/>
    </x:row>
    <x:row r="2114" ht="15" hidden="0" customHeight="1">
      <x:c r="A2114" s="53" t="str">
        <x:v>Anjoman accounting - refined.xlsx</x:v>
      </x:c>
      <x:c r="B2114" s="53" t="str">
        <x:v>خام_تلگرام</x:v>
      </x:c>
      <x:c r="C2114" s="53" t="str">
        <x:v>A71</x:v>
      </x:c>
      <x:c r="D2114" s="53" t="str">
        <x:v>message-11</x:v>
      </x:c>
      <x:c r="E2114" s="53"/>
    </x:row>
    <x:row r="2115" ht="15" hidden="0" customHeight="1">
      <x:c r="A2115" s="53" t="str">
        <x:v>Anjoman accounting - refined.xlsx</x:v>
      </x:c>
      <x:c r="B2115" s="53" t="str">
        <x:v>خام_تلگرام</x:v>
      </x:c>
      <x:c r="C2115" s="53" t="str">
        <x:v>D71</x:v>
      </x:c>
      <x:c r="D2115" s="53" t="str">
        <x:v>12 October 2025</x:v>
      </x:c>
      <x:c r="E2115" s="53"/>
    </x:row>
    <x:row r="2116" ht="15" hidden="0" customHeight="1">
      <x:c r="A2116" s="53" t="str">
        <x:v>Anjoman accounting - refined.xlsx</x:v>
      </x:c>
      <x:c r="B2116" s="53" t="str">
        <x:v>خام_تلگرام</x:v>
      </x:c>
      <x:c r="C2116" s="53" t="str">
        <x:v>A72</x:v>
      </x:c>
      <x:c r="D2116" s="53" t="str">
        <x:v>message61</x:v>
      </x:c>
      <x:c r="E2116" s="53"/>
    </x:row>
    <x:row r="2117" ht="15" hidden="0" customHeight="1">
      <x:c r="A2117" s="53" t="str">
        <x:v>Anjoman accounting - refined.xlsx</x:v>
      </x:c>
      <x:c r="B2117" s="53" t="str">
        <x:v>خام_تلگرام</x:v>
      </x:c>
      <x:c r="C2117" s="53" t="str">
        <x:v>B72</x:v>
      </x:c>
      <x:c r="D2117" s="53" t="str">
        <x:v>12.10.2025 10:24:38 UTC+03:30</x:v>
      </x:c>
      <x:c r="E2117" s="53"/>
    </x:row>
    <x:row r="2118" ht="15" hidden="0" customHeight="1">
      <x:c r="A2118" s="53" t="str">
        <x:v>Anjoman accounting - refined.xlsx</x:v>
      </x:c>
      <x:c r="B2118" s="53" t="str">
        <x:v>خام_تلگرام</x:v>
      </x:c>
      <x:c r="C2118" s="53" t="str">
        <x:v>C72</x:v>
      </x:c>
      <x:c r="D2118" s="53" t="str">
        <x:v>Deleted Account</x:v>
      </x:c>
      <x:c r="E2118" s="53"/>
    </x:row>
    <x:row r="2119" ht="15" hidden="0" customHeight="1">
      <x:c r="A2119" s="53" t="str">
        <x:v>Anjoman accounting - refined.xlsx</x:v>
      </x:c>
      <x:c r="B2119" s="53" t="str">
        <x:v>خام_تلگرام</x:v>
      </x:c>
      <x:c r="C2119" s="53" t="str">
        <x:v>D72</x:v>
      </x:c>
      <x:c r="D2119" s="53" t="str">
        <x:v>پوستر نشست و کوانتا</x:v>
      </x:c>
      <x:c r="E2119" s="53"/>
    </x:row>
    <x:row r="2120" ht="15" hidden="0" customHeight="1">
      <x:c r="A2120" s="53" t="str">
        <x:v>Anjoman accounting - refined.xlsx</x:v>
      </x:c>
      <x:c r="B2120" s="53" t="str">
        <x:v>خام_تلگرام</x:v>
      </x:c>
      <x:c r="C2120" s="53" t="str">
        <x:v>E72</x:v>
      </x:c>
      <x:c r="D2120" s="53" t="str">
        <x:v>photos/photo_13@12-10-2025_10-24-38.jpg</x:v>
      </x:c>
      <x:c r="E2120" s="53"/>
    </x:row>
    <x:row r="2121" ht="15" hidden="0" customHeight="1">
      <x:c r="A2121" s="53" t="str">
        <x:v>Anjoman accounting - refined.xlsx</x:v>
      </x:c>
      <x:c r="B2121" s="53" t="str">
        <x:v>خام_تلگرام</x:v>
      </x:c>
      <x:c r="C2121" s="53" t="str">
        <x:v>A73</x:v>
      </x:c>
      <x:c r="D2121" s="53" t="str">
        <x:v>message-12</x:v>
      </x:c>
      <x:c r="E2121" s="53"/>
    </x:row>
    <x:row r="2122" ht="15" hidden="0" customHeight="1">
      <x:c r="A2122" s="53" t="str">
        <x:v>Anjoman accounting - refined.xlsx</x:v>
      </x:c>
      <x:c r="B2122" s="53" t="str">
        <x:v>خام_تلگرام</x:v>
      </x:c>
      <x:c r="C2122" s="53" t="str">
        <x:v>D73</x:v>
      </x:c>
      <x:c r="D2122" s="53" t="str">
        <x:v>15 October 2025</x:v>
      </x:c>
      <x:c r="E2122" s="53"/>
    </x:row>
    <x:row r="2123" ht="15" hidden="0" customHeight="1">
      <x:c r="A2123" s="53" t="str">
        <x:v>Anjoman accounting - refined.xlsx</x:v>
      </x:c>
      <x:c r="B2123" s="53" t="str">
        <x:v>خام_تلگرام</x:v>
      </x:c>
      <x:c r="C2123" s="53" t="str">
        <x:v>A74</x:v>
      </x:c>
      <x:c r="D2123" s="53" t="str">
        <x:v>message62</x:v>
      </x:c>
      <x:c r="E2123" s="53"/>
    </x:row>
    <x:row r="2124" ht="15" hidden="0" customHeight="1">
      <x:c r="A2124" s="53" t="str">
        <x:v>Anjoman accounting - refined.xlsx</x:v>
      </x:c>
      <x:c r="B2124" s="53" t="str">
        <x:v>خام_تلگرام</x:v>
      </x:c>
      <x:c r="C2124" s="53" t="str">
        <x:v>B74</x:v>
      </x:c>
      <x:c r="D2124" s="53" t="str">
        <x:v>15.10.2025 14:18:25 UTC+03:30</x:v>
      </x:c>
      <x:c r="E2124" s="53"/>
    </x:row>
    <x:row r="2125" ht="15" hidden="0" customHeight="1">
      <x:c r="A2125" s="53" t="str">
        <x:v>Anjoman accounting - refined.xlsx</x:v>
      </x:c>
      <x:c r="B2125" s="53" t="str">
        <x:v>خام_تلگرام</x:v>
      </x:c>
      <x:c r="C2125" s="53" t="str">
        <x:v>C74</x:v>
      </x:c>
      <x:c r="D2125" s="53" t="str">
        <x:v>Deleted Account</x:v>
      </x:c>
      <x:c r="E2125" s="53"/>
    </x:row>
    <x:row r="2126" ht="15" hidden="0" customHeight="1">
      <x:c r="A2126" s="53" t="str">
        <x:v>Anjoman accounting - refined.xlsx</x:v>
      </x:c>
      <x:c r="B2126" s="53" t="str">
        <x:v>خام_تلگرام</x:v>
      </x:c>
      <x:c r="C2126" s="53" t="str">
        <x:v>D74</x:v>
      </x:c>
      <x:c r="D2126" s="53" t="str">
        <x:v>شیرینی نشست عمومی مورخ 22مهرماه 2کیلو شیرینی خشک سویسی 1کیلو پای آناناس</x:v>
      </x:c>
      <x:c r="E2126" s="53"/>
    </x:row>
    <x:row r="2127" ht="15" hidden="0" customHeight="1">
      <x:c r="A2127" s="53" t="str">
        <x:v>Anjoman accounting - refined.xlsx</x:v>
      </x:c>
      <x:c r="B2127" s="53" t="str">
        <x:v>خام_تلگرام</x:v>
      </x:c>
      <x:c r="C2127" s="53" t="str">
        <x:v>E74</x:v>
      </x:c>
      <x:c r="D2127" s="53" t="str">
        <x:v>photos/photo_14@15-10-2025_14-18-25.jpg</x:v>
      </x:c>
      <x:c r="E2127" s="53"/>
    </x:row>
    <x:row r="2128" ht="15" hidden="0" customHeight="1">
      <x:c r="A2128" s="53" t="str">
        <x:v>Anjoman accounting - refined.xlsx</x:v>
      </x:c>
      <x:c r="B2128" s="53" t="str">
        <x:v>خام_تلگرام</x:v>
      </x:c>
      <x:c r="C2128" s="53" t="str">
        <x:v>A75</x:v>
      </x:c>
      <x:c r="D2128" s="53" t="str">
        <x:v>message63</x:v>
      </x:c>
      <x:c r="E2128" s="53"/>
    </x:row>
    <x:row r="2129" ht="15" hidden="0" customHeight="1">
      <x:c r="A2129" s="53" t="str">
        <x:v>Anjoman accounting - refined.xlsx</x:v>
      </x:c>
      <x:c r="B2129" s="53" t="str">
        <x:v>خام_تلگرام</x:v>
      </x:c>
      <x:c r="C2129" s="53" t="str">
        <x:v>B75</x:v>
      </x:c>
      <x:c r="D2129" s="53" t="str">
        <x:v>15.10.2025 14:18:25 UTC+03:30</x:v>
      </x:c>
      <x:c r="E2129" s="53"/>
    </x:row>
    <x:row r="2130" ht="15" hidden="0" customHeight="1">
      <x:c r="A2130" s="53" t="str">
        <x:v>Anjoman accounting - refined.xlsx</x:v>
      </x:c>
      <x:c r="B2130" s="53" t="str">
        <x:v>خام_تلگرام</x:v>
      </x:c>
      <x:c r="C2130" s="53" t="str">
        <x:v>D75</x:v>
      </x:c>
      <x:c r="D2130" s="53" t="str">
        <x:v>واریزی دکتر مقیمی جهت شیرینی نشست مورخ 22مهرماه</x:v>
      </x:c>
      <x:c r="E2130" s="53"/>
    </x:row>
    <x:row r="2131" ht="15" hidden="0" customHeight="1">
      <x:c r="A2131" s="53" t="str">
        <x:v>Anjoman accounting - refined.xlsx</x:v>
      </x:c>
      <x:c r="B2131" s="53" t="str">
        <x:v>خام_تلگرام</x:v>
      </x:c>
      <x:c r="C2131" s="53" t="str">
        <x:v>E75</x:v>
      </x:c>
      <x:c r="D2131" s="53" t="str">
        <x:v>photos/photo_15@15-10-2025_14-18-25.jpg</x:v>
      </x:c>
      <x:c r="E2131" s="53"/>
    </x:row>
    <x:row r="2132" ht="15" hidden="0" customHeight="1">
      <x:c r="A2132" s="53" t="str">
        <x:v>Anjoman accounting - refined.xlsx</x:v>
      </x:c>
      <x:c r="B2132" s="53" t="str">
        <x:v>خام_تلگرام</x:v>
      </x:c>
      <x:c r="C2132" s="53" t="str">
        <x:v>A76</x:v>
      </x:c>
      <x:c r="D2132" s="53" t="str">
        <x:v>message64</x:v>
      </x:c>
      <x:c r="E2132" s="53"/>
    </x:row>
    <x:row r="2133" ht="15" hidden="0" customHeight="1">
      <x:c r="A2133" s="53" t="str">
        <x:v>Anjoman accounting - refined.xlsx</x:v>
      </x:c>
      <x:c r="B2133" s="53" t="str">
        <x:v>خام_تلگرام</x:v>
      </x:c>
      <x:c r="C2133" s="53" t="str">
        <x:v>B76</x:v>
      </x:c>
      <x:c r="D2133" s="53" t="str">
        <x:v>15.10.2025 14:18:26 UTC+03:30</x:v>
      </x:c>
      <x:c r="E2133" s="53"/>
    </x:row>
    <x:row r="2134" ht="15" hidden="0" customHeight="1">
      <x:c r="A2134" s="53" t="str">
        <x:v>Anjoman accounting - refined.xlsx</x:v>
      </x:c>
      <x:c r="B2134" s="53" t="str">
        <x:v>خام_تلگرام</x:v>
      </x:c>
      <x:c r="C2134" s="53" t="str">
        <x:v>D76</x:v>
      </x:c>
      <x:c r="D2134" s="53" t="str">
        <x:v>دو بسته لیوان پنجاه عددی سه بسته بیسکوئیت چهل عددی یک بسته چایی 100عددی برای انجمن چایی</x:v>
      </x:c>
      <x:c r="E2134" s="53"/>
    </x:row>
    <x:row r="2135" ht="15" hidden="0" customHeight="1">
      <x:c r="A2135" s="53" t="str">
        <x:v>Anjoman accounting - refined.xlsx</x:v>
      </x:c>
      <x:c r="B2135" s="53" t="str">
        <x:v>خام_تلگرام</x:v>
      </x:c>
      <x:c r="C2135" s="53" t="str">
        <x:v>E76</x:v>
      </x:c>
      <x:c r="D2135" s="53" t="str">
        <x:v>photos/photo_16@15-10-2025_14-18-26.jpg</x:v>
      </x:c>
      <x:c r="E2135" s="53"/>
    </x:row>
    <x:row r="2136" ht="15" hidden="0" customHeight="1">
      <x:c r="A2136" s="53" t="str">
        <x:v>Anjoman accounting - refined.xlsx</x:v>
      </x:c>
      <x:c r="B2136" s="53" t="str">
        <x:v>خام_تلگرام</x:v>
      </x:c>
      <x:c r="C2136" s="53" t="str">
        <x:v>A77</x:v>
      </x:c>
      <x:c r="D2136" s="53" t="str">
        <x:v>message65</x:v>
      </x:c>
      <x:c r="E2136" s="53"/>
    </x:row>
    <x:row r="2137" ht="15" hidden="0" customHeight="1">
      <x:c r="A2137" s="53" t="str">
        <x:v>Anjoman accounting - refined.xlsx</x:v>
      </x:c>
      <x:c r="B2137" s="53" t="str">
        <x:v>خام_تلگرام</x:v>
      </x:c>
      <x:c r="C2137" s="53" t="str">
        <x:v>B77</x:v>
      </x:c>
      <x:c r="D2137" s="53" t="str">
        <x:v>15.10.2025 14:18:26 UTC+03:30</x:v>
      </x:c>
      <x:c r="E2137" s="53"/>
    </x:row>
    <x:row r="2138" ht="15" hidden="0" customHeight="1">
      <x:c r="A2138" s="53" t="str">
        <x:v>Anjoman accounting - refined.xlsx</x:v>
      </x:c>
      <x:c r="B2138" s="53" t="str">
        <x:v>خام_تلگرام</x:v>
      </x:c>
      <x:c r="C2138" s="53" t="str">
        <x:v>D77</x:v>
      </x:c>
      <x:c r="D2138" s="53" t="str">
        <x:v>شیرینی پذیرایی جلسه انجمن چایی مورخ 20مهرماه</x:v>
      </x:c>
      <x:c r="E2138" s="53"/>
    </x:row>
    <x:row r="2139" ht="15" hidden="0" customHeight="1">
      <x:c r="A2139" s="53" t="str">
        <x:v>Anjoman accounting - refined.xlsx</x:v>
      </x:c>
      <x:c r="B2139" s="53" t="str">
        <x:v>خام_تلگرام</x:v>
      </x:c>
      <x:c r="C2139" s="53" t="str">
        <x:v>E77</x:v>
      </x:c>
      <x:c r="D2139" s="53" t="str">
        <x:v>photos/photo_17@15-10-2025_14-18-26.jpg</x:v>
      </x:c>
      <x:c r="E2139" s="53"/>
    </x:row>
    <x:row r="2140" ht="15" hidden="0" customHeight="1">
      <x:c r="A2140" s="53" t="str">
        <x:v>Anjoman accounting - refined.xlsx</x:v>
      </x:c>
      <x:c r="B2140" s="53" t="str">
        <x:v>خام_تلگرام</x:v>
      </x:c>
      <x:c r="C2140" s="53" t="str">
        <x:v>A78</x:v>
      </x:c>
      <x:c r="D2140" s="53" t="str">
        <x:v>message-13</x:v>
      </x:c>
      <x:c r="E2140" s="53"/>
    </x:row>
    <x:row r="2141" ht="15" hidden="0" customHeight="1">
      <x:c r="A2141" s="53" t="str">
        <x:v>Anjoman accounting - refined.xlsx</x:v>
      </x:c>
      <x:c r="B2141" s="53" t="str">
        <x:v>خام_تلگرام</x:v>
      </x:c>
      <x:c r="C2141" s="53" t="str">
        <x:v>D78</x:v>
      </x:c>
      <x:c r="D2141" s="53" t="str">
        <x:v>20 October 2025</x:v>
      </x:c>
      <x:c r="E2141" s="53"/>
    </x:row>
    <x:row r="2142" ht="15" hidden="0" customHeight="1">
      <x:c r="A2142" s="53" t="str">
        <x:v>Anjoman accounting - refined.xlsx</x:v>
      </x:c>
      <x:c r="B2142" s="53" t="str">
        <x:v>خام_تلگرام</x:v>
      </x:c>
      <x:c r="C2142" s="53" t="str">
        <x:v>A79</x:v>
      </x:c>
      <x:c r="D2142" s="53" t="str">
        <x:v>message66</x:v>
      </x:c>
      <x:c r="E2142" s="53"/>
    </x:row>
    <x:row r="2143" ht="15" hidden="0" customHeight="1">
      <x:c r="A2143" s="53" t="str">
        <x:v>Anjoman accounting - refined.xlsx</x:v>
      </x:c>
      <x:c r="B2143" s="53" t="str">
        <x:v>خام_تلگرام</x:v>
      </x:c>
      <x:c r="C2143" s="53" t="str">
        <x:v>B79</x:v>
      </x:c>
      <x:c r="D2143" s="53" t="str">
        <x:v>20.10.2025 13:05:39 UTC+03:30</x:v>
      </x:c>
      <x:c r="E2143" s="53"/>
    </x:row>
    <x:row r="2144" ht="15" hidden="0" customHeight="1">
      <x:c r="A2144" s="53" t="str">
        <x:v>Anjoman accounting - refined.xlsx</x:v>
      </x:c>
      <x:c r="B2144" s="53" t="str">
        <x:v>خام_تلگرام</x:v>
      </x:c>
      <x:c r="C2144" s="53" t="str">
        <x:v>C79</x:v>
      </x:c>
      <x:c r="D2144" s="53" t="str">
        <x:v>Deleted Account</x:v>
      </x:c>
      <x:c r="E2144" s="53"/>
    </x:row>
    <x:row r="2145" ht="15" hidden="0" customHeight="1">
      <x:c r="A2145" s="53" t="str">
        <x:v>Anjoman accounting - refined.xlsx</x:v>
      </x:c>
      <x:c r="B2145" s="53" t="str">
        <x:v>خام_تلگرام</x:v>
      </x:c>
      <x:c r="C2145" s="53" t="str">
        <x:v>D79</x:v>
      </x:c>
      <x:c r="D2145" s="53" t="str">
        <x:v>dk-file-2025-10-16-14-43-08.pdf</x:v>
      </x:c>
      <x:c r="E2145" s="53"/>
    </x:row>
    <x:row r="2146" ht="15" hidden="0" customHeight="1">
      <x:c r="A2146" s="53" t="str">
        <x:v>Anjoman accounting - refined.xlsx</x:v>
      </x:c>
      <x:c r="B2146" s="53" t="str">
        <x:v>خام_تلگرام</x:v>
      </x:c>
      <x:c r="C2146" s="53" t="str">
        <x:v>E79</x:v>
      </x:c>
      <x:c r="D2146" s="53" t="str">
        <x:v>files/dk-file-2025-10-16-14-43-08.pdf</x:v>
      </x:c>
      <x:c r="E2146" s="53"/>
    </x:row>
    <x:row r="2147" ht="15" hidden="0" customHeight="1">
      <x:c r="A2147" s="53" t="str">
        <x:v>Anjoman accounting - refined.xlsx</x:v>
      </x:c>
      <x:c r="B2147" s="53" t="str">
        <x:v>خام_تلگرام</x:v>
      </x:c>
      <x:c r="C2147" s="53" t="str">
        <x:v>A80</x:v>
      </x:c>
      <x:c r="D2147" s="53" t="str">
        <x:v>message-14</x:v>
      </x:c>
      <x:c r="E2147" s="53"/>
    </x:row>
    <x:row r="2148" ht="15" hidden="0" customHeight="1">
      <x:c r="A2148" s="53" t="str">
        <x:v>Anjoman accounting - refined.xlsx</x:v>
      </x:c>
      <x:c r="B2148" s="53" t="str">
        <x:v>خام_تلگرام</x:v>
      </x:c>
      <x:c r="C2148" s="53" t="str">
        <x:v>D80</x:v>
      </x:c>
      <x:c r="D2148" s="53" t="str">
        <x:v>28 October 2025</x:v>
      </x:c>
      <x:c r="E2148" s="53"/>
    </x:row>
    <x:row r="2149" ht="15" hidden="0" customHeight="1">
      <x:c r="A2149" s="53" t="str">
        <x:v>Anjoman accounting - refined.xlsx</x:v>
      </x:c>
      <x:c r="B2149" s="53" t="str">
        <x:v>خام_تلگرام</x:v>
      </x:c>
      <x:c r="C2149" s="53" t="str">
        <x:v>A81</x:v>
      </x:c>
      <x:c r="D2149" s="53" t="str">
        <x:v>message67</x:v>
      </x:c>
      <x:c r="E2149" s="53"/>
    </x:row>
    <x:row r="2150" ht="15" hidden="0" customHeight="1">
      <x:c r="A2150" s="53" t="str">
        <x:v>Anjoman accounting - refined.xlsx</x:v>
      </x:c>
      <x:c r="B2150" s="53" t="str">
        <x:v>خام_تلگرام</x:v>
      </x:c>
      <x:c r="C2150" s="53" t="str">
        <x:v>B81</x:v>
      </x:c>
      <x:c r="D2150" s="53" t="str">
        <x:v>28.10.2025 01:53:01 UTC+03:30</x:v>
      </x:c>
      <x:c r="E2150" s="53"/>
    </x:row>
    <x:row r="2151" ht="15" hidden="0" customHeight="1">
      <x:c r="A2151" s="53" t="str">
        <x:v>Anjoman accounting - refined.xlsx</x:v>
      </x:c>
      <x:c r="B2151" s="53" t="str">
        <x:v>خام_تلگرام</x:v>
      </x:c>
      <x:c r="C2151" s="53" t="str">
        <x:v>C81</x:v>
      </x:c>
      <x:c r="D2151" s="53" t="str">
        <x:v>Deleted Account</x:v>
      </x:c>
      <x:c r="E2151" s="53"/>
    </x:row>
    <x:row r="2152" ht="15" hidden="0" customHeight="1">
      <x:c r="A2152" s="53" t="str">
        <x:v>Anjoman accounting - refined.xlsx</x:v>
      </x:c>
      <x:c r="B2152" s="53" t="str">
        <x:v>خام_تلگرام</x:v>
      </x:c>
      <x:c r="C2152" s="53" t="str">
        <x:v>D81</x:v>
      </x:c>
      <x:c r="D2152" s="53" t="str">
        <x:v>01:53 Deleted Account M Mŏ̈bina 28.10.2025 00:13:04</x:v>
      </x:c>
      <x:c r="E2152" s="53"/>
    </x:row>
    <x:row r="2153" ht="15" hidden="0" customHeight="1">
      <x:c r="A2153" s="53" t="str">
        <x:v>Anjoman accounting - refined.xlsx</x:v>
      </x:c>
      <x:c r="B2153" s="53" t="str">
        <x:v>خام_تلگرام</x:v>
      </x:c>
      <x:c r="C2153" s="53" t="str">
        <x:v>E81</x:v>
      </x:c>
      <x:c r="D2153" s="53" t="str">
        <x:v>photos/photo_18@28-10-2025_01-53-01.jpg</x:v>
      </x:c>
      <x:c r="E2153" s="53"/>
    </x:row>
    <x:row r="2154" ht="15" hidden="0" customHeight="1">
      <x:c r="A2154" s="53" t="str">
        <x:v>Anjoman accounting - refined.xlsx</x:v>
      </x:c>
      <x:c r="B2154" s="53" t="str">
        <x:v>خام_تلگرام</x:v>
      </x:c>
      <x:c r="C2154" s="53" t="str">
        <x:v>A82</x:v>
      </x:c>
      <x:c r="D2154" s="53" t="str">
        <x:v>message68</x:v>
      </x:c>
      <x:c r="E2154" s="53"/>
    </x:row>
    <x:row r="2155" ht="15" hidden="0" customHeight="1">
      <x:c r="A2155" s="53" t="str">
        <x:v>Anjoman accounting - refined.xlsx</x:v>
      </x:c>
      <x:c r="B2155" s="53" t="str">
        <x:v>خام_تلگرام</x:v>
      </x:c>
      <x:c r="C2155" s="53" t="str">
        <x:v>B82</x:v>
      </x:c>
      <x:c r="D2155" s="53" t="str">
        <x:v>28.10.2025 01:58:06 UTC+03:30</x:v>
      </x:c>
      <x:c r="E2155" s="53"/>
    </x:row>
    <x:row r="2156" ht="15" hidden="0" customHeight="1">
      <x:c r="A2156" s="53" t="str">
        <x:v>Anjoman accounting - refined.xlsx</x:v>
      </x:c>
      <x:c r="B2156" s="53" t="str">
        <x:v>خام_تلگرام</x:v>
      </x:c>
      <x:c r="C2156" s="53" t="str">
        <x:v>C82</x:v>
      </x:c>
      <x:c r="D2156" s="53" t="str">
        <x:v>Deleted Account</x:v>
      </x:c>
      <x:c r="E2156" s="53"/>
    </x:row>
    <x:row r="2157" ht="15" hidden="0" customHeight="1">
      <x:c r="A2157" s="53" t="str">
        <x:v>Anjoman accounting - refined.xlsx</x:v>
      </x:c>
      <x:c r="B2157" s="53" t="str">
        <x:v>خام_تلگرام</x:v>
      </x:c>
      <x:c r="C2157" s="53" t="str">
        <x:v>D82</x:v>
      </x:c>
      <x:c r="D2157" s="53" t="str">
        <x:v>بابت باتری دوربین فیلم برداری</x:v>
      </x:c>
      <x:c r="E2157" s="53"/>
    </x:row>
    <x:row r="2158" ht="15" hidden="0" customHeight="1">
      <x:c r="A2158" s="53" t="str">
        <x:v>Anjoman accounting - refined.xlsx</x:v>
      </x:c>
      <x:c r="B2158" s="53" t="str">
        <x:v>خام_تلگرام</x:v>
      </x:c>
      <x:c r="C2158" s="53" t="str">
        <x:v>A83</x:v>
      </x:c>
      <x:c r="D2158" s="53" t="str">
        <x:v>message69</x:v>
      </x:c>
      <x:c r="E2158" s="53"/>
    </x:row>
    <x:row r="2159" ht="15" hidden="0" customHeight="1">
      <x:c r="A2159" s="53" t="str">
        <x:v>Anjoman accounting - refined.xlsx</x:v>
      </x:c>
      <x:c r="B2159" s="53" t="str">
        <x:v>خام_تلگرام</x:v>
      </x:c>
      <x:c r="C2159" s="53" t="str">
        <x:v>B83</x:v>
      </x:c>
      <x:c r="D2159" s="53" t="str">
        <x:v>28.10.2025 01:58:07 UTC+03:30</x:v>
      </x:c>
      <x:c r="E2159" s="53"/>
    </x:row>
    <x:row r="2160" ht="15" hidden="0" customHeight="1">
      <x:c r="A2160" s="53" t="str">
        <x:v>Anjoman accounting - refined.xlsx</x:v>
      </x:c>
      <x:c r="B2160" s="53" t="str">
        <x:v>خام_تلگرام</x:v>
      </x:c>
      <x:c r="C2160" s="53" t="str">
        <x:v>D83</x:v>
      </x:c>
      <x:c r="D2160" s="53" t="str">
        <x:v>بابت باتری دوربین فیلم برداری</x:v>
      </x:c>
      <x:c r="E2160" s="53"/>
    </x:row>
    <x:row r="2161" ht="15" hidden="0" customHeight="1">
      <x:c r="A2161" s="53" t="str">
        <x:v>Anjoman accounting - refined.xlsx</x:v>
      </x:c>
      <x:c r="B2161" s="53" t="str">
        <x:v>خام_تلگرام</x:v>
      </x:c>
      <x:c r="C2161" s="53" t="str">
        <x:v>E83</x:v>
      </x:c>
      <x:c r="D2161" s="53" t="str">
        <x:v>photos/photo_19@28-10-2025_01-58-07.jpg</x:v>
      </x:c>
      <x:c r="E2161" s="53"/>
    </x:row>
    <x:row r="2162" ht="15" hidden="0" customHeight="1">
      <x:c r="A2162" s="53" t="str">
        <x:v>Anjoman accounting - refined.xlsx</x:v>
      </x:c>
      <x:c r="B2162" s="53" t="str">
        <x:v>خام_تلگرام</x:v>
      </x:c>
      <x:c r="C2162" s="53" t="str">
        <x:v>A84</x:v>
      </x:c>
      <x:c r="D2162" s="53" t="str">
        <x:v>message71</x:v>
      </x:c>
      <x:c r="E2162" s="53"/>
    </x:row>
    <x:row r="2163" ht="15" hidden="0" customHeight="1">
      <x:c r="A2163" s="53" t="str">
        <x:v>Anjoman accounting - refined.xlsx</x:v>
      </x:c>
      <x:c r="B2163" s="53" t="str">
        <x:v>خام_تلگرام</x:v>
      </x:c>
      <x:c r="C2163" s="53" t="str">
        <x:v>B84</x:v>
      </x:c>
      <x:c r="D2163" s="53" t="str">
        <x:v>28.10.2025 22:07:57 UTC+03:30</x:v>
      </x:c>
      <x:c r="E2163" s="53"/>
    </x:row>
    <x:row r="2164" ht="15" hidden="0" customHeight="1">
      <x:c r="A2164" s="53" t="str">
        <x:v>Anjoman accounting - refined.xlsx</x:v>
      </x:c>
      <x:c r="B2164" s="53" t="str">
        <x:v>خام_تلگرام</x:v>
      </x:c>
      <x:c r="C2164" s="53" t="str">
        <x:v>C84</x:v>
      </x:c>
      <x:c r="D2164" s="53" t="str">
        <x:v>Deleted Account</x:v>
      </x:c>
      <x:c r="E2164" s="53"/>
    </x:row>
    <x:row r="2165" ht="15" hidden="0" customHeight="1">
      <x:c r="A2165" s="53" t="str">
        <x:v>Anjoman accounting - refined.xlsx</x:v>
      </x:c>
      <x:c r="B2165" s="53" t="str">
        <x:v>خام_تلگرام</x:v>
      </x:c>
      <x:c r="C2165" s="53" t="str">
        <x:v>D84</x:v>
      </x:c>
      <x:c r="D2165" s="53" t="str">
        <x:v>22:07 Deleted Account M Mŏ̈bina 28.10.2025 10:19:30</x:v>
      </x:c>
      <x:c r="E2165" s="53"/>
    </x:row>
    <x:row r="2166" ht="15" hidden="0" customHeight="1">
      <x:c r="A2166" s="53" t="str">
        <x:v>Anjoman accounting - refined.xlsx</x:v>
      </x:c>
      <x:c r="B2166" s="53" t="str">
        <x:v>خام_تلگرام</x:v>
      </x:c>
      <x:c r="C2166" s="53" t="str">
        <x:v>E84</x:v>
      </x:c>
      <x:c r="D2166" s="53" t="str">
        <x:v>photos/photo_20@28-10-2025_22-07-57.jpg</x:v>
      </x:c>
      <x:c r="E2166" s="53"/>
    </x:row>
    <x:row r="2167" ht="15" hidden="0" customHeight="1">
      <x:c r="A2167" s="53" t="str">
        <x:v>Anjoman accounting - refined.xlsx</x:v>
      </x:c>
      <x:c r="B2167" s="53" t="str">
        <x:v>خام_تلگرام</x:v>
      </x:c>
      <x:c r="C2167" s="53" t="str">
        <x:v>A85</x:v>
      </x:c>
      <x:c r="D2167" s="53" t="str">
        <x:v>message72</x:v>
      </x:c>
      <x:c r="E2167" s="53"/>
    </x:row>
    <x:row r="2168" ht="15" hidden="0" customHeight="1">
      <x:c r="A2168" s="53" t="str">
        <x:v>Anjoman accounting - refined.xlsx</x:v>
      </x:c>
      <x:c r="B2168" s="53" t="str">
        <x:v>خام_تلگرام</x:v>
      </x:c>
      <x:c r="C2168" s="53" t="str">
        <x:v>B85</x:v>
      </x:c>
      <x:c r="D2168" s="53" t="str">
        <x:v>28.10.2025 22:08:16 UTC+03:30</x:v>
      </x:c>
      <x:c r="E2168" s="53"/>
    </x:row>
    <x:row r="2169" ht="15" hidden="0" customHeight="1">
      <x:c r="A2169" s="53" t="str">
        <x:v>Anjoman accounting - refined.xlsx</x:v>
      </x:c>
      <x:c r="B2169" s="53" t="str">
        <x:v>خام_تلگرام</x:v>
      </x:c>
      <x:c r="C2169" s="53" t="str">
        <x:v>C85</x:v>
      </x:c>
      <x:c r="D2169" s="53" t="str">
        <x:v>Deleted Account</x:v>
      </x:c>
      <x:c r="E2169" s="53"/>
    </x:row>
    <x:row r="2170" ht="15" hidden="0" customHeight="1">
      <x:c r="A2170" s="53" t="str">
        <x:v>Anjoman accounting - refined.xlsx</x:v>
      </x:c>
      <x:c r="B2170" s="53" t="str">
        <x:v>خام_تلگرام</x:v>
      </x:c>
      <x:c r="C2170" s="53" t="str">
        <x:v>D85</x:v>
      </x:c>
      <x:c r="D2170" s="53" t="str">
        <x:v>دریافتی از انجمن پیشین</x:v>
      </x:c>
      <x:c r="E2170" s="53"/>
    </x:row>
    <x:row r="2171" ht="15" hidden="0" customHeight="1">
      <x:c r="A2171" s="53" t="str">
        <x:v>Anjoman accounting - refined.xlsx</x:v>
      </x:c>
      <x:c r="B2171" s="53" t="str">
        <x:v>خام_تلگرام</x:v>
      </x:c>
      <x:c r="C2171" s="53" t="str">
        <x:v>A86</x:v>
      </x:c>
      <x:c r="D2171" s="53" t="str">
        <x:v>message73</x:v>
      </x:c>
      <x:c r="E2171" s="53"/>
    </x:row>
    <x:row r="2172" ht="15" hidden="0" customHeight="1">
      <x:c r="A2172" s="53" t="str">
        <x:v>Anjoman accounting - refined.xlsx</x:v>
      </x:c>
      <x:c r="B2172" s="53" t="str">
        <x:v>خام_تلگرام</x:v>
      </x:c>
      <x:c r="C2172" s="53" t="str">
        <x:v>B86</x:v>
      </x:c>
      <x:c r="D2172" s="53" t="str">
        <x:v>28.10.2025 22:38:17 UTC+03:30</x:v>
      </x:c>
      <x:c r="E2172" s="53"/>
    </x:row>
    <x:row r="2173" ht="15" hidden="0" customHeight="1">
      <x:c r="A2173" s="53" t="str">
        <x:v>Anjoman accounting - refined.xlsx</x:v>
      </x:c>
      <x:c r="B2173" s="53" t="str">
        <x:v>خام_تلگرام</x:v>
      </x:c>
      <x:c r="C2173" s="53" t="str">
        <x:v>C86</x:v>
      </x:c>
      <x:c r="D2173" s="53" t="str">
        <x:v>امین عزیزی</x:v>
      </x:c>
      <x:c r="E2173" s="53"/>
    </x:row>
    <x:row r="2174" ht="15" hidden="0" customHeight="1">
      <x:c r="A2174" s="53" t="str">
        <x:v>Anjoman accounting - refined.xlsx</x:v>
      </x:c>
      <x:c r="B2174" s="53" t="str">
        <x:v>خام_تلگرام</x:v>
      </x:c>
      <x:c r="C2174" s="53" t="str">
        <x:v>D86</x:v>
      </x:c>
      <x:c r="D2174" s="53" t="str">
        <x:v>اینم دریافتی از انجمن سابقه؟</x:v>
      </x:c>
      <x:c r="E2174" s="53"/>
    </x:row>
    <x:row r="2175" ht="15" hidden="0" customHeight="1">
      <x:c r="A2175" s="53" t="str">
        <x:v>Anjoman accounting - refined.xlsx</x:v>
      </x:c>
      <x:c r="B2175" s="53" t="str">
        <x:v>خام_تلگرام</x:v>
      </x:c>
      <x:c r="C2175" s="53" t="str">
        <x:v>A87</x:v>
      </x:c>
      <x:c r="D2175" s="53" t="str">
        <x:v>message74</x:v>
      </x:c>
      <x:c r="E2175" s="53"/>
    </x:row>
    <x:row r="2176" ht="15" hidden="0" customHeight="1">
      <x:c r="A2176" s="53" t="str">
        <x:v>Anjoman accounting - refined.xlsx</x:v>
      </x:c>
      <x:c r="B2176" s="53" t="str">
        <x:v>خام_تلگرام</x:v>
      </x:c>
      <x:c r="C2176" s="53" t="str">
        <x:v>B87</x:v>
      </x:c>
      <x:c r="D2176" s="53" t="str">
        <x:v>28.10.2025 22:40:32 UTC+03:30</x:v>
      </x:c>
      <x:c r="E2176" s="53"/>
    </x:row>
    <x:row r="2177" ht="15" hidden="0" customHeight="1">
      <x:c r="A2177" s="53" t="str">
        <x:v>Anjoman accounting - refined.xlsx</x:v>
      </x:c>
      <x:c r="B2177" s="53" t="str">
        <x:v>خام_تلگرام</x:v>
      </x:c>
      <x:c r="C2177" s="53" t="str">
        <x:v>C87</x:v>
      </x:c>
      <x:c r="D2177" s="53" t="str">
        <x:v>Deleted Account</x:v>
      </x:c>
      <x:c r="E2177" s="53"/>
    </x:row>
    <x:row r="2178" ht="15" hidden="0" customHeight="1">
      <x:c r="A2178" s="53" t="str">
        <x:v>Anjoman accounting - refined.xlsx</x:v>
      </x:c>
      <x:c r="B2178" s="53" t="str">
        <x:v>خام_تلگرام</x:v>
      </x:c>
      <x:c r="C2178" s="53" t="str">
        <x:v>D87</x:v>
      </x:c>
      <x:c r="D2178" s="53" t="str">
        <x:v>درسته</x:v>
      </x:c>
      <x:c r="E2178" s="53"/>
    </x:row>
    <x:row r="2179" ht="15" hidden="0" customHeight="1">
      <x:c r="A2179" s="53" t="str">
        <x:v>Anjoman accounting - refined.xlsx</x:v>
      </x:c>
      <x:c r="B2179" s="53" t="str">
        <x:v>خام_تلگرام</x:v>
      </x:c>
      <x:c r="C2179" s="53" t="str">
        <x:v>A88</x:v>
      </x:c>
      <x:c r="D2179" s="53" t="str">
        <x:v>message75</x:v>
      </x:c>
      <x:c r="E2179" s="53"/>
    </x:row>
    <x:row r="2180" ht="15" hidden="0" customHeight="1">
      <x:c r="A2180" s="53" t="str">
        <x:v>Anjoman accounting - refined.xlsx</x:v>
      </x:c>
      <x:c r="B2180" s="53" t="str">
        <x:v>خام_تلگرام</x:v>
      </x:c>
      <x:c r="C2180" s="53" t="str">
        <x:v>B88</x:v>
      </x:c>
      <x:c r="D2180" s="53" t="str">
        <x:v>28.10.2025 22:40:35 UTC+03:30</x:v>
      </x:c>
      <x:c r="E2180" s="53"/>
    </x:row>
    <x:row r="2181" ht="15" hidden="0" customHeight="1">
      <x:c r="A2181" s="53" t="str">
        <x:v>Anjoman accounting - refined.xlsx</x:v>
      </x:c>
      <x:c r="B2181" s="53" t="str">
        <x:v>خام_تلگرام</x:v>
      </x:c>
      <x:c r="C2181" s="53" t="str">
        <x:v>D88</x:v>
      </x:c>
      <x:c r="D2181" s="53" t="str">
        <x:v>جمعا۱۱</x:v>
      </x:c>
      <x:c r="E2181" s="53"/>
    </x:row>
    <x:row r="2182" ht="15" hidden="0" customHeight="1">
      <x:c r="A2182" s="53" t="str">
        <x:v>Anjoman accounting - refined.xlsx</x:v>
      </x:c>
      <x:c r="B2182" s="53" t="str">
        <x:v>خام_تلگرام</x:v>
      </x:c>
      <x:c r="C2182" s="53" t="str">
        <x:v>A89</x:v>
      </x:c>
      <x:c r="D2182" s="53" t="str">
        <x:v>message76</x:v>
      </x:c>
      <x:c r="E2182" s="53"/>
    </x:row>
    <x:row r="2183" ht="15" hidden="0" customHeight="1">
      <x:c r="A2183" s="53" t="str">
        <x:v>Anjoman accounting - refined.xlsx</x:v>
      </x:c>
      <x:c r="B2183" s="53" t="str">
        <x:v>خام_تلگرام</x:v>
      </x:c>
      <x:c r="C2183" s="53" t="str">
        <x:v>B89</x:v>
      </x:c>
      <x:c r="D2183" s="53" t="str">
        <x:v>28.10.2025 22:47:57 UTC+03:30</x:v>
      </x:c>
      <x:c r="E2183" s="53"/>
    </x:row>
    <x:row r="2184" ht="15" hidden="0" customHeight="1">
      <x:c r="A2184" s="53" t="str">
        <x:v>Anjoman accounting - refined.xlsx</x:v>
      </x:c>
      <x:c r="B2184" s="53" t="str">
        <x:v>خام_تلگرام</x:v>
      </x:c>
      <x:c r="C2184" s="53" t="str">
        <x:v>C89</x:v>
      </x:c>
      <x:c r="D2184" s="53" t="str">
        <x:v>امین عزیزی</x:v>
      </x:c>
      <x:c r="E2184" s="53"/>
    </x:row>
    <x:row r="2185" ht="15" hidden="0" customHeight="1">
      <x:c r="A2185" s="53" t="str">
        <x:v>Anjoman accounting - refined.xlsx</x:v>
      </x:c>
      <x:c r="B2185" s="53" t="str">
        <x:v>خام_تلگرام</x:v>
      </x:c>
      <x:c r="C2185" s="53" t="str">
        <x:v>D89</x:v>
      </x:c>
      <x:c r="D2185" s="53" t="str">
        <x:v>حاجی ورودی پولمون از ۵۰ میلیون گذشت🔥</x:v>
      </x:c>
      <x:c r="E2185" s="53"/>
    </x:row>
    <x:row r="2186" ht="15" hidden="0" customHeight="1">
      <x:c r="A2186" s="53" t="str">
        <x:v>Anjoman accounting - refined.xlsx</x:v>
      </x:c>
      <x:c r="B2186" s="53" t="str">
        <x:v>خام_تلگرام</x:v>
      </x:c>
      <x:c r="C2186" s="53" t="str">
        <x:v>A90</x:v>
      </x:c>
      <x:c r="D2186" s="53" t="str">
        <x:v>message77</x:v>
      </x:c>
      <x:c r="E2186" s="53"/>
    </x:row>
    <x:row r="2187" ht="15" hidden="0" customHeight="1">
      <x:c r="A2187" s="53" t="str">
        <x:v>Anjoman accounting - refined.xlsx</x:v>
      </x:c>
      <x:c r="B2187" s="53" t="str">
        <x:v>خام_تلگرام</x:v>
      </x:c>
      <x:c r="C2187" s="53" t="str">
        <x:v>B90</x:v>
      </x:c>
      <x:c r="D2187" s="53" t="str">
        <x:v>28.10.2025 22:48:51 UTC+03:30</x:v>
      </x:c>
      <x:c r="E2187" s="53"/>
    </x:row>
    <x:row r="2188" ht="15" hidden="0" customHeight="1">
      <x:c r="A2188" s="53" t="str">
        <x:v>Anjoman accounting - refined.xlsx</x:v>
      </x:c>
      <x:c r="B2188" s="53" t="str">
        <x:v>خام_تلگرام</x:v>
      </x:c>
      <x:c r="C2188" s="53" t="str">
        <x:v>C90</x:v>
      </x:c>
      <x:c r="D2188" s="53" t="str">
        <x:v>Deleted Account</x:v>
      </x:c>
      <x:c r="E2188" s="53"/>
    </x:row>
    <x:row r="2189" ht="15" hidden="0" customHeight="1">
      <x:c r="A2189" s="53" t="str">
        <x:v>Anjoman accounting - refined.xlsx</x:v>
      </x:c>
      <x:c r="B2189" s="53" t="str">
        <x:v>خام_تلگرام</x:v>
      </x:c>
      <x:c r="C2189" s="53" t="str">
        <x:v>D90</x:v>
      </x:c>
      <x:c r="D2189" s="53" t="str">
        <x:v>بنازم</x:v>
      </x:c>
      <x:c r="E2189" s="53"/>
    </x:row>
    <x:row r="2190" ht="15" hidden="0" customHeight="1">
      <x:c r="A2190" s="53" t="str">
        <x:v>Anjoman accounting - refined.xlsx</x:v>
      </x:c>
      <x:c r="B2190" s="53" t="str">
        <x:v>خام_تلگرام</x:v>
      </x:c>
      <x:c r="C2190" s="53" t="str">
        <x:v>A91</x:v>
      </x:c>
      <x:c r="D2190" s="53" t="str">
        <x:v>message78</x:v>
      </x:c>
      <x:c r="E2190" s="53"/>
    </x:row>
    <x:row r="2191" ht="15" hidden="0" customHeight="1">
      <x:c r="A2191" s="53" t="str">
        <x:v>Anjoman accounting - refined.xlsx</x:v>
      </x:c>
      <x:c r="B2191" s="53" t="str">
        <x:v>خام_تلگرام</x:v>
      </x:c>
      <x:c r="C2191" s="53" t="str">
        <x:v>B91</x:v>
      </x:c>
      <x:c r="D2191" s="53" t="str">
        <x:v>28.10.2025 22:48:56 UTC+03:30</x:v>
      </x:c>
      <x:c r="E2191" s="53"/>
    </x:row>
    <x:row r="2192" ht="15" hidden="0" customHeight="1">
      <x:c r="A2192" s="53" t="str">
        <x:v>Anjoman accounting - refined.xlsx</x:v>
      </x:c>
      <x:c r="B2192" s="53" t="str">
        <x:v>خام_تلگرام</x:v>
      </x:c>
      <x:c r="C2192" s="53" t="str">
        <x:v>D91</x:v>
      </x:c>
      <x:c r="D2192" s="53" t="str">
        <x:v>صندوق چقدره</x:v>
      </x:c>
      <x:c r="E2192" s="53"/>
    </x:row>
    <x:row r="2193" ht="15" hidden="0" customHeight="1">
      <x:c r="A2193" s="53" t="str">
        <x:v>Anjoman accounting - refined.xlsx</x:v>
      </x:c>
      <x:c r="B2193" s="53" t="str">
        <x:v>خام_تلگرام</x:v>
      </x:c>
      <x:c r="C2193" s="53" t="str">
        <x:v>A92</x:v>
      </x:c>
      <x:c r="D2193" s="53" t="str">
        <x:v>message79</x:v>
      </x:c>
      <x:c r="E2193" s="53"/>
    </x:row>
    <x:row r="2194" ht="15" hidden="0" customHeight="1">
      <x:c r="A2194" s="53" t="str">
        <x:v>Anjoman accounting - refined.xlsx</x:v>
      </x:c>
      <x:c r="B2194" s="53" t="str">
        <x:v>خام_تلگرام</x:v>
      </x:c>
      <x:c r="C2194" s="53" t="str">
        <x:v>B92</x:v>
      </x:c>
      <x:c r="D2194" s="53" t="str">
        <x:v>28.10.2025 22:49:25 UTC+03:30</x:v>
      </x:c>
      <x:c r="E2194" s="53"/>
    </x:row>
    <x:row r="2195" ht="15" hidden="0" customHeight="1">
      <x:c r="A2195" s="53" t="str">
        <x:v>Anjoman accounting - refined.xlsx</x:v>
      </x:c>
      <x:c r="B2195" s="53" t="str">
        <x:v>خام_تلگرام</x:v>
      </x:c>
      <x:c r="C2195" s="53" t="str">
        <x:v>D92</x:v>
      </x:c>
      <x:c r="D2195" s="53" t="str">
        <x:v>یکلی فیش جدیده باید بشینم بزنم بعد بفرستم برات</x:v>
      </x:c>
      <x:c r="E2195" s="53"/>
    </x:row>
    <x:row r="2196" ht="15" hidden="0" customHeight="1">
      <x:c r="A2196" s="53" t="str">
        <x:v>Anjoman accounting - refined.xlsx</x:v>
      </x:c>
      <x:c r="B2196" s="53" t="str">
        <x:v>خام_تلگرام</x:v>
      </x:c>
      <x:c r="C2196" s="53" t="str">
        <x:v>A93</x:v>
      </x:c>
      <x:c r="D2196" s="53" t="str">
        <x:v>message80</x:v>
      </x:c>
      <x:c r="E2196" s="53"/>
    </x:row>
    <x:row r="2197" ht="15" hidden="0" customHeight="1">
      <x:c r="A2197" s="53" t="str">
        <x:v>Anjoman accounting - refined.xlsx</x:v>
      </x:c>
      <x:c r="B2197" s="53" t="str">
        <x:v>خام_تلگرام</x:v>
      </x:c>
      <x:c r="C2197" s="53" t="str">
        <x:v>B93</x:v>
      </x:c>
      <x:c r="D2197" s="53" t="str">
        <x:v>28.10.2025 22:49:48 UTC+03:30</x:v>
      </x:c>
      <x:c r="E2197" s="53"/>
    </x:row>
    <x:row r="2198" ht="15" hidden="0" customHeight="1">
      <x:c r="A2198" s="53" t="str">
        <x:v>Anjoman accounting - refined.xlsx</x:v>
      </x:c>
      <x:c r="B2198" s="53" t="str">
        <x:v>خام_تلگرام</x:v>
      </x:c>
      <x:c r="C2198" s="53" t="str">
        <x:v>D93</x:v>
      </x:c>
      <x:c r="D2198" s="53" t="str">
        <x:v>با جشن جمع شه و غرفه ببینیم چقدر مونده بزنیم به اساس</x:v>
      </x:c>
      <x:c r="E2198" s="53"/>
    </x:row>
    <x:row r="2199" ht="15" hidden="0" customHeight="1">
      <x:c r="A2199" s="53" t="str">
        <x:v>Anjoman accounting - refined.xlsx</x:v>
      </x:c>
      <x:c r="B2199" s="53" t="str">
        <x:v>خام_تلگرام</x:v>
      </x:c>
      <x:c r="C2199" s="53" t="str">
        <x:v>A94</x:v>
      </x:c>
      <x:c r="D2199" s="53" t="str">
        <x:v>message81</x:v>
      </x:c>
      <x:c r="E2199" s="53"/>
    </x:row>
    <x:row r="2200" ht="15" hidden="0" customHeight="1">
      <x:c r="A2200" s="53" t="str">
        <x:v>Anjoman accounting - refined.xlsx</x:v>
      </x:c>
      <x:c r="B2200" s="53" t="str">
        <x:v>خام_تلگرام</x:v>
      </x:c>
      <x:c r="C2200" s="53" t="str">
        <x:v>B94</x:v>
      </x:c>
      <x:c r="D2200" s="53" t="str">
        <x:v>28.10.2025 22:49:48 UTC+03:30</x:v>
      </x:c>
      <x:c r="E2200" s="53"/>
    </x:row>
    <x:row r="2201" ht="15" hidden="0" customHeight="1">
      <x:c r="A2201" s="53" t="str">
        <x:v>Anjoman accounting - refined.xlsx</x:v>
      </x:c>
      <x:c r="B2201" s="53" t="str">
        <x:v>خام_تلگرام</x:v>
      </x:c>
      <x:c r="C2201" s="53" t="str">
        <x:v>C94</x:v>
      </x:c>
      <x:c r="D2201" s="53" t="str">
        <x:v>امین عزیزی</x:v>
      </x:c>
      <x:c r="E2201" s="53"/>
    </x:row>
    <x:row r="2202" ht="15" hidden="0" customHeight="1">
      <x:c r="A2202" s="53" t="str">
        <x:v>Anjoman accounting - refined.xlsx</x:v>
      </x:c>
      <x:c r="B2202" s="53" t="str">
        <x:v>خام_تلگرام</x:v>
      </x:c>
      <x:c r="C2202" s="53" t="str">
        <x:v>D94</x:v>
      </x:c>
      <x:c r="D2202" s="53" t="str">
        <x:v>موجودیمون؟</x:v>
      </x:c>
      <x:c r="E2202" s="53"/>
    </x:row>
    <x:row r="2203" ht="15" hidden="0" customHeight="1">
      <x:c r="A2203" s="53" t="str">
        <x:v>Anjoman accounting - refined.xlsx</x:v>
      </x:c>
      <x:c r="B2203" s="53" t="str">
        <x:v>خام_تلگرام</x:v>
      </x:c>
      <x:c r="C2203" s="53" t="str">
        <x:v>A95</x:v>
      </x:c>
      <x:c r="D2203" s="53" t="str">
        <x:v>message82</x:v>
      </x:c>
      <x:c r="E2203" s="53"/>
    </x:row>
    <x:row r="2204" ht="15" hidden="0" customHeight="1">
      <x:c r="A2204" s="53" t="str">
        <x:v>Anjoman accounting - refined.xlsx</x:v>
      </x:c>
      <x:c r="B2204" s="53" t="str">
        <x:v>خام_تلگرام</x:v>
      </x:c>
      <x:c r="C2204" s="53" t="str">
        <x:v>B95</x:v>
      </x:c>
      <x:c r="D2204" s="53" t="str">
        <x:v>28.10.2025 22:49:57 UTC+03:30</x:v>
      </x:c>
      <x:c r="E2204" s="53"/>
    </x:row>
    <x:row r="2205" ht="15" hidden="0" customHeight="1">
      <x:c r="A2205" s="53" t="str">
        <x:v>Anjoman accounting - refined.xlsx</x:v>
      </x:c>
      <x:c r="B2205" s="53" t="str">
        <x:v>خام_تلگرام</x:v>
      </x:c>
      <x:c r="C2205" s="53" t="str">
        <x:v>C95</x:v>
      </x:c>
      <x:c r="D2205" s="53" t="str">
        <x:v>Deleted Account</x:v>
      </x:c>
      <x:c r="E2205" s="53"/>
    </x:row>
    <x:row r="2206" ht="15" hidden="0" customHeight="1">
      <x:c r="A2206" s="53" t="str">
        <x:v>Anjoman accounting - refined.xlsx</x:v>
      </x:c>
      <x:c r="B2206" s="53" t="str">
        <x:v>خام_تلگرام</x:v>
      </x:c>
      <x:c r="C2206" s="53" t="str">
        <x:v>D95</x:v>
      </x:c>
      <x:c r="D2206" s="53" t="str">
        <x:v>یپ</x:v>
      </x:c>
      <x:c r="E2206" s="53"/>
    </x:row>
    <x:row r="2207" ht="15" hidden="0" customHeight="1">
      <x:c r="A2207" s="53" t="str">
        <x:v>Anjoman accounting - refined.xlsx</x:v>
      </x:c>
      <x:c r="B2207" s="53" t="str">
        <x:v>خام_تلگرام</x:v>
      </x:c>
      <x:c r="C2207" s="53" t="str">
        <x:v>A96</x:v>
      </x:c>
      <x:c r="D2207" s="53" t="str">
        <x:v>message83</x:v>
      </x:c>
      <x:c r="E2207" s="53"/>
    </x:row>
    <x:row r="2208" ht="15" hidden="0" customHeight="1">
      <x:c r="A2208" s="53" t="str">
        <x:v>Anjoman accounting - refined.xlsx</x:v>
      </x:c>
      <x:c r="B2208" s="53" t="str">
        <x:v>خام_تلگرام</x:v>
      </x:c>
      <x:c r="C2208" s="53" t="str">
        <x:v>B96</x:v>
      </x:c>
      <x:c r="D2208" s="53" t="str">
        <x:v>28.10.2025 22:50:21 UTC+03:30</x:v>
      </x:c>
      <x:c r="E2208" s="53"/>
    </x:row>
    <x:row r="2209" ht="15" hidden="0" customHeight="1">
      <x:c r="A2209" s="53" t="str">
        <x:v>Anjoman accounting - refined.xlsx</x:v>
      </x:c>
      <x:c r="B2209" s="53" t="str">
        <x:v>خام_تلگرام</x:v>
      </x:c>
      <x:c r="C2209" s="53" t="str">
        <x:v>C96</x:v>
      </x:c>
      <x:c r="D2209" s="53" t="str">
        <x:v>امین عزیزی</x:v>
      </x:c>
      <x:c r="E2209" s="53"/>
    </x:row>
    <x:row r="2210" ht="15" hidden="0" customHeight="1">
      <x:c r="A2210" s="53" t="str">
        <x:v>Anjoman accounting - refined.xlsx</x:v>
      </x:c>
      <x:c r="B2210" s="53" t="str">
        <x:v>خام_تلگرام</x:v>
      </x:c>
      <x:c r="C2210" s="53" t="str">
        <x:v>D96</x:v>
      </x:c>
      <x:c r="D2210" s="53" t="str">
        <x:v>راستی ایمیل رو چک کردی؟ مقیمی میخواست مطمئن بشه حساب درسته</x:v>
      </x:c>
      <x:c r="E2210" s="53"/>
    </x:row>
    <x:row r="2211" ht="15" hidden="0" customHeight="1">
      <x:c r="A2211" s="53" t="str">
        <x:v>Anjoman accounting - refined.xlsx</x:v>
      </x:c>
      <x:c r="B2211" s="53" t="str">
        <x:v>خام_تلگرام</x:v>
      </x:c>
      <x:c r="C2211" s="53" t="str">
        <x:v>A97</x:v>
      </x:c>
      <x:c r="D2211" s="53" t="str">
        <x:v>message84</x:v>
      </x:c>
      <x:c r="E2211" s="53"/>
    </x:row>
    <x:row r="2212" ht="15" hidden="0" customHeight="1">
      <x:c r="A2212" s="53" t="str">
        <x:v>Anjoman accounting - refined.xlsx</x:v>
      </x:c>
      <x:c r="B2212" s="53" t="str">
        <x:v>خام_تلگرام</x:v>
      </x:c>
      <x:c r="C2212" s="53" t="str">
        <x:v>B97</x:v>
      </x:c>
      <x:c r="D2212" s="53" t="str">
        <x:v>28.10.2025 22:50:34 UTC+03:30</x:v>
      </x:c>
      <x:c r="E2212" s="53"/>
    </x:row>
    <x:row r="2213" ht="15" hidden="0" customHeight="1">
      <x:c r="A2213" s="53" t="str">
        <x:v>Anjoman accounting - refined.xlsx</x:v>
      </x:c>
      <x:c r="B2213" s="53" t="str">
        <x:v>خام_تلگرام</x:v>
      </x:c>
      <x:c r="C2213" s="53" t="str">
        <x:v>C97</x:v>
      </x:c>
      <x:c r="D2213" s="53" t="str">
        <x:v>Deleted Account</x:v>
      </x:c>
      <x:c r="E2213" s="53"/>
    </x:row>
    <x:row r="2214" ht="15" hidden="0" customHeight="1">
      <x:c r="A2214" s="53" t="str">
        <x:v>Anjoman accounting - refined.xlsx</x:v>
      </x:c>
      <x:c r="B2214" s="53" t="str">
        <x:v>خام_تلگرام</x:v>
      </x:c>
      <x:c r="C2214" s="53" t="str">
        <x:v>D97</x:v>
      </x:c>
      <x:c r="D2214" s="53" t="str">
        <x:v>ایمیلا نمیان برا من</x:v>
      </x:c>
      <x:c r="E2214" s="53"/>
    </x:row>
    <x:row r="2215" ht="15" hidden="0" customHeight="1">
      <x:c r="A2215" s="53" t="str">
        <x:v>Anjoman accounting - refined.xlsx</x:v>
      </x:c>
      <x:c r="B2215" s="53" t="str">
        <x:v>خام_تلگرام</x:v>
      </x:c>
      <x:c r="C2215" s="53" t="str">
        <x:v>A98</x:v>
      </x:c>
      <x:c r="D2215" s="53" t="str">
        <x:v>message85</x:v>
      </x:c>
      <x:c r="E2215" s="53"/>
    </x:row>
    <x:row r="2216" ht="15" hidden="0" customHeight="1">
      <x:c r="A2216" s="53" t="str">
        <x:v>Anjoman accounting - refined.xlsx</x:v>
      </x:c>
      <x:c r="B2216" s="53" t="str">
        <x:v>خام_تلگرام</x:v>
      </x:c>
      <x:c r="C2216" s="53" t="str">
        <x:v>B98</x:v>
      </x:c>
      <x:c r="D2216" s="53" t="str">
        <x:v>28.10.2025 22:50:52 UTC+03:30</x:v>
      </x:c>
      <x:c r="E2216" s="53"/>
    </x:row>
    <x:row r="2217" ht="15" hidden="0" customHeight="1">
      <x:c r="A2217" s="53" t="str">
        <x:v>Anjoman accounting - refined.xlsx</x:v>
      </x:c>
      <x:c r="B2217" s="53" t="str">
        <x:v>خام_تلگرام</x:v>
      </x:c>
      <x:c r="C2217" s="53" t="str">
        <x:v>C98</x:v>
      </x:c>
      <x:c r="D2217" s="53" t="str">
        <x:v>امین عزیزی</x:v>
      </x:c>
      <x:c r="E2217" s="53"/>
    </x:row>
    <x:row r="2218" ht="15" hidden="0" customHeight="1">
      <x:c r="A2218" s="53" t="str">
        <x:v>Anjoman accounting - refined.xlsx</x:v>
      </x:c>
      <x:c r="B2218" s="53" t="str">
        <x:v>خام_تلگرام</x:v>
      </x:c>
      <x:c r="C2218" s="53" t="str">
        <x:v>D98</x:v>
      </x:c>
      <x:c r="D2218" s="53" t="str">
        <x:v>ایمیل انجمن رو نداری؟</x:v>
      </x:c>
      <x:c r="E2218" s="53"/>
    </x:row>
    <x:row r="2219" ht="15" hidden="0" customHeight="1">
      <x:c r="A2219" s="53" t="str">
        <x:v>Anjoman accounting - refined.xlsx</x:v>
      </x:c>
      <x:c r="B2219" s="53" t="str">
        <x:v>خام_تلگرام</x:v>
      </x:c>
      <x:c r="C2219" s="53" t="str">
        <x:v>A99</x:v>
      </x:c>
      <x:c r="D2219" s="53" t="str">
        <x:v>message86</x:v>
      </x:c>
      <x:c r="E2219" s="53"/>
    </x:row>
    <x:row r="2220" ht="15" hidden="0" customHeight="1">
      <x:c r="A2220" s="53" t="str">
        <x:v>Anjoman accounting - refined.xlsx</x:v>
      </x:c>
      <x:c r="B2220" s="53" t="str">
        <x:v>خام_تلگرام</x:v>
      </x:c>
      <x:c r="C2220" s="53" t="str">
        <x:v>B99</x:v>
      </x:c>
      <x:c r="D2220" s="53" t="str">
        <x:v>28.10.2025 22:51:00 UTC+03:30</x:v>
      </x:c>
      <x:c r="E2220" s="53"/>
    </x:row>
    <x:row r="2221" ht="15" hidden="0" customHeight="1">
      <x:c r="A2221" s="53" t="str">
        <x:v>Anjoman accounting - refined.xlsx</x:v>
      </x:c>
      <x:c r="B2221" s="53" t="str">
        <x:v>خام_تلگرام</x:v>
      </x:c>
      <x:c r="C2221" s="53" t="str">
        <x:v>D99</x:v>
      </x:c>
      <x:c r="D2221" s="53" t="str">
        <x:v>۲۹۲۰۰</x:v>
      </x:c>
      <x:c r="E2221" s="53"/>
    </x:row>
    <x:row r="2222" ht="15" hidden="0" customHeight="1">
      <x:c r="A2222" s="53" t="str">
        <x:v>Anjoman accounting - refined.xlsx</x:v>
      </x:c>
      <x:c r="B2222" s="53" t="str">
        <x:v>خام_تلگرام</x:v>
      </x:c>
      <x:c r="C2222" s="53" t="str">
        <x:v>A100</x:v>
      </x:c>
      <x:c r="D2222" s="53" t="str">
        <x:v>message87</x:v>
      </x:c>
      <x:c r="E2222" s="53"/>
    </x:row>
    <x:row r="2223" ht="15" hidden="0" customHeight="1">
      <x:c r="A2223" s="53" t="str">
        <x:v>Anjoman accounting - refined.xlsx</x:v>
      </x:c>
      <x:c r="B2223" s="53" t="str">
        <x:v>خام_تلگرام</x:v>
      </x:c>
      <x:c r="C2223" s="53" t="str">
        <x:v>B100</x:v>
      </x:c>
      <x:c r="D2223" s="53" t="str">
        <x:v>28.10.2025 22:57:09 UTC+03:30</x:v>
      </x:c>
      <x:c r="E2223" s="53"/>
    </x:row>
    <x:row r="2224" ht="15" hidden="0" customHeight="1">
      <x:c r="A2224" s="53" t="str">
        <x:v>Anjoman accounting - refined.xlsx</x:v>
      </x:c>
      <x:c r="B2224" s="53" t="str">
        <x:v>خام_تلگرام</x:v>
      </x:c>
      <x:c r="C2224" s="53" t="str">
        <x:v>C100</x:v>
      </x:c>
      <x:c r="D2224" s="53" t="str">
        <x:v>Deleted Account</x:v>
      </x:c>
      <x:c r="E2224" s="53"/>
    </x:row>
    <x:row r="2225" ht="15" hidden="0" customHeight="1">
      <x:c r="A2225" s="53" t="str">
        <x:v>Anjoman accounting - refined.xlsx</x:v>
      </x:c>
      <x:c r="B2225" s="53" t="str">
        <x:v>خام_تلگرام</x:v>
      </x:c>
      <x:c r="C2225" s="53" t="str">
        <x:v>D100</x:v>
      </x:c>
      <x:c r="D2225" s="53" t="str">
        <x:v>دارم نمیاد ولی برا ابی می‌ره ولی روی هیچ دیوایسی از من لاگ نمیندازه</x:v>
      </x:c>
      <x:c r="E2225" s="53"/>
    </x:row>
    <x:row r="2226" ht="15" hidden="0" customHeight="1">
      <x:c r="A2226" s="53" t="str">
        <x:v>Anjoman accounting - refined.xlsx</x:v>
      </x:c>
      <x:c r="B2226" s="53" t="str">
        <x:v>خام_تلگرام</x:v>
      </x:c>
      <x:c r="C2226" s="53" t="str">
        <x:v>A101</x:v>
      </x:c>
      <x:c r="D2226" s="53" t="str">
        <x:v>message-15</x:v>
      </x:c>
      <x:c r="E2226" s="53"/>
    </x:row>
    <x:row r="2227" ht="15" hidden="0" customHeight="1">
      <x:c r="A2227" s="53" t="str">
        <x:v>Anjoman accounting - refined.xlsx</x:v>
      </x:c>
      <x:c r="B2227" s="53" t="str">
        <x:v>خام_تلگرام</x:v>
      </x:c>
      <x:c r="C2227" s="53" t="str">
        <x:v>D101</x:v>
      </x:c>
      <x:c r="D2227" s="53" t="str">
        <x:v>9 November 2025</x:v>
      </x:c>
      <x:c r="E2227" s="53"/>
    </x:row>
    <x:row r="2228" ht="15" hidden="0" customHeight="1">
      <x:c r="A2228" s="53" t="str">
        <x:v>Anjoman accounting - refined.xlsx</x:v>
      </x:c>
      <x:c r="B2228" s="53" t="str">
        <x:v>خام_تلگرام</x:v>
      </x:c>
      <x:c r="C2228" s="53" t="str">
        <x:v>A102</x:v>
      </x:c>
      <x:c r="D2228" s="53" t="str">
        <x:v>message88</x:v>
      </x:c>
      <x:c r="E2228" s="53"/>
    </x:row>
    <x:row r="2229" ht="15" hidden="0" customHeight="1">
      <x:c r="A2229" s="53" t="str">
        <x:v>Anjoman accounting - refined.xlsx</x:v>
      </x:c>
      <x:c r="B2229" s="53" t="str">
        <x:v>خام_تلگرام</x:v>
      </x:c>
      <x:c r="C2229" s="53" t="str">
        <x:v>B102</x:v>
      </x:c>
      <x:c r="D2229" s="53" t="str">
        <x:v>09.11.2025 23:15:44 UTC+03:30</x:v>
      </x:c>
      <x:c r="E2229" s="53"/>
    </x:row>
    <x:row r="2230" ht="15" hidden="0" customHeight="1">
      <x:c r="A2230" s="53" t="str">
        <x:v>Anjoman accounting - refined.xlsx</x:v>
      </x:c>
      <x:c r="B2230" s="53" t="str">
        <x:v>خام_تلگرام</x:v>
      </x:c>
      <x:c r="C2230" s="53" t="str">
        <x:v>C102</x:v>
      </x:c>
      <x:c r="D2230" s="53" t="str">
        <x:v>Deleted Account</x:v>
      </x:c>
      <x:c r="E2230" s="53"/>
    </x:row>
    <x:row r="2231" ht="15" hidden="0" customHeight="1">
      <x:c r="A2231" s="53" t="str">
        <x:v>Anjoman accounting - refined.xlsx</x:v>
      </x:c>
      <x:c r="B2231" s="53" t="str">
        <x:v>خام_تلگرام</x:v>
      </x:c>
      <x:c r="C2231" s="53" t="str">
        <x:v>D102</x:v>
      </x:c>
      <x:c r="D2231" s="53" t="str">
        <x:v>امین سلام خوبی از اردوان بپرس برای جشن چقدر خرج کرده</x:v>
      </x:c>
      <x:c r="E2231" s="53"/>
    </x:row>
    <x:row r="2232" ht="15" hidden="0" customHeight="1">
      <x:c r="A2232" s="53" t="str">
        <x:v>Anjoman accounting - refined.xlsx</x:v>
      </x:c>
      <x:c r="B2232" s="53" t="str">
        <x:v>خام_تلگرام</x:v>
      </x:c>
      <x:c r="C2232" s="53" t="str">
        <x:v>A103</x:v>
      </x:c>
      <x:c r="D2232" s="53" t="str">
        <x:v>message89</x:v>
      </x:c>
      <x:c r="E2232" s="53"/>
    </x:row>
    <x:row r="2233" ht="15" hidden="0" customHeight="1">
      <x:c r="A2233" s="53" t="str">
        <x:v>Anjoman accounting - refined.xlsx</x:v>
      </x:c>
      <x:c r="B2233" s="53" t="str">
        <x:v>خام_تلگرام</x:v>
      </x:c>
      <x:c r="C2233" s="53" t="str">
        <x:v>B103</x:v>
      </x:c>
      <x:c r="D2233" s="53" t="str">
        <x:v>09.11.2025 23:15:53 UTC+03:30</x:v>
      </x:c>
      <x:c r="E2233" s="53"/>
    </x:row>
    <x:row r="2234" ht="15" hidden="0" customHeight="1">
      <x:c r="A2234" s="53" t="str">
        <x:v>Anjoman accounting - refined.xlsx</x:v>
      </x:c>
      <x:c r="B2234" s="53" t="str">
        <x:v>خام_تلگرام</x:v>
      </x:c>
      <x:c r="C2234" s="53" t="str">
        <x:v>D103</x:v>
      </x:c>
      <x:c r="D2234" s="53" t="str">
        <x:v>دوتا فاکتور هست نمی‌دونم کدوم مال اونه</x:v>
      </x:c>
      <x:c r="E2234" s="53"/>
    </x:row>
    <x:row r="2235" ht="15" hidden="0" customHeight="1">
      <x:c r="A2235" s="53" t="str">
        <x:v>Anjoman accounting - refined.xlsx</x:v>
      </x:c>
      <x:c r="B2235" s="53" t="str">
        <x:v>خام_تلگرام</x:v>
      </x:c>
      <x:c r="C2235" s="53" t="str">
        <x:v>A104</x:v>
      </x:c>
      <x:c r="D2235" s="53" t="str">
        <x:v>message90</x:v>
      </x:c>
      <x:c r="E2235" s="53"/>
    </x:row>
    <x:row r="2236" ht="15" hidden="0" customHeight="1">
      <x:c r="A2236" s="53" t="str">
        <x:v>Anjoman accounting - refined.xlsx</x:v>
      </x:c>
      <x:c r="B2236" s="53" t="str">
        <x:v>خام_تلگرام</x:v>
      </x:c>
      <x:c r="C2236" s="53" t="str">
        <x:v>B104</x:v>
      </x:c>
      <x:c r="D2236" s="53" t="str">
        <x:v>09.11.2025 23:16:09 UTC+03:30</x:v>
      </x:c>
      <x:c r="E2236" s="53"/>
    </x:row>
    <x:row r="2237" ht="15" hidden="0" customHeight="1">
      <x:c r="A2237" s="53" t="str">
        <x:v>Anjoman accounting - refined.xlsx</x:v>
      </x:c>
      <x:c r="B2237" s="53" t="str">
        <x:v>خام_تلگرام</x:v>
      </x:c>
      <x:c r="C2237" s="53" t="str">
        <x:v>D104</x:v>
      </x:c>
      <x:c r="D2237" s="53" t="str">
        <x:v>23:16</x:v>
      </x:c>
      <x:c r="E2237" s="53"/>
    </x:row>
    <x:row r="2238" ht="15" hidden="0" customHeight="1">
      <x:c r="A2238" s="53" t="str">
        <x:v>Anjoman accounting - refined.xlsx</x:v>
      </x:c>
      <x:c r="B2238" s="53" t="str">
        <x:v>خام_تلگرام</x:v>
      </x:c>
      <x:c r="C2238" s="53" t="str">
        <x:v>E104</x:v>
      </x:c>
      <x:c r="D2238" s="53" t="str">
        <x:v>photos/photo_21@09-11-2025_23-16-09.jpg</x:v>
      </x:c>
      <x:c r="E2238" s="53"/>
    </x:row>
    <x:row r="2239" ht="15" hidden="0" customHeight="1">
      <x:c r="A2239" s="53" t="str">
        <x:v>Anjoman accounting - refined.xlsx</x:v>
      </x:c>
      <x:c r="B2239" s="53" t="str">
        <x:v>خام_تلگرام</x:v>
      </x:c>
      <x:c r="C2239" s="53" t="str">
        <x:v>A105</x:v>
      </x:c>
      <x:c r="D2239" s="53" t="str">
        <x:v>message91</x:v>
      </x:c>
      <x:c r="E2239" s="53"/>
    </x:row>
    <x:row r="2240" ht="15" hidden="0" customHeight="1">
      <x:c r="A2240" s="53" t="str">
        <x:v>Anjoman accounting - refined.xlsx</x:v>
      </x:c>
      <x:c r="B2240" s="53" t="str">
        <x:v>خام_تلگرام</x:v>
      </x:c>
      <x:c r="C2240" s="53" t="str">
        <x:v>B105</x:v>
      </x:c>
      <x:c r="D2240" s="53" t="str">
        <x:v>09.11.2025 23:16:15 UTC+03:30</x:v>
      </x:c>
      <x:c r="E2240" s="53"/>
    </x:row>
    <x:row r="2241" ht="15" hidden="0" customHeight="1">
      <x:c r="A2241" s="53" t="str">
        <x:v>Anjoman accounting - refined.xlsx</x:v>
      </x:c>
      <x:c r="B2241" s="53" t="str">
        <x:v>خام_تلگرام</x:v>
      </x:c>
      <x:c r="C2241" s="53" t="str">
        <x:v>D105</x:v>
      </x:c>
      <x:c r="D2241" s="53" t="str">
        <x:v>23:16</x:v>
      </x:c>
      <x:c r="E2241" s="53"/>
    </x:row>
    <x:row r="2242" ht="15" hidden="0" customHeight="1">
      <x:c r="A2242" s="53" t="str">
        <x:v>Anjoman accounting - refined.xlsx</x:v>
      </x:c>
      <x:c r="B2242" s="53" t="str">
        <x:v>خام_تلگرام</x:v>
      </x:c>
      <x:c r="C2242" s="53" t="str">
        <x:v>E105</x:v>
      </x:c>
      <x:c r="D2242" s="53" t="str">
        <x:v>photos/photo_22@09-11-2025_23-16-15.jpg</x:v>
      </x:c>
      <x:c r="E2242" s="53"/>
    </x:row>
    <x:row r="2243" ht="15" hidden="0" customHeight="1">
      <x:c r="A2243" s="53" t="str">
        <x:v>Anjoman accounting - refined.xlsx</x:v>
      </x:c>
      <x:c r="B2243" s="53" t="str">
        <x:v>خام_تلگرام</x:v>
      </x:c>
      <x:c r="C2243" s="53" t="str">
        <x:v>A106</x:v>
      </x:c>
      <x:c r="D2243" s="53" t="str">
        <x:v>message92</x:v>
      </x:c>
      <x:c r="E2243" s="53"/>
    </x:row>
    <x:row r="2244" ht="15" hidden="0" customHeight="1">
      <x:c r="A2244" s="53" t="str">
        <x:v>Anjoman accounting - refined.xlsx</x:v>
      </x:c>
      <x:c r="B2244" s="53" t="str">
        <x:v>خام_تلگرام</x:v>
      </x:c>
      <x:c r="C2244" s="53" t="str">
        <x:v>B106</x:v>
      </x:c>
      <x:c r="D2244" s="53" t="str">
        <x:v>09.11.2025 23:46:02 UTC+03:30</x:v>
      </x:c>
      <x:c r="E2244" s="53"/>
    </x:row>
    <x:row r="2245" ht="15" hidden="0" customHeight="1">
      <x:c r="A2245" s="53" t="str">
        <x:v>Anjoman accounting - refined.xlsx</x:v>
      </x:c>
      <x:c r="B2245" s="53" t="str">
        <x:v>خام_تلگرام</x:v>
      </x:c>
      <x:c r="C2245" s="53" t="str">
        <x:v>C106</x:v>
      </x:c>
      <x:c r="D2245" s="53" t="str">
        <x:v>امین عزیزی</x:v>
      </x:c>
      <x:c r="E2245" s="53"/>
    </x:row>
    <x:row r="2246" ht="15" hidden="0" customHeight="1">
      <x:c r="A2246" s="53" t="str">
        <x:v>Anjoman accounting - refined.xlsx</x:v>
      </x:c>
      <x:c r="B2246" s="53" t="str">
        <x:v>خام_تلگرام</x:v>
      </x:c>
      <x:c r="C2246" s="53" t="str">
        <x:v>D106</x:v>
      </x:c>
      <x:c r="D2246" s="53" t="str">
        <x:v>سلام قربونت حللله</x:v>
      </x:c>
      <x:c r="E2246" s="53"/>
    </x:row>
    <x:row r="2247" ht="15" hidden="0" customHeight="1">
      <x:c r="A2247" s="53" t="str">
        <x:v>Anjoman accounting - refined.xlsx</x:v>
      </x:c>
      <x:c r="B2247" s="53" t="str">
        <x:v>خام_تلگرام</x:v>
      </x:c>
      <x:c r="C2247" s="53" t="str">
        <x:v>A107</x:v>
      </x:c>
      <x:c r="D2247" s="53" t="str">
        <x:v>message-16</x:v>
      </x:c>
      <x:c r="E2247" s="53"/>
    </x:row>
    <x:row r="2248" ht="15" hidden="0" customHeight="1">
      <x:c r="A2248" s="53" t="str">
        <x:v>Anjoman accounting - refined.xlsx</x:v>
      </x:c>
      <x:c r="B2248" s="53" t="str">
        <x:v>خام_تلگرام</x:v>
      </x:c>
      <x:c r="C2248" s="53" t="str">
        <x:v>D107</x:v>
      </x:c>
      <x:c r="D2248" s="53" t="str">
        <x:v>12 November 2025</x:v>
      </x:c>
      <x:c r="E2248" s="53"/>
    </x:row>
    <x:row r="2249" ht="15" hidden="0" customHeight="1">
      <x:c r="A2249" s="53" t="str">
        <x:v>Anjoman accounting - refined.xlsx</x:v>
      </x:c>
      <x:c r="B2249" s="53" t="str">
        <x:v>خام_تلگرام</x:v>
      </x:c>
      <x:c r="C2249" s="53" t="str">
        <x:v>A108</x:v>
      </x:c>
      <x:c r="D2249" s="53" t="str">
        <x:v>message93</x:v>
      </x:c>
      <x:c r="E2249" s="53"/>
    </x:row>
    <x:row r="2250" ht="15" hidden="0" customHeight="1">
      <x:c r="A2250" s="53" t="str">
        <x:v>Anjoman accounting - refined.xlsx</x:v>
      </x:c>
      <x:c r="B2250" s="53" t="str">
        <x:v>خام_تلگرام</x:v>
      </x:c>
      <x:c r="C2250" s="53" t="str">
        <x:v>B108</x:v>
      </x:c>
      <x:c r="D2250" s="53" t="str">
        <x:v>12.11.2025 06:40:12 UTC+03:30</x:v>
      </x:c>
      <x:c r="E2250" s="53"/>
    </x:row>
    <x:row r="2251" ht="15" hidden="0" customHeight="1">
      <x:c r="A2251" s="53" t="str">
        <x:v>Anjoman accounting - refined.xlsx</x:v>
      </x:c>
      <x:c r="B2251" s="53" t="str">
        <x:v>خام_تلگرام</x:v>
      </x:c>
      <x:c r="C2251" s="53" t="str">
        <x:v>C108</x:v>
      </x:c>
      <x:c r="D2251" s="53" t="str">
        <x:v>Deleted Account</x:v>
      </x:c>
      <x:c r="E2251" s="53"/>
    </x:row>
    <x:row r="2252" ht="15" hidden="0" customHeight="1">
      <x:c r="A2252" s="53" t="str">
        <x:v>Anjoman accounting - refined.xlsx</x:v>
      </x:c>
      <x:c r="B2252" s="53" t="str">
        <x:v>خام_تلگرام</x:v>
      </x:c>
      <x:c r="C2252" s="53" t="str">
        <x:v>D108</x:v>
      </x:c>
      <x:c r="D2252" s="53" t="str">
        <x:v>امین نازنین صبحت بخیر</x:v>
      </x:c>
      <x:c r="E2252" s="53"/>
    </x:row>
    <x:row r="2253" ht="15" hidden="0" customHeight="1">
      <x:c r="A2253" s="53" t="str">
        <x:v>Anjoman accounting - refined.xlsx</x:v>
      </x:c>
      <x:c r="B2253" s="53" t="str">
        <x:v>خام_تلگرام</x:v>
      </x:c>
      <x:c r="C2253" s="53" t="str">
        <x:v>A109</x:v>
      </x:c>
      <x:c r="D2253" s="53" t="str">
        <x:v>message94</x:v>
      </x:c>
      <x:c r="E2253" s="53"/>
    </x:row>
    <x:row r="2254" ht="15" hidden="0" customHeight="1">
      <x:c r="A2254" s="53" t="str">
        <x:v>Anjoman accounting - refined.xlsx</x:v>
      </x:c>
      <x:c r="B2254" s="53" t="str">
        <x:v>خام_تلگرام</x:v>
      </x:c>
      <x:c r="C2254" s="53" t="str">
        <x:v>B109</x:v>
      </x:c>
      <x:c r="D2254" s="53" t="str">
        <x:v>12.11.2025 06:40:16 UTC+03:30</x:v>
      </x:c>
      <x:c r="E2254" s="53"/>
    </x:row>
    <x:row r="2255" ht="15" hidden="0" customHeight="1">
      <x:c r="A2255" s="53" t="str">
        <x:v>Anjoman accounting - refined.xlsx</x:v>
      </x:c>
      <x:c r="B2255" s="53" t="str">
        <x:v>خام_تلگرام</x:v>
      </x:c>
      <x:c r="C2255" s="53" t="str">
        <x:v>D109</x:v>
      </x:c>
      <x:c r="D2255" s="53" t="str">
        <x:v>این رو امروز خبر بده</x:v>
      </x:c>
      <x:c r="E2255" s="53"/>
    </x:row>
    <x:row r="2256" ht="15" hidden="0" customHeight="1">
      <x:c r="A2256" s="53" t="str">
        <x:v>Anjoman accounting - refined.xlsx</x:v>
      </x:c>
      <x:c r="B2256" s="53" t="str">
        <x:v>خام_تلگرام</x:v>
      </x:c>
      <x:c r="C2256" s="53" t="str">
        <x:v>A110</x:v>
      </x:c>
      <x:c r="D2256" s="53" t="str">
        <x:v>message95</x:v>
      </x:c>
      <x:c r="E2256" s="53"/>
    </x:row>
    <x:row r="2257" ht="15" hidden="0" customHeight="1">
      <x:c r="A2257" s="53" t="str">
        <x:v>Anjoman accounting - refined.xlsx</x:v>
      </x:c>
      <x:c r="B2257" s="53" t="str">
        <x:v>خام_تلگرام</x:v>
      </x:c>
      <x:c r="C2257" s="53" t="str">
        <x:v>B110</x:v>
      </x:c>
      <x:c r="D2257" s="53" t="str">
        <x:v>12.11.2025 06:40:22 UTC+03:30</x:v>
      </x:c>
      <x:c r="E2257" s="53"/>
    </x:row>
    <x:row r="2258" ht="15" hidden="0" customHeight="1">
      <x:c r="A2258" s="53" t="str">
        <x:v>Anjoman accounting - refined.xlsx</x:v>
      </x:c>
      <x:c r="B2258" s="53" t="str">
        <x:v>خام_تلگرام</x:v>
      </x:c>
      <x:c r="C2258" s="53" t="str">
        <x:v>D110</x:v>
      </x:c>
      <x:c r="D2258" s="53" t="str">
        <x:v>شماره کارت راحله هم بگیر</x:v>
      </x:c>
      <x:c r="E2258" s="53"/>
    </x:row>
    <x:row r="2259" ht="15" hidden="0" customHeight="1">
      <x:c r="A2259" s="53" t="str">
        <x:v>Anjoman accounting - refined.xlsx</x:v>
      </x:c>
      <x:c r="B2259" s="53" t="str">
        <x:v>خام_تلگرام</x:v>
      </x:c>
      <x:c r="C2259" s="53" t="str">
        <x:v>A111</x:v>
      </x:c>
      <x:c r="D2259" s="53" t="str">
        <x:v>message96</x:v>
      </x:c>
      <x:c r="E2259" s="53"/>
    </x:row>
    <x:row r="2260" ht="15" hidden="0" customHeight="1">
      <x:c r="A2260" s="53" t="str">
        <x:v>Anjoman accounting - refined.xlsx</x:v>
      </x:c>
      <x:c r="B2260" s="53" t="str">
        <x:v>خام_تلگرام</x:v>
      </x:c>
      <x:c r="C2260" s="53" t="str">
        <x:v>B111</x:v>
      </x:c>
      <x:c r="D2260" s="53" t="str">
        <x:v>12.11.2025 21:51:55 UTC+03:30</x:v>
      </x:c>
      <x:c r="E2260" s="53"/>
    </x:row>
    <x:row r="2261" ht="15" hidden="0" customHeight="1">
      <x:c r="A2261" s="53" t="str">
        <x:v>Anjoman accounting - refined.xlsx</x:v>
      </x:c>
      <x:c r="B2261" s="53" t="str">
        <x:v>خام_تلگرام</x:v>
      </x:c>
      <x:c r="C2261" s="53" t="str">
        <x:v>C111</x:v>
      </x:c>
      <x:c r="D2261" s="53" t="str">
        <x:v>امین عزیزی</x:v>
      </x:c>
      <x:c r="E2261" s="53"/>
    </x:row>
    <x:row r="2262" ht="15" hidden="0" customHeight="1">
      <x:c r="A2262" s="53" t="str">
        <x:v>Anjoman accounting - refined.xlsx</x:v>
      </x:c>
      <x:c r="B2262" s="53" t="str">
        <x:v>خام_تلگرام</x:v>
      </x:c>
      <x:c r="C2262" s="53" t="str">
        <x:v>D111</x:v>
      </x:c>
      <x:c r="D2262" s="53" t="str">
        <x:v>۱۲۰ داده اردوان</x:v>
      </x:c>
      <x:c r="E2262" s="53"/>
    </x:row>
    <x:row r="2263" ht="15" hidden="0" customHeight="1">
      <x:c r="A2263" s="53" t="str">
        <x:v>Anjoman accounting - refined.xlsx</x:v>
      </x:c>
      <x:c r="B2263" s="53" t="str">
        <x:v>خام_تلگرام</x:v>
      </x:c>
      <x:c r="C2263" s="53" t="str">
        <x:v>A112</x:v>
      </x:c>
      <x:c r="D2263" s="53" t="str">
        <x:v>message97</x:v>
      </x:c>
      <x:c r="E2263" s="53"/>
    </x:row>
    <x:row r="2264" ht="15" hidden="0" customHeight="1">
      <x:c r="A2264" s="53" t="str">
        <x:v>Anjoman accounting - refined.xlsx</x:v>
      </x:c>
      <x:c r="B2264" s="53" t="str">
        <x:v>خام_تلگرام</x:v>
      </x:c>
      <x:c r="C2264" s="53" t="str">
        <x:v>B112</x:v>
      </x:c>
      <x:c r="D2264" s="53" t="str">
        <x:v>12.11.2025 22:46:41 UTC+03:30</x:v>
      </x:c>
      <x:c r="E2264" s="53"/>
    </x:row>
    <x:row r="2265" ht="15" hidden="0" customHeight="1">
      <x:c r="A2265" s="53" t="str">
        <x:v>Anjoman accounting - refined.xlsx</x:v>
      </x:c>
      <x:c r="B2265" s="53" t="str">
        <x:v>خام_تلگرام</x:v>
      </x:c>
      <x:c r="C2265" s="53" t="str">
        <x:v>C112</x:v>
      </x:c>
      <x:c r="D2265" s="53" t="str">
        <x:v>امین عزیزی</x:v>
      </x:c>
      <x:c r="E2265" s="53"/>
    </x:row>
    <x:row r="2266" ht="15" hidden="0" customHeight="1">
      <x:c r="A2266" s="53" t="str">
        <x:v>Anjoman accounting - refined.xlsx</x:v>
      </x:c>
      <x:c r="B2266" s="53" t="str">
        <x:v>خام_تلگرام</x:v>
      </x:c>
      <x:c r="C2266" s="53" t="str">
        <x:v>D112</x:v>
      </x:c>
      <x:c r="D2266" s="53" t="str">
        <x:v>5892101714531544</x:v>
      </x:c>
      <x:c r="E2266" s="53"/>
    </x:row>
    <x:row r="2267" ht="15" hidden="0" customHeight="1">
      <x:c r="A2267" s="53" t="str">
        <x:v>Anjoman accounting - refined.xlsx</x:v>
      </x:c>
      <x:c r="B2267" s="53" t="str">
        <x:v>خام_تلگرام</x:v>
      </x:c>
      <x:c r="C2267" s="53" t="str">
        <x:v>A113</x:v>
      </x:c>
      <x:c r="D2267" s="53" t="str">
        <x:v>message98</x:v>
      </x:c>
      <x:c r="E2267" s="53"/>
    </x:row>
    <x:row r="2268" ht="15" hidden="0" customHeight="1">
      <x:c r="A2268" s="53" t="str">
        <x:v>Anjoman accounting - refined.xlsx</x:v>
      </x:c>
      <x:c r="B2268" s="53" t="str">
        <x:v>خام_تلگرام</x:v>
      </x:c>
      <x:c r="C2268" s="53" t="str">
        <x:v>B113</x:v>
      </x:c>
      <x:c r="D2268" s="53" t="str">
        <x:v>12.11.2025 22:46:51 UTC+03:30</x:v>
      </x:c>
      <x:c r="E2268" s="53"/>
    </x:row>
    <x:row r="2269" ht="15" hidden="0" customHeight="1">
      <x:c r="A2269" s="53" t="str">
        <x:v>Anjoman accounting - refined.xlsx</x:v>
      </x:c>
      <x:c r="B2269" s="53" t="str">
        <x:v>خام_تلگرام</x:v>
      </x:c>
      <x:c r="C2269" s="53" t="str">
        <x:v>D113</x:v>
      </x:c>
      <x:c r="D2269" s="53" t="str">
        <x:v>هروقت زدی لایو فیش بفرست</x:v>
      </x:c>
      <x:c r="E2269" s="53"/>
    </x:row>
    <x:row r="2270" ht="15" hidden="0" customHeight="1">
      <x:c r="A2270" s="53" t="str">
        <x:v>Anjoman accounting - refined.xlsx</x:v>
      </x:c>
      <x:c r="B2270" s="53" t="str">
        <x:v>خام_تلگرام</x:v>
      </x:c>
      <x:c r="C2270" s="53" t="str">
        <x:v>A114</x:v>
      </x:c>
      <x:c r="D2270" s="53" t="str">
        <x:v>message-17</x:v>
      </x:c>
      <x:c r="E2270" s="53"/>
    </x:row>
    <x:row r="2271" ht="15" hidden="0" customHeight="1">
      <x:c r="A2271" s="53" t="str">
        <x:v>Anjoman accounting - refined.xlsx</x:v>
      </x:c>
      <x:c r="B2271" s="53" t="str">
        <x:v>خام_تلگرام</x:v>
      </x:c>
      <x:c r="C2271" s="53" t="str">
        <x:v>D114</x:v>
      </x:c>
      <x:c r="D2271" s="53" t="str">
        <x:v>14 November 2025</x:v>
      </x:c>
      <x:c r="E2271" s="53"/>
    </x:row>
    <x:row r="2272" ht="15" hidden="0" customHeight="1">
      <x:c r="A2272" s="53" t="str">
        <x:v>Anjoman accounting - refined.xlsx</x:v>
      </x:c>
      <x:c r="B2272" s="53" t="str">
        <x:v>خام_تلگرام</x:v>
      </x:c>
      <x:c r="C2272" s="53" t="str">
        <x:v>A115</x:v>
      </x:c>
      <x:c r="D2272" s="53" t="str">
        <x:v>message99</x:v>
      </x:c>
      <x:c r="E2272" s="53"/>
    </x:row>
    <x:row r="2273" ht="15" hidden="0" customHeight="1">
      <x:c r="A2273" s="53" t="str">
        <x:v>Anjoman accounting - refined.xlsx</x:v>
      </x:c>
      <x:c r="B2273" s="53" t="str">
        <x:v>خام_تلگرام</x:v>
      </x:c>
      <x:c r="C2273" s="53" t="str">
        <x:v>B115</x:v>
      </x:c>
      <x:c r="D2273" s="53" t="str">
        <x:v>14.11.2025 04:07:19 UTC+03:30</x:v>
      </x:c>
      <x:c r="E2273" s="53"/>
    </x:row>
    <x:row r="2274" ht="15" hidden="0" customHeight="1">
      <x:c r="A2274" s="53" t="str">
        <x:v>Anjoman accounting - refined.xlsx</x:v>
      </x:c>
      <x:c r="B2274" s="53" t="str">
        <x:v>خام_تلگرام</x:v>
      </x:c>
      <x:c r="C2274" s="53" t="str">
        <x:v>C115</x:v>
      </x:c>
      <x:c r="D2274" s="53" t="str">
        <x:v>Deleted Account</x:v>
      </x:c>
      <x:c r="E2274" s="53"/>
    </x:row>
    <x:row r="2275" ht="15" hidden="0" customHeight="1">
      <x:c r="A2275" s="53" t="str">
        <x:v>Anjoman accounting - refined.xlsx</x:v>
      </x:c>
      <x:c r="B2275" s="53" t="str">
        <x:v>خام_تلگرام</x:v>
      </x:c>
      <x:c r="C2275" s="53" t="str">
        <x:v>D115</x:v>
      </x:c>
      <x:c r="D2275" s="53" t="str">
        <x:v>واریزی هزینه چسب بادکنک جشن ورودی</x:v>
      </x:c>
      <x:c r="E2275" s="53"/>
    </x:row>
    <x:row r="2276" ht="15" hidden="0" customHeight="1">
      <x:c r="A2276" s="53" t="str">
        <x:v>Anjoman accounting - refined.xlsx</x:v>
      </x:c>
      <x:c r="B2276" s="53" t="str">
        <x:v>خام_تلگرام</x:v>
      </x:c>
      <x:c r="C2276" s="53" t="str">
        <x:v>E115</x:v>
      </x:c>
      <x:c r="D2276" s="53" t="str">
        <x:v>photos/photo_23@14-11-2025_04-07-19.jpg</x:v>
      </x:c>
      <x:c r="E2276" s="53"/>
    </x:row>
    <x:row r="2277" ht="15" hidden="0" customHeight="1">
      <x:c r="A2277" s="53" t="str">
        <x:v>Anjoman accounting - refined.xlsx</x:v>
      </x:c>
      <x:c r="B2277" s="53" t="str">
        <x:v>خام_تلگرام</x:v>
      </x:c>
      <x:c r="C2277" s="53" t="str">
        <x:v>A116</x:v>
      </x:c>
      <x:c r="D2277" s="53" t="str">
        <x:v>message100</x:v>
      </x:c>
      <x:c r="E2277" s="53"/>
    </x:row>
    <x:row r="2278" ht="15" hidden="0" customHeight="1">
      <x:c r="A2278" s="53" t="str">
        <x:v>Anjoman accounting - refined.xlsx</x:v>
      </x:c>
      <x:c r="B2278" s="53" t="str">
        <x:v>خام_تلگرام</x:v>
      </x:c>
      <x:c r="C2278" s="53" t="str">
        <x:v>B116</x:v>
      </x:c>
      <x:c r="D2278" s="53" t="str">
        <x:v>14.11.2025 04:07:19 UTC+03:30</x:v>
      </x:c>
      <x:c r="E2278" s="53"/>
    </x:row>
    <x:row r="2279" ht="15" hidden="0" customHeight="1">
      <x:c r="A2279" s="53" t="str">
        <x:v>Anjoman accounting - refined.xlsx</x:v>
      </x:c>
      <x:c r="B2279" s="53" t="str">
        <x:v>خام_تلگرام</x:v>
      </x:c>
      <x:c r="C2279" s="53" t="str">
        <x:v>D116</x:v>
      </x:c>
      <x:c r="D2279" s="53" t="str">
        <x:v>واریزی جهت خرید لوازم تزئینات جشن ورودی 1404</x:v>
      </x:c>
      <x:c r="E2279" s="53"/>
    </x:row>
    <x:row r="2280" ht="15" hidden="0" customHeight="1">
      <x:c r="A2280" s="53" t="str">
        <x:v>Anjoman accounting - refined.xlsx</x:v>
      </x:c>
      <x:c r="B2280" s="53" t="str">
        <x:v>خام_تلگرام</x:v>
      </x:c>
      <x:c r="C2280" s="53" t="str">
        <x:v>E116</x:v>
      </x:c>
      <x:c r="D2280" s="53" t="str">
        <x:v>photos/photo_24@14-11-2025_04-07-19.jpg</x:v>
      </x:c>
      <x:c r="E2280" s="53"/>
    </x:row>
    <x:row r="2281" ht="15" hidden="0" customHeight="1">
      <x:c r="A2281" s="53" t="str">
        <x:v>Anjoman accounting - refined.xlsx</x:v>
      </x:c>
      <x:c r="B2281" s="53" t="str">
        <x:v>خام_تلگرام</x:v>
      </x:c>
      <x:c r="C2281" s="53" t="str">
        <x:v>A117</x:v>
      </x:c>
      <x:c r="D2281" s="53" t="str">
        <x:v>message-18</x:v>
      </x:c>
      <x:c r="E2281" s="53"/>
    </x:row>
    <x:row r="2282" ht="15" hidden="0" customHeight="1">
      <x:c r="A2282" s="53" t="str">
        <x:v>Anjoman accounting - refined.xlsx</x:v>
      </x:c>
      <x:c r="B2282" s="53" t="str">
        <x:v>خام_تلگرام</x:v>
      </x:c>
      <x:c r="C2282" s="53" t="str">
        <x:v>D117</x:v>
      </x:c>
      <x:c r="D2282" s="53" t="str">
        <x:v>19 November 2025</x:v>
      </x:c>
      <x:c r="E2282" s="53"/>
    </x:row>
    <x:row r="2283" ht="15" hidden="0" customHeight="1">
      <x:c r="A2283" s="53" t="str">
        <x:v>Anjoman accounting - refined.xlsx</x:v>
      </x:c>
      <x:c r="B2283" s="53" t="str">
        <x:v>خام_تلگرام</x:v>
      </x:c>
      <x:c r="C2283" s="53" t="str">
        <x:v>A118</x:v>
      </x:c>
      <x:c r="D2283" s="53" t="str">
        <x:v>message101</x:v>
      </x:c>
      <x:c r="E2283" s="53"/>
    </x:row>
    <x:row r="2284" ht="15" hidden="0" customHeight="1">
      <x:c r="A2284" s="53" t="str">
        <x:v>Anjoman accounting - refined.xlsx</x:v>
      </x:c>
      <x:c r="B2284" s="53" t="str">
        <x:v>خام_تلگرام</x:v>
      </x:c>
      <x:c r="C2284" s="53" t="str">
        <x:v>B118</x:v>
      </x:c>
      <x:c r="D2284" s="53" t="str">
        <x:v>19.11.2025 11:46:31 UTC+03:30</x:v>
      </x:c>
      <x:c r="E2284" s="53"/>
    </x:row>
    <x:row r="2285" ht="15" hidden="0" customHeight="1">
      <x:c r="A2285" s="53" t="str">
        <x:v>Anjoman accounting - refined.xlsx</x:v>
      </x:c>
      <x:c r="B2285" s="53" t="str">
        <x:v>خام_تلگرام</x:v>
      </x:c>
      <x:c r="C2285" s="53" t="str">
        <x:v>C118</x:v>
      </x:c>
      <x:c r="D2285" s="53" t="str">
        <x:v>Deleted Account</x:v>
      </x:c>
      <x:c r="E2285" s="53"/>
    </x:row>
    <x:row r="2286" ht="15" hidden="0" customHeight="1">
      <x:c r="A2286" s="53" t="str">
        <x:v>Anjoman accounting - refined.xlsx</x:v>
      </x:c>
      <x:c r="B2286" s="53" t="str">
        <x:v>خام_تلگرام</x:v>
      </x:c>
      <x:c r="C2286" s="53" t="str">
        <x:v>D118</x:v>
      </x:c>
      <x:c r="D2286" s="53" t="str">
        <x:v>واریزی دکتر مقیمی جهت هزینه های جاری انجمن</x:v>
      </x:c>
      <x:c r="E2286" s="53"/>
    </x:row>
    <x:row r="2287" ht="15" hidden="0" customHeight="1">
      <x:c r="A2287" s="53" t="str">
        <x:v>Anjoman accounting - refined.xlsx</x:v>
      </x:c>
      <x:c r="B2287" s="53" t="str">
        <x:v>خام_تلگرام</x:v>
      </x:c>
      <x:c r="C2287" s="53" t="str">
        <x:v>A119</x:v>
      </x:c>
      <x:c r="D2287" s="53" t="str">
        <x:v>message102</x:v>
      </x:c>
      <x:c r="E2287" s="53"/>
    </x:row>
    <x:row r="2288" ht="15" hidden="0" customHeight="1">
      <x:c r="A2288" s="53" t="str">
        <x:v>Anjoman accounting - refined.xlsx</x:v>
      </x:c>
      <x:c r="B2288" s="53" t="str">
        <x:v>خام_تلگرام</x:v>
      </x:c>
      <x:c r="C2288" s="53" t="str">
        <x:v>B119</x:v>
      </x:c>
      <x:c r="D2288" s="53" t="str">
        <x:v>19.11.2025 11:46:31 UTC+03:30</x:v>
      </x:c>
      <x:c r="E2288" s="53"/>
    </x:row>
    <x:row r="2289" ht="15" hidden="0" customHeight="1">
      <x:c r="A2289" s="53" t="str">
        <x:v>Anjoman accounting - refined.xlsx</x:v>
      </x:c>
      <x:c r="B2289" s="53" t="str">
        <x:v>خام_تلگرام</x:v>
      </x:c>
      <x:c r="C2289" s="53" t="str">
        <x:v>C119</x:v>
      </x:c>
      <x:c r="D2289" s="53" t="str">
        <x:v>Deleted Account</x:v>
      </x:c>
      <x:c r="E2289" s="53"/>
    </x:row>
    <x:row r="2290" ht="15" hidden="0" customHeight="1">
      <x:c r="A2290" s="53" t="str">
        <x:v>Anjoman accounting - refined.xlsx</x:v>
      </x:c>
      <x:c r="B2290" s="53" t="str">
        <x:v>خام_تلگرام</x:v>
      </x:c>
      <x:c r="C2290" s="53" t="str">
        <x:v>D119</x:v>
      </x:c>
      <x:c r="D2290" s="53" t="str">
        <x:v>11:46 Deleted Account SM Saman Moghimi 19.11.2025 11:44:07</x:v>
      </x:c>
      <x:c r="E2290" s="53"/>
    </x:row>
    <x:row r="2291" ht="15" hidden="0" customHeight="1">
      <x:c r="A2291" s="53" t="str">
        <x:v>Anjoman accounting - refined.xlsx</x:v>
      </x:c>
      <x:c r="B2291" s="53" t="str">
        <x:v>خام_تلگرام</x:v>
      </x:c>
      <x:c r="C2291" s="53" t="str">
        <x:v>E119</x:v>
      </x:c>
      <x:c r="D2291" s="53" t="str">
        <x:v>photos/photo_25@19-11-2025_11-46-31.jpg</x:v>
      </x:c>
      <x:c r="E2291" s="53"/>
    </x:row>
    <x:row r="2292" ht="15" hidden="0" customHeight="1">
      <x:c r="A2292" s="53" t="str">
        <x:v>Anjoman accounting - refined.xlsx</x:v>
      </x:c>
      <x:c r="B2292" s="53" t="str">
        <x:v>خام_تلگرام</x:v>
      </x:c>
      <x:c r="C2292" s="53" t="str">
        <x:v>A120</x:v>
      </x:c>
      <x:c r="D2292" s="53" t="str">
        <x:v>message103</x:v>
      </x:c>
      <x:c r="E2292" s="53"/>
    </x:row>
    <x:row r="2293" ht="15" hidden="0" customHeight="1">
      <x:c r="A2293" s="53" t="str">
        <x:v>Anjoman accounting - refined.xlsx</x:v>
      </x:c>
      <x:c r="B2293" s="53" t="str">
        <x:v>خام_تلگرام</x:v>
      </x:c>
      <x:c r="C2293" s="53" t="str">
        <x:v>B120</x:v>
      </x:c>
      <x:c r="D2293" s="53" t="str">
        <x:v>19.11.2025 11:46:31 UTC+03:30</x:v>
      </x:c>
      <x:c r="E2293" s="53"/>
    </x:row>
    <x:row r="2294" ht="15" hidden="0" customHeight="1">
      <x:c r="A2294" s="53" t="str">
        <x:v>Anjoman accounting - refined.xlsx</x:v>
      </x:c>
      <x:c r="B2294" s="53" t="str">
        <x:v>خام_تلگرام</x:v>
      </x:c>
      <x:c r="C2294" s="53" t="str">
        <x:v>C120</x:v>
      </x:c>
      <x:c r="D2294" s="53" t="str">
        <x:v>Saman Moghimi 19.11.2025 11:44:07</x:v>
      </x:c>
      <x:c r="E2294" s="53"/>
    </x:row>
    <x:row r="2295" ht="15" hidden="0" customHeight="1">
      <x:c r="A2295" s="53" t="str">
        <x:v>Anjoman accounting - refined.xlsx</x:v>
      </x:c>
      <x:c r="B2295" s="53" t="str">
        <x:v>خام_تلگرام</x:v>
      </x:c>
      <x:c r="C2295" s="53" t="str">
        <x:v>D120</x:v>
      </x:c>
      <x:c r="D2295" s="53" t="str">
        <x:v>این فعلا ده میلیون.</x:v>
      </x:c>
      <x:c r="E2295" s="53"/>
    </x:row>
    <x:row r="2296" ht="15" hidden="0" customHeight="1">
      <x:c r="A2296" s="53" t="str">
        <x:v>Anjoman accounting - refined.xlsx</x:v>
      </x:c>
      <x:c r="B2296" s="53" t="str">
        <x:v>خام_تلگرام</x:v>
      </x:c>
      <x:c r="C2296" s="53" t="str">
        <x:v>A121</x:v>
      </x:c>
      <x:c r="D2296" s="53" t="str">
        <x:v>message-19</x:v>
      </x:c>
      <x:c r="E2296" s="53"/>
    </x:row>
    <x:row r="2297" ht="15" hidden="0" customHeight="1">
      <x:c r="A2297" s="53" t="str">
        <x:v>Anjoman accounting - refined.xlsx</x:v>
      </x:c>
      <x:c r="B2297" s="53" t="str">
        <x:v>خام_تلگرام</x:v>
      </x:c>
      <x:c r="C2297" s="53" t="str">
        <x:v>D121</x:v>
      </x:c>
      <x:c r="D2297" s="53" t="str">
        <x:v>21 November 2025</x:v>
      </x:c>
      <x:c r="E2297" s="53"/>
    </x:row>
    <x:row r="2298" ht="15" hidden="0" customHeight="1">
      <x:c r="A2298" s="53" t="str">
        <x:v>Anjoman accounting - refined.xlsx</x:v>
      </x:c>
      <x:c r="B2298" s="53" t="str">
        <x:v>خام_تلگرام</x:v>
      </x:c>
      <x:c r="C2298" s="53" t="str">
        <x:v>A122</x:v>
      </x:c>
      <x:c r="D2298" s="53" t="str">
        <x:v>message105</x:v>
      </x:c>
      <x:c r="E2298" s="53"/>
    </x:row>
    <x:row r="2299" ht="15" hidden="0" customHeight="1">
      <x:c r="A2299" s="53" t="str">
        <x:v>Anjoman accounting - refined.xlsx</x:v>
      </x:c>
      <x:c r="B2299" s="53" t="str">
        <x:v>خام_تلگرام</x:v>
      </x:c>
      <x:c r="C2299" s="53" t="str">
        <x:v>B122</x:v>
      </x:c>
      <x:c r="D2299" s="53" t="str">
        <x:v>21.11.2025 13:25:18 UTC+03:30</x:v>
      </x:c>
      <x:c r="E2299" s="53"/>
    </x:row>
    <x:row r="2300" ht="15" hidden="0" customHeight="1">
      <x:c r="A2300" s="53" t="str">
        <x:v>Anjoman accounting - refined.xlsx</x:v>
      </x:c>
      <x:c r="B2300" s="53" t="str">
        <x:v>خام_تلگرام</x:v>
      </x:c>
      <x:c r="C2300" s="53" t="str">
        <x:v>C122</x:v>
      </x:c>
      <x:c r="D2300" s="53" t="str">
        <x:v>Deleted Account</x:v>
      </x:c>
      <x:c r="E2300" s="53"/>
    </x:row>
    <x:row r="2301" ht="15" hidden="0" customHeight="1">
      <x:c r="A2301" s="53" t="str">
        <x:v>Anjoman accounting - refined.xlsx</x:v>
      </x:c>
      <x:c r="B2301" s="53" t="str">
        <x:v>خام_تلگرام</x:v>
      </x:c>
      <x:c r="C2301" s="53" t="str">
        <x:v>D122</x:v>
      </x:c>
      <x:c r="D2301" s="53" t="str">
        <x:v>1404/07/22 10:40:31 -10,523,750 شیرینی جلسه دیدار با اساتید- انجمن</x:v>
      </x:c>
      <x:c r="E2301" s="53"/>
    </x:row>
    <x:row r="2302" ht="15" hidden="0" customHeight="1">
      <x:c r="A2302" s="53" t="str">
        <x:v>Anjoman accounting - refined.xlsx</x:v>
      </x:c>
      <x:c r="B2302" s="53" t="str">
        <x:v>خام_تلگرام</x:v>
      </x:c>
      <x:c r="C2302" s="53" t="str">
        <x:v>A123</x:v>
      </x:c>
      <x:c r="D2302" s="53" t="str">
        <x:v>message106</x:v>
      </x:c>
      <x:c r="E2302" s="53"/>
    </x:row>
    <x:row r="2303" ht="15" hidden="0" customHeight="1">
      <x:c r="A2303" s="53" t="str">
        <x:v>Anjoman accounting - refined.xlsx</x:v>
      </x:c>
      <x:c r="B2303" s="53" t="str">
        <x:v>خام_تلگرام</x:v>
      </x:c>
      <x:c r="C2303" s="53" t="str">
        <x:v>B123</x:v>
      </x:c>
      <x:c r="D2303" s="53" t="str">
        <x:v>21.11.2025 13:25:31 UTC+03:30</x:v>
      </x:c>
      <x:c r="E2303" s="53"/>
    </x:row>
    <x:row r="2304" ht="15" hidden="0" customHeight="1">
      <x:c r="A2304" s="53" t="str">
        <x:v>Anjoman accounting - refined.xlsx</x:v>
      </x:c>
      <x:c r="B2304" s="53" t="str">
        <x:v>خام_تلگرام</x:v>
      </x:c>
      <x:c r="C2304" s="53" t="str">
        <x:v>D123</x:v>
      </x:c>
      <x:c r="D2304" s="53" t="str">
        <x:v>1404/08/03 16:36:35 -700,000 دستمال - انجمن</x:v>
      </x:c>
      <x:c r="E2304" s="53"/>
    </x:row>
    <x:row r="2305" ht="15" hidden="0" customHeight="1">
      <x:c r="A2305" s="53" t="str">
        <x:v>Anjoman accounting - refined.xlsx</x:v>
      </x:c>
      <x:c r="B2305" s="53" t="str">
        <x:v>خام_تلگرام</x:v>
      </x:c>
      <x:c r="C2305" s="53" t="str">
        <x:v>A124</x:v>
      </x:c>
      <x:c r="D2305" s="53" t="str">
        <x:v>message107</x:v>
      </x:c>
      <x:c r="E2305" s="53"/>
    </x:row>
    <x:row r="2306" ht="15" hidden="0" customHeight="1">
      <x:c r="A2306" s="53" t="str">
        <x:v>Anjoman accounting - refined.xlsx</x:v>
      </x:c>
      <x:c r="B2306" s="53" t="str">
        <x:v>خام_تلگرام</x:v>
      </x:c>
      <x:c r="C2306" s="53" t="str">
        <x:v>B124</x:v>
      </x:c>
      <x:c r="D2306" s="53" t="str">
        <x:v>21.11.2025 13:25:42 UTC+03:30</x:v>
      </x:c>
      <x:c r="E2306" s="53"/>
    </x:row>
    <x:row r="2307" ht="24" hidden="0" customHeight="1">
      <x:c r="A2307" s="53" t="str">
        <x:v>Anjoman accounting - refined.xlsx</x:v>
      </x:c>
      <x:c r="B2307" s="53" t="str">
        <x:v>خام_تلگرام</x:v>
      </x:c>
      <x:c r="C2307" s="53" t="str">
        <x:v>D124</x:v>
      </x:c>
      <x:c r="D2307" s="53" t="str">
        <x:v>1404/08/07 15:18:06 -14,440,000 خرید جایزه جشن - انجمن -دفترچه خودکار و.. 1404/08/07 15:23:42 -15,000,000 خرید جایزه جشن - انجمن -هندزفری و ... 1404/08/07 15:32:21 -14,000,000 خرید جایزه جشن - انجمن - دستبند فرفره و...</x:v>
      </x:c>
      <x:c r="E2307" s="53"/>
    </x:row>
    <x:row r="2308" ht="15" hidden="0" customHeight="1">
      <x:c r="A2308" s="53" t="str">
        <x:v>Anjoman accounting - refined.xlsx</x:v>
      </x:c>
      <x:c r="B2308" s="53" t="str">
        <x:v>خام_تلگرام</x:v>
      </x:c>
      <x:c r="C2308" s="53" t="str">
        <x:v>A125</x:v>
      </x:c>
      <x:c r="D2308" s="53" t="str">
        <x:v>message108</x:v>
      </x:c>
      <x:c r="E2308" s="53"/>
    </x:row>
    <x:row r="2309" ht="15" hidden="0" customHeight="1">
      <x:c r="A2309" s="53" t="str">
        <x:v>Anjoman accounting - refined.xlsx</x:v>
      </x:c>
      <x:c r="B2309" s="53" t="str">
        <x:v>خام_تلگرام</x:v>
      </x:c>
      <x:c r="C2309" s="53" t="str">
        <x:v>B125</x:v>
      </x:c>
      <x:c r="D2309" s="53" t="str">
        <x:v>21.11.2025 13:25:55 UTC+03:30</x:v>
      </x:c>
      <x:c r="E2309" s="53"/>
    </x:row>
    <x:row r="2310" ht="24" hidden="0" customHeight="1">
      <x:c r="A2310" s="53" t="str">
        <x:v>Anjoman accounting - refined.xlsx</x:v>
      </x:c>
      <x:c r="B2310" s="53" t="str">
        <x:v>خام_تلگرام</x:v>
      </x:c>
      <x:c r="C2310" s="53" t="str">
        <x:v>D125</x:v>
      </x:c>
      <x:c r="D2310" s="53" t="str">
        <x:v>1404/08/05 12:16:49 -3,100,000 خرید اتصالات پروژکتور - انجمن 1404/08/05 12:24:15 -17,600,000 خرید حفاظ برق و ابزار جهت اتصال پروژکتور غرفه ها - انجمن 1404/08/05 13:13:11 -2,300,000 پذیرایی غرفه -انجمن</x:v>
      </x:c>
      <x:c r="E2310" s="53"/>
    </x:row>
    <x:row r="2311" ht="15" hidden="0" customHeight="1">
      <x:c r="A2311" s="53" t="str">
        <x:v>Anjoman accounting - refined.xlsx</x:v>
      </x:c>
      <x:c r="B2311" s="53" t="str">
        <x:v>خام_تلگرام</x:v>
      </x:c>
      <x:c r="C2311" s="53" t="str">
        <x:v>A126</x:v>
      </x:c>
      <x:c r="D2311" s="53" t="str">
        <x:v>message109</x:v>
      </x:c>
      <x:c r="E2311" s="53"/>
    </x:row>
    <x:row r="2312" ht="15" hidden="0" customHeight="1">
      <x:c r="A2312" s="53" t="str">
        <x:v>Anjoman accounting - refined.xlsx</x:v>
      </x:c>
      <x:c r="B2312" s="53" t="str">
        <x:v>خام_تلگرام</x:v>
      </x:c>
      <x:c r="C2312" s="53" t="str">
        <x:v>B126</x:v>
      </x:c>
      <x:c r="D2312" s="53" t="str">
        <x:v>21.11.2025 13:26:09 UTC+03:30</x:v>
      </x:c>
      <x:c r="E2312" s="53"/>
    </x:row>
    <x:row r="2313" ht="15" hidden="0" customHeight="1">
      <x:c r="A2313" s="53" t="str">
        <x:v>Anjoman accounting - refined.xlsx</x:v>
      </x:c>
      <x:c r="B2313" s="53" t="str">
        <x:v>خام_تلگرام</x:v>
      </x:c>
      <x:c r="C2313" s="53" t="str">
        <x:v>D126</x:v>
      </x:c>
      <x:c r="D2313" s="53" t="str">
        <x:v>1404/08/28 6:49:28 -12,261,000 دارو برای کمک اولیه - انجمن</x:v>
      </x:c>
      <x:c r="E2313" s="53"/>
    </x:row>
    <x:row r="2314" ht="15" hidden="0" customHeight="1">
      <x:c r="A2314" s="53" t="str">
        <x:v>Anjoman accounting - refined.xlsx</x:v>
      </x:c>
      <x:c r="B2314" s="53" t="str">
        <x:v>خام_تلگرام</x:v>
      </x:c>
      <x:c r="C2314" s="53" t="str">
        <x:v>A127</x:v>
      </x:c>
      <x:c r="D2314" s="53" t="str">
        <x:v>message110</x:v>
      </x:c>
      <x:c r="E2314" s="53"/>
    </x:row>
    <x:row r="2315" ht="15" hidden="0" customHeight="1">
      <x:c r="A2315" s="53" t="str">
        <x:v>Anjoman accounting - refined.xlsx</x:v>
      </x:c>
      <x:c r="B2315" s="53" t="str">
        <x:v>خام_تلگرام</x:v>
      </x:c>
      <x:c r="C2315" s="53" t="str">
        <x:v>B127</x:v>
      </x:c>
      <x:c r="D2315" s="53" t="str">
        <x:v>21.11.2025 13:26:19 UTC+03:30</x:v>
      </x:c>
      <x:c r="E2315" s="53"/>
    </x:row>
    <x:row r="2316" ht="15" hidden="0" customHeight="1">
      <x:c r="A2316" s="53" t="str">
        <x:v>Anjoman accounting - refined.xlsx</x:v>
      </x:c>
      <x:c r="B2316" s="53" t="str">
        <x:v>خام_تلگرام</x:v>
      </x:c>
      <x:c r="C2316" s="53" t="str">
        <x:v>D127</x:v>
      </x:c>
      <x:c r="D2316" s="53" t="str">
        <x:v>1404/08/28 12:55:53 -23,000 چاپ قوانین - انجمن 1404/08/28 12:55:53 -13,000 چاپ قوانین - انجمن</x:v>
      </x:c>
      <x:c r="E2316" s="53"/>
    </x:row>
    <x:row r="2317" ht="15" hidden="0" customHeight="1">
      <x:c r="A2317" s="53" t="str">
        <x:v>Anjoman accounting - refined.xlsx</x:v>
      </x:c>
      <x:c r="B2317" s="53" t="str">
        <x:v>خام_تلگرام</x:v>
      </x:c>
      <x:c r="C2317" s="53" t="str">
        <x:v>A128</x:v>
      </x:c>
      <x:c r="D2317" s="53" t="str">
        <x:v>message111</x:v>
      </x:c>
      <x:c r="E2317" s="53"/>
    </x:row>
    <x:row r="2318" ht="15" hidden="0" customHeight="1">
      <x:c r="A2318" s="53" t="str">
        <x:v>Anjoman accounting - refined.xlsx</x:v>
      </x:c>
      <x:c r="B2318" s="53" t="str">
        <x:v>خام_تلگرام</x:v>
      </x:c>
      <x:c r="C2318" s="53" t="str">
        <x:v>B128</x:v>
      </x:c>
      <x:c r="D2318" s="53" t="str">
        <x:v>21.11.2025 13:33:16 UTC+03:30</x:v>
      </x:c>
      <x:c r="E2318" s="53"/>
    </x:row>
    <x:row r="2319" ht="15" hidden="0" customHeight="1">
      <x:c r="A2319" s="53" t="str">
        <x:v>Anjoman accounting - refined.xlsx</x:v>
      </x:c>
      <x:c r="B2319" s="53" t="str">
        <x:v>خام_تلگرام</x:v>
      </x:c>
      <x:c r="C2319" s="53" t="str">
        <x:v>D128</x:v>
      </x:c>
      <x:c r="D2319" s="53" t="str">
        <x:v>300000 تومن هم پول نقد شاباش جشن</x:v>
      </x:c>
      <x:c r="E2319" s="53"/>
    </x:row>
    <x:row r="2320" ht="15" hidden="0" customHeight="1">
      <x:c r="A2320" s="53" t="str">
        <x:v>Anjoman accounting - refined.xlsx</x:v>
      </x:c>
      <x:c r="B2320" s="53" t="str">
        <x:v>خام_تلگرام</x:v>
      </x:c>
      <x:c r="C2320" s="53" t="str">
        <x:v>A129</x:v>
      </x:c>
      <x:c r="D2320" s="53" t="str">
        <x:v>message-20</x:v>
      </x:c>
      <x:c r="E2320" s="53"/>
    </x:row>
    <x:row r="2321" ht="15" hidden="0" customHeight="1">
      <x:c r="A2321" s="53" t="str">
        <x:v>Anjoman accounting - refined.xlsx</x:v>
      </x:c>
      <x:c r="B2321" s="53" t="str">
        <x:v>خام_تلگرام</x:v>
      </x:c>
      <x:c r="C2321" s="53" t="str">
        <x:v>D129</x:v>
      </x:c>
      <x:c r="D2321" s="53" t="str">
        <x:v>21 December 2025</x:v>
      </x:c>
      <x:c r="E2321" s="53"/>
    </x:row>
    <x:row r="2322" ht="15" hidden="0" customHeight="1">
      <x:c r="A2322" s="53" t="str">
        <x:v>Anjoman accounting - refined.xlsx</x:v>
      </x:c>
      <x:c r="B2322" s="53" t="str">
        <x:v>خام_تلگرام</x:v>
      </x:c>
      <x:c r="C2322" s="53" t="str">
        <x:v>A130</x:v>
      </x:c>
      <x:c r="D2322" s="53" t="str">
        <x:v>message112</x:v>
      </x:c>
      <x:c r="E2322" s="53"/>
    </x:row>
    <x:row r="2323" ht="15" hidden="0" customHeight="1">
      <x:c r="A2323" s="53" t="str">
        <x:v>Anjoman accounting - refined.xlsx</x:v>
      </x:c>
      <x:c r="B2323" s="53" t="str">
        <x:v>خام_تلگرام</x:v>
      </x:c>
      <x:c r="C2323" s="53" t="str">
        <x:v>B130</x:v>
      </x:c>
      <x:c r="D2323" s="53" t="str">
        <x:v>21.12.2025 05:36:21 UTC+03:30</x:v>
      </x:c>
      <x:c r="E2323" s="53"/>
    </x:row>
    <x:row r="2324" ht="15" hidden="0" customHeight="1">
      <x:c r="A2324" s="53" t="str">
        <x:v>Anjoman accounting - refined.xlsx</x:v>
      </x:c>
      <x:c r="B2324" s="53" t="str">
        <x:v>خام_تلگرام</x:v>
      </x:c>
      <x:c r="C2324" s="53" t="str">
        <x:v>C130</x:v>
      </x:c>
      <x:c r="D2324" s="53" t="str">
        <x:v>Deleted Account</x:v>
      </x:c>
      <x:c r="E2324" s="53"/>
    </x:row>
    <x:row r="2325" ht="15" hidden="0" customHeight="1">
      <x:c r="A2325" s="53" t="str">
        <x:v>Anjoman accounting - refined.xlsx</x:v>
      </x:c>
      <x:c r="B2325" s="53" t="str">
        <x:v>خام_تلگرام</x:v>
      </x:c>
      <x:c r="C2325" s="53" t="str">
        <x:v>D130</x:v>
      </x:c>
      <x:c r="D2325" s="53" t="str">
        <x:v>05:36 Deleted Account</x:v>
      </x:c>
      <x:c r="E2325" s="53"/>
    </x:row>
    <x:row r="2326" ht="15" hidden="0" customHeight="1">
      <x:c r="A2326" s="53" t="str">
        <x:v>Anjoman accounting - refined.xlsx</x:v>
      </x:c>
      <x:c r="B2326" s="53" t="str">
        <x:v>خام_تلگرام</x:v>
      </x:c>
      <x:c r="C2326" s="53" t="str">
        <x:v>E130</x:v>
      </x:c>
      <x:c r="D2326" s="53" t="str">
        <x:v>photos/photo_26@21-12-2025_05-36-21.jpg</x:v>
      </x:c>
      <x:c r="E2326" s="53"/>
    </x:row>
    <x:row r="2327" ht="15" hidden="0" customHeight="1">
      <x:c r="A2327" s="53" t="str">
        <x:v>Anjoman accounting - refined.xlsx</x:v>
      </x:c>
      <x:c r="B2327" s="53" t="str">
        <x:v>خام_تلگرام</x:v>
      </x:c>
      <x:c r="C2327" s="53" t="str">
        <x:v>A131</x:v>
      </x:c>
      <x:c r="D2327" s="53" t="str">
        <x:v>message113</x:v>
      </x:c>
      <x:c r="E2327" s="53"/>
    </x:row>
    <x:row r="2328" ht="15" hidden="0" customHeight="1">
      <x:c r="A2328" s="53" t="str">
        <x:v>Anjoman accounting - refined.xlsx</x:v>
      </x:c>
      <x:c r="B2328" s="53" t="str">
        <x:v>خام_تلگرام</x:v>
      </x:c>
      <x:c r="C2328" s="53" t="str">
        <x:v>B131</x:v>
      </x:c>
      <x:c r="D2328" s="53" t="str">
        <x:v>21.12.2025 08:29:22 UTC+03:30</x:v>
      </x:c>
      <x:c r="E2328" s="53"/>
    </x:row>
    <x:row r="2329" ht="15" hidden="0" customHeight="1">
      <x:c r="A2329" s="53" t="str">
        <x:v>Anjoman accounting - refined.xlsx</x:v>
      </x:c>
      <x:c r="B2329" s="53" t="str">
        <x:v>خام_تلگرام</x:v>
      </x:c>
      <x:c r="C2329" s="53" t="str">
        <x:v>C131</x:v>
      </x:c>
      <x:c r="D2329" s="53" t="str">
        <x:v>امین عزیزی</x:v>
      </x:c>
      <x:c r="E2329" s="53"/>
    </x:row>
    <x:row r="2330" ht="15" hidden="0" customHeight="1">
      <x:c r="A2330" s="53" t="str">
        <x:v>Anjoman accounting - refined.xlsx</x:v>
      </x:c>
      <x:c r="B2330" s="53" t="str">
        <x:v>خام_تلگرام</x:v>
      </x:c>
      <x:c r="C2330" s="53" t="str">
        <x:v>D131</x:v>
      </x:c>
      <x:c r="D2330" s="53" t="str">
        <x:v>حاجی چقدر پول داره مقیمی😂</x:v>
      </x:c>
      <x:c r="E2330" s="53"/>
    </x:row>
    <x:row r="2331" ht="15" hidden="0" customHeight="1">
      <x:c r="A2331" s="53" t="str">
        <x:v>Anjoman accounting - refined.xlsx</x:v>
      </x:c>
      <x:c r="B2331" s="53" t="str">
        <x:v>خام_تلگرام</x:v>
      </x:c>
      <x:c r="C2331" s="53" t="str">
        <x:v>A132</x:v>
      </x:c>
      <x:c r="D2331" s="53" t="str">
        <x:v>message-21</x:v>
      </x:c>
      <x:c r="E2331" s="53"/>
    </x:row>
    <x:row r="2332" ht="15" hidden="0" customHeight="1">
      <x:c r="A2332" s="53" t="str">
        <x:v>Anjoman accounting - refined.xlsx</x:v>
      </x:c>
      <x:c r="B2332" s="53" t="str">
        <x:v>خام_تلگرام</x:v>
      </x:c>
      <x:c r="C2332" s="53" t="str">
        <x:v>D132</x:v>
      </x:c>
      <x:c r="D2332" s="53" t="str">
        <x:v>16 February 2026</x:v>
      </x:c>
      <x:c r="E2332" s="53"/>
    </x:row>
    <x:row r="2333" ht="15" hidden="0" customHeight="1">
      <x:c r="A2333" s="53" t="str">
        <x:v>Anjoman accounting - refined.xlsx</x:v>
      </x:c>
      <x:c r="B2333" s="53" t="str">
        <x:v>خام_تلگرام</x:v>
      </x:c>
      <x:c r="C2333" s="53" t="str">
        <x:v>A133</x:v>
      </x:c>
      <x:c r="D2333" s="53" t="str">
        <x:v>message114</x:v>
      </x:c>
      <x:c r="E2333" s="53"/>
    </x:row>
    <x:row r="2334" ht="15" hidden="0" customHeight="1">
      <x:c r="A2334" s="53" t="str">
        <x:v>Anjoman accounting - refined.xlsx</x:v>
      </x:c>
      <x:c r="B2334" s="53" t="str">
        <x:v>خام_تلگرام</x:v>
      </x:c>
      <x:c r="C2334" s="53" t="str">
        <x:v>B133</x:v>
      </x:c>
      <x:c r="D2334" s="53" t="str">
        <x:v>16.02.2026 15:48:21 UTC+03:30</x:v>
      </x:c>
      <x:c r="E2334" s="53"/>
    </x:row>
    <x:row r="2335" ht="15" hidden="0" customHeight="1">
      <x:c r="A2335" s="53" t="str">
        <x:v>Anjoman accounting - refined.xlsx</x:v>
      </x:c>
      <x:c r="B2335" s="53" t="str">
        <x:v>خام_تلگرام</x:v>
      </x:c>
      <x:c r="C2335" s="53" t="str">
        <x:v>C133</x:v>
      </x:c>
      <x:c r="D2335" s="53" t="str">
        <x:v>Deleted Account</x:v>
      </x:c>
      <x:c r="E2335" s="53"/>
    </x:row>
    <x:row r="2336" ht="15" hidden="0" customHeight="1">
      <x:c r="A2336" s="53" t="str">
        <x:v>Anjoman accounting - refined.xlsx</x:v>
      </x:c>
      <x:c r="B2336" s="53" t="str">
        <x:v>خام_تلگرام</x:v>
      </x:c>
      <x:c r="C2336" s="53" t="str">
        <x:v>D133</x:v>
      </x:c>
      <x:c r="D2336" s="53" t="str">
        <x:v>امین برای یلدا اینا رو جزو ورودی ها بزن</x:v>
      </x:c>
      <x:c r="E2336" s="53"/>
    </x:row>
    <x:row r="2337" ht="15" hidden="0" customHeight="1">
      <x:c r="A2337" s="53" t="str">
        <x:v>Anjoman accounting - refined.xlsx</x:v>
      </x:c>
      <x:c r="B2337" s="53" t="str">
        <x:v>خام_تلگرام</x:v>
      </x:c>
      <x:c r="C2337" s="53" t="str">
        <x:v>A134</x:v>
      </x:c>
      <x:c r="D2337" s="53" t="str">
        <x:v>message115</x:v>
      </x:c>
      <x:c r="E2337" s="53"/>
    </x:row>
    <x:row r="2338" ht="15" hidden="0" customHeight="1">
      <x:c r="A2338" s="53" t="str">
        <x:v>Anjoman accounting - refined.xlsx</x:v>
      </x:c>
      <x:c r="B2338" s="53" t="str">
        <x:v>خام_تلگرام</x:v>
      </x:c>
      <x:c r="C2338" s="53" t="str">
        <x:v>B134</x:v>
      </x:c>
      <x:c r="D2338" s="53" t="str">
        <x:v>16.02.2026 15:49:32 UTC+03:30</x:v>
      </x:c>
      <x:c r="E2338" s="53"/>
    </x:row>
    <x:row r="2339" ht="24" hidden="0" customHeight="1">
      <x:c r="A2339" s="53" t="str">
        <x:v>Anjoman accounting - refined.xlsx</x:v>
      </x:c>
      <x:c r="B2339" s="53" t="str">
        <x:v>خام_تلگرام</x:v>
      </x:c>
      <x:c r="C2339" s="53" t="str">
        <x:v>D134</x:v>
      </x:c>
      <x:c r="D2339" s="53" t="str">
        <x:v>بانک سپه واريز:1,500,000ريال حساب:3001254062925 مانده:130,982,851 10/1-10:11 بانک سپه برداشت:100,037,800 حساب : 3001254062925 مانده:30,945,051 10/1-10:29 بانک سپه واريز:5,000,000ريال حساب:3001254062925 مانده:47,945,051 10/1-14:29 بانک سپه واريز:10,000,000ريال حساب:3001254062925 مانده:33,652,252 10/2-7:40</x:v>
      </x:c>
      <x:c r="E2339" s="53"/>
    </x:row>
    <x:row r="2340" ht="15" hidden="0" customHeight="1">
      <x:c r="A2340" s="53" t="str">
        <x:v>Anjoman accounting - refined.xlsx</x:v>
      </x:c>
      <x:c r="B2340" s="53" t="str">
        <x:v>خام_تلگرام</x:v>
      </x:c>
      <x:c r="C2340" s="53" t="str">
        <x:v>A135</x:v>
      </x:c>
      <x:c r="D2340" s="53" t="str">
        <x:v>message116</x:v>
      </x:c>
      <x:c r="E2340" s="53"/>
    </x:row>
    <x:row r="2341" ht="15" hidden="0" customHeight="1">
      <x:c r="A2341" s="53" t="str">
        <x:v>Anjoman accounting - refined.xlsx</x:v>
      </x:c>
      <x:c r="B2341" s="53" t="str">
        <x:v>خام_تلگرام</x:v>
      </x:c>
      <x:c r="C2341" s="53" t="str">
        <x:v>B135</x:v>
      </x:c>
      <x:c r="D2341" s="53" t="str">
        <x:v>16.02.2026 15:50:28 UTC+03:30</x:v>
      </x:c>
      <x:c r="E2341" s="53"/>
    </x:row>
    <x:row r="2342" ht="15" hidden="0" customHeight="1">
      <x:c r="A2342" s="53" t="str">
        <x:v>Anjoman accounting - refined.xlsx</x:v>
      </x:c>
      <x:c r="B2342" s="53" t="str">
        <x:v>خام_تلگرام</x:v>
      </x:c>
      <x:c r="C2342" s="53" t="str">
        <x:v>D135</x:v>
      </x:c>
      <x:c r="D2342" s="53" t="str">
        <x:v>یکم گیج کننده شد ولی جمعا 15,790,000 واریزی نقدی بوده و 700,000 وجه نقد</x:v>
      </x:c>
      <x:c r="E2342" s="53"/>
    </x:row>
    <x:row r="2343" ht="15" hidden="0" customHeight="1">
      <x:c r="A2343" s="53" t="str">
        <x:v>Anjoman accounting - refined.xlsx</x:v>
      </x:c>
      <x:c r="B2343" s="53" t="str">
        <x:v>خام_تلگرام</x:v>
      </x:c>
      <x:c r="C2343" s="53" t="str">
        <x:v>A136</x:v>
      </x:c>
      <x:c r="D2343" s="53" t="str">
        <x:v>message117</x:v>
      </x:c>
      <x:c r="E2343" s="53"/>
    </x:row>
    <x:row r="2344" ht="15" hidden="0" customHeight="1">
      <x:c r="A2344" s="53" t="str">
        <x:v>Anjoman accounting - refined.xlsx</x:v>
      </x:c>
      <x:c r="B2344" s="53" t="str">
        <x:v>خام_تلگرام</x:v>
      </x:c>
      <x:c r="C2344" s="53" t="str">
        <x:v>B136</x:v>
      </x:c>
      <x:c r="D2344" s="53" t="str">
        <x:v>16.02.2026 15:50:53 UTC+03:30</x:v>
      </x:c>
      <x:c r="E2344" s="53"/>
    </x:row>
    <x:row r="2345" ht="15" hidden="0" customHeight="1">
      <x:c r="A2345" s="53" t="str">
        <x:v>Anjoman accounting - refined.xlsx</x:v>
      </x:c>
      <x:c r="B2345" s="53" t="str">
        <x:v>خام_تلگرام</x:v>
      </x:c>
      <x:c r="C2345" s="53" t="str">
        <x:v>D136</x:v>
      </x:c>
      <x:c r="D2345" s="53" t="str">
        <x:v>تا بعد رسیدم تهران فاکتور هارو مرتب کنم بدم بهت</x:v>
      </x:c>
      <x:c r="E2345" s="53"/>
    </x:row>
    <x:row r="2346" ht="15" hidden="0" customHeight="1">
      <x:c r="A2346" s="53" t="str">
        <x:v>Anjoman accounting - refined.xlsx</x:v>
      </x:c>
      <x:c r="B2346" s="53" t="str">
        <x:v>خام_تلگرام</x:v>
      </x:c>
      <x:c r="C2346" s="53" t="str">
        <x:v>A137</x:v>
      </x:c>
      <x:c r="D2346" s="53" t="str">
        <x:v>message-22</x:v>
      </x:c>
      <x:c r="E2346" s="53"/>
    </x:row>
    <x:row r="2347" ht="15" hidden="0" customHeight="1">
      <x:c r="A2347" s="53" t="str">
        <x:v>Anjoman accounting - refined.xlsx</x:v>
      </x:c>
      <x:c r="B2347" s="53" t="str">
        <x:v>خام_تلگرام</x:v>
      </x:c>
      <x:c r="C2347" s="53" t="str">
        <x:v>D137</x:v>
      </x:c>
      <x:c r="D2347" s="53" t="str">
        <x:v>19 February 2026</x:v>
      </x:c>
      <x:c r="E2347" s="53"/>
    </x:row>
    <x:row r="2348" ht="15" hidden="0" customHeight="1">
      <x:c r="A2348" s="53" t="str">
        <x:v>Anjoman accounting - refined.xlsx</x:v>
      </x:c>
      <x:c r="B2348" s="53" t="str">
        <x:v>خام_تلگرام</x:v>
      </x:c>
      <x:c r="C2348" s="53" t="str">
        <x:v>A138</x:v>
      </x:c>
      <x:c r="D2348" s="53" t="str">
        <x:v>message118</x:v>
      </x:c>
      <x:c r="E2348" s="53"/>
    </x:row>
    <x:row r="2349" ht="15" hidden="0" customHeight="1">
      <x:c r="A2349" s="53" t="str">
        <x:v>Anjoman accounting - refined.xlsx</x:v>
      </x:c>
      <x:c r="B2349" s="53" t="str">
        <x:v>خام_تلگرام</x:v>
      </x:c>
      <x:c r="C2349" s="53" t="str">
        <x:v>B138</x:v>
      </x:c>
      <x:c r="D2349" s="53" t="str">
        <x:v>19.02.2026 10:32:24 UTC+03:30</x:v>
      </x:c>
      <x:c r="E2349" s="53"/>
    </x:row>
    <x:row r="2350" ht="15" hidden="0" customHeight="1">
      <x:c r="A2350" s="53" t="str">
        <x:v>Anjoman accounting - refined.xlsx</x:v>
      </x:c>
      <x:c r="B2350" s="53" t="str">
        <x:v>خام_تلگرام</x:v>
      </x:c>
      <x:c r="C2350" s="53" t="str">
        <x:v>C138</x:v>
      </x:c>
      <x:c r="D2350" s="53" t="str">
        <x:v>امین عزیزی</x:v>
      </x:c>
      <x:c r="E2350" s="53"/>
    </x:row>
    <x:row r="2351" ht="15" hidden="0" customHeight="1">
      <x:c r="A2351" s="53" t="str">
        <x:v>Anjoman accounting - refined.xlsx</x:v>
      </x:c>
      <x:c r="B2351" s="53" t="str">
        <x:v>خام_تلگرام</x:v>
      </x:c>
      <x:c r="C2351" s="53" t="str">
        <x:v>D138</x:v>
      </x:c>
      <x:c r="D2351" s="53" t="str">
        <x:v>حسن اینو رو ورودی بزنم؟ زده برداشت این اصلا هست جزوشون یا نه؟</x:v>
      </x:c>
      <x:c r="E2351" s="53"/>
    </x:row>
    <x:row r="2352" ht="15" hidden="0" customHeight="1">
      <x:c r="A2352" s="53" t="str">
        <x:v>Anjoman accounting - refined.xlsx</x:v>
      </x:c>
      <x:c r="B2352" s="53" t="str">
        <x:v>خام_تلگرام</x:v>
      </x:c>
      <x:c r="C2352" s="53" t="str">
        <x:v>A139</x:v>
      </x:c>
      <x:c r="D2352" s="53" t="str">
        <x:v>message119</x:v>
      </x:c>
      <x:c r="E2352" s="53"/>
    </x:row>
    <x:row r="2353" ht="15" hidden="0" customHeight="1">
      <x:c r="A2353" s="53" t="str">
        <x:v>Anjoman accounting - refined.xlsx</x:v>
      </x:c>
      <x:c r="B2353" s="53" t="str">
        <x:v>خام_تلگرام</x:v>
      </x:c>
      <x:c r="C2353" s="53" t="str">
        <x:v>B139</x:v>
      </x:c>
      <x:c r="D2353" s="53" t="str">
        <x:v>19.02.2026 10:35:49 UTC+03:30</x:v>
      </x:c>
      <x:c r="E2353" s="53"/>
    </x:row>
    <x:row r="2354" ht="15" hidden="0" customHeight="1">
      <x:c r="A2354" s="53" t="str">
        <x:v>Anjoman accounting - refined.xlsx</x:v>
      </x:c>
      <x:c r="B2354" s="53" t="str">
        <x:v>خام_تلگرام</x:v>
      </x:c>
      <x:c r="C2354" s="53" t="str">
        <x:v>D139</x:v>
      </x:c>
      <x:c r="D2354" s="53" t="str">
        <x:v>خرج جشن رو هم بگو لطفا</x:v>
      </x:c>
      <x:c r="E2354" s="53"/>
    </x:row>
    <x:row r="2355" ht="15" hidden="0" customHeight="1">
      <x:c r="A2355" s="53" t="str">
        <x:v>Anjoman accounting - refined.xlsx</x:v>
      </x:c>
      <x:c r="B2355" s="53" t="str">
        <x:v>خام_تلگرام</x:v>
      </x:c>
      <x:c r="C2355" s="53" t="str">
        <x:v>A140</x:v>
      </x:c>
      <x:c r="D2355" s="53" t="str">
        <x:v>message-23</x:v>
      </x:c>
      <x:c r="E2355" s="53"/>
    </x:row>
    <x:row r="2356" ht="15" hidden="0" customHeight="1">
      <x:c r="A2356" s="53" t="str">
        <x:v>Anjoman accounting - refined.xlsx</x:v>
      </x:c>
      <x:c r="B2356" s="53" t="str">
        <x:v>خام_تلگرام</x:v>
      </x:c>
      <x:c r="C2356" s="53" t="str">
        <x:v>D140</x:v>
      </x:c>
      <x:c r="D2356" s="53" t="str">
        <x:v>21 February 2026</x:v>
      </x:c>
      <x:c r="E2356" s="53"/>
    </x:row>
    <x:row r="2357" ht="15" hidden="0" customHeight="1">
      <x:c r="A2357" s="53" t="str">
        <x:v>Anjoman accounting - refined.xlsx</x:v>
      </x:c>
      <x:c r="B2357" s="53" t="str">
        <x:v>خام_تلگرام</x:v>
      </x:c>
      <x:c r="C2357" s="53" t="str">
        <x:v>A141</x:v>
      </x:c>
      <x:c r="D2357" s="53" t="str">
        <x:v>message120</x:v>
      </x:c>
      <x:c r="E2357" s="53"/>
    </x:row>
    <x:row r="2358" ht="15" hidden="0" customHeight="1">
      <x:c r="A2358" s="53" t="str">
        <x:v>Anjoman accounting - refined.xlsx</x:v>
      </x:c>
      <x:c r="B2358" s="53" t="str">
        <x:v>خام_تلگرام</x:v>
      </x:c>
      <x:c r="C2358" s="53" t="str">
        <x:v>B141</x:v>
      </x:c>
      <x:c r="D2358" s="53" t="str">
        <x:v>21.02.2026 02:53:32 UTC+03:30</x:v>
      </x:c>
      <x:c r="E2358" s="53"/>
    </x:row>
    <x:row r="2359" ht="15" hidden="0" customHeight="1">
      <x:c r="A2359" s="53" t="str">
        <x:v>Anjoman accounting - refined.xlsx</x:v>
      </x:c>
      <x:c r="B2359" s="53" t="str">
        <x:v>خام_تلگرام</x:v>
      </x:c>
      <x:c r="C2359" s="53" t="str">
        <x:v>C141</x:v>
      </x:c>
      <x:c r="D2359" s="53" t="str">
        <x:v>Deleted Account</x:v>
      </x:c>
      <x:c r="E2359" s="53"/>
    </x:row>
    <x:row r="2360" ht="15" hidden="0" customHeight="1">
      <x:c r="A2360" s="53" t="str">
        <x:v>Anjoman accounting - refined.xlsx</x:v>
      </x:c>
      <x:c r="B2360" s="53" t="str">
        <x:v>خام_تلگرام</x:v>
      </x:c>
      <x:c r="C2360" s="53" t="str">
        <x:v>D141</x:v>
      </x:c>
      <x:c r="D2360" s="53" t="str">
        <x:v>این برداشت برای کارت به کارت هزینه‌ها بوده صرفا گذاشتم که با بقیه واریزی ها جمع بزنی</x:v>
      </x:c>
      <x:c r="E2360" s="53"/>
    </x:row>
    <x:row r="2361" ht="15" hidden="0" customHeight="1">
      <x:c r="A2361" s="53" t="str">
        <x:v>Anjoman accounting - refined.xlsx</x:v>
      </x:c>
      <x:c r="B2361" s="53" t="str">
        <x:v>خام_تلگرام</x:v>
      </x:c>
      <x:c r="C2361" s="53" t="str">
        <x:v>A142</x:v>
      </x:c>
      <x:c r="D2361" s="53" t="str">
        <x:v>message121</x:v>
      </x:c>
      <x:c r="E2361" s="53"/>
    </x:row>
    <x:row r="2362" ht="15" hidden="0" customHeight="1">
      <x:c r="A2362" s="53" t="str">
        <x:v>Anjoman accounting - refined.xlsx</x:v>
      </x:c>
      <x:c r="B2362" s="53" t="str">
        <x:v>خام_تلگرام</x:v>
      </x:c>
      <x:c r="C2362" s="53" t="str">
        <x:v>B142</x:v>
      </x:c>
      <x:c r="D2362" s="53" t="str">
        <x:v>21.02.2026 02:54:33 UTC+03:30</x:v>
      </x:c>
      <x:c r="E2362" s="53"/>
    </x:row>
    <x:row r="2363" ht="15" hidden="0" customHeight="1">
      <x:c r="A2363" s="53" t="str">
        <x:v>Anjoman accounting - refined.xlsx</x:v>
      </x:c>
      <x:c r="B2363" s="53" t="str">
        <x:v>خام_تلگرام</x:v>
      </x:c>
      <x:c r="C2363" s="53" t="str">
        <x:v>D142</x:v>
      </x:c>
      <x:c r="D2363" s="53" t="str">
        <x:v>ولی عدد ورودی کل از منبع کمک مالی جمعی ،برابر جمع این دوتا میشه</x:v>
      </x:c>
      <x:c r="E2363" s="53"/>
    </x:row>
    <x:row r="2364" ht="15" hidden="0" customHeight="1">
      <x:c r="A2364" s="53" t="str">
        <x:v>Anjoman accounting - refined.xlsx</x:v>
      </x:c>
      <x:c r="B2364" s="53" t="str">
        <x:v>خام_تلگرام</x:v>
      </x:c>
      <x:c r="C2364" s="53" t="str">
        <x:v>A143</x:v>
      </x:c>
      <x:c r="D2364" s="53" t="str">
        <x:v>message122</x:v>
      </x:c>
      <x:c r="E2364" s="53"/>
    </x:row>
    <x:row r="2365" ht="15" hidden="0" customHeight="1">
      <x:c r="A2365" s="53" t="str">
        <x:v>Anjoman accounting - refined.xlsx</x:v>
      </x:c>
      <x:c r="B2365" s="53" t="str">
        <x:v>خام_تلگرام</x:v>
      </x:c>
      <x:c r="C2365" s="53" t="str">
        <x:v>B143</x:v>
      </x:c>
      <x:c r="D2365" s="53" t="str">
        <x:v>21.02.2026 02:54:39 UTC+03:30</x:v>
      </x:c>
      <x:c r="E2365" s="53"/>
    </x:row>
    <x:row r="2366" ht="15" hidden="0" customHeight="1">
      <x:c r="A2366" s="53" t="str">
        <x:v>Anjoman accounting - refined.xlsx</x:v>
      </x:c>
      <x:c r="B2366" s="53" t="str">
        <x:v>خام_تلگرام</x:v>
      </x:c>
      <x:c r="C2366" s="53" t="str">
        <x:v>D143</x:v>
      </x:c>
      <x:c r="D2366" s="53" t="str">
        <x:v>حله</x:v>
      </x:c>
      <x:c r="E2366" s="53"/>
    </x:row>
    <x:row r="2367" ht="15" hidden="0" customHeight="1">
      <x:c r="A2367" s="53" t="str">
        <x:v>Anjoman accounting - refined.xlsx</x:v>
      </x:c>
      <x:c r="B2367" s="53" t="str">
        <x:v>خام_تلگرام</x:v>
      </x:c>
      <x:c r="C2367" s="53" t="str">
        <x:v>A144</x:v>
      </x:c>
      <x:c r="D2367" s="53" t="str">
        <x:v>message123</x:v>
      </x:c>
      <x:c r="E2367" s="53"/>
    </x:row>
    <x:row r="2368" ht="15" hidden="0" customHeight="1">
      <x:c r="A2368" s="53" t="str">
        <x:v>Anjoman accounting - refined.xlsx</x:v>
      </x:c>
      <x:c r="B2368" s="53" t="str">
        <x:v>خام_تلگرام</x:v>
      </x:c>
      <x:c r="C2368" s="53" t="str">
        <x:v>B144</x:v>
      </x:c>
      <x:c r="D2368" s="53" t="str">
        <x:v>21.02.2026 02:54:41 UTC+03:30</x:v>
      </x:c>
      <x:c r="E2368" s="53"/>
    </x:row>
    <x:row r="2369" ht="15" hidden="0" customHeight="1">
      <x:c r="A2369" s="53" t="str">
        <x:v>Anjoman accounting - refined.xlsx</x:v>
      </x:c>
      <x:c r="B2369" s="53" t="str">
        <x:v>خام_تلگرام</x:v>
      </x:c>
      <x:c r="C2369" s="53" t="str">
        <x:v>D144</x:v>
      </x:c>
      <x:c r="D2369" s="53" t="str">
        <x:v>.</x:v>
      </x:c>
      <x:c r="E2369" s="53"/>
    </x:row>
    <x:row r="2370" ht="15" hidden="0" customHeight="1">
      <x:c r="A2370" s="53" t="str">
        <x:v>Anjoman accounting - refined.xlsx</x:v>
      </x:c>
      <x:c r="B2370" s="53" t="str">
        <x:v>خام_تلگرام</x:v>
      </x:c>
      <x:c r="C2370" s="53" t="str">
        <x:v>A145</x:v>
      </x:c>
      <x:c r="D2370" s="53" t="str">
        <x:v>message-24</x:v>
      </x:c>
      <x:c r="E2370" s="53"/>
    </x:row>
    <x:row r="2371" ht="15" hidden="0" customHeight="1">
      <x:c r="A2371" s="53" t="str">
        <x:v>Anjoman accounting - refined.xlsx</x:v>
      </x:c>
      <x:c r="B2371" s="53" t="str">
        <x:v>خام_تلگرام</x:v>
      </x:c>
      <x:c r="C2371" s="53" t="str">
        <x:v>D145</x:v>
      </x:c>
      <x:c r="D2371" s="53" t="str">
        <x:v>17 May 2026</x:v>
      </x:c>
      <x:c r="E2371" s="53"/>
    </x:row>
    <x:row r="2372" ht="15" hidden="0" customHeight="1">
      <x:c r="A2372" s="53" t="str">
        <x:v>Anjoman accounting - refined.xlsx</x:v>
      </x:c>
      <x:c r="B2372" s="53" t="str">
        <x:v>خام_تلگرام</x:v>
      </x:c>
      <x:c r="C2372" s="53" t="str">
        <x:v>A146</x:v>
      </x:c>
      <x:c r="D2372" s="53" t="str">
        <x:v>message124</x:v>
      </x:c>
      <x:c r="E2372" s="53"/>
    </x:row>
    <x:row r="2373" ht="15" hidden="0" customHeight="1">
      <x:c r="A2373" s="53" t="str">
        <x:v>Anjoman accounting - refined.xlsx</x:v>
      </x:c>
      <x:c r="B2373" s="53" t="str">
        <x:v>خام_تلگرام</x:v>
      </x:c>
      <x:c r="C2373" s="53" t="str">
        <x:v>B146</x:v>
      </x:c>
      <x:c r="D2373" s="53" t="str">
        <x:v>17.05.2026 19:45:07 UTC+03:30</x:v>
      </x:c>
      <x:c r="E2373" s="53"/>
    </x:row>
    <x:row r="2374" ht="15" hidden="0" customHeight="1">
      <x:c r="A2374" s="53" t="str">
        <x:v>Anjoman accounting - refined.xlsx</x:v>
      </x:c>
      <x:c r="B2374" s="53" t="str">
        <x:v>خام_تلگرام</x:v>
      </x:c>
      <x:c r="C2374" s="53" t="str">
        <x:v>C146</x:v>
      </x:c>
      <x:c r="D2374" s="53" t="str">
        <x:v>Deleted Account</x:v>
      </x:c>
      <x:c r="E2374" s="53"/>
    </x:row>
    <x:row r="2375" ht="15" hidden="0" customHeight="1">
      <x:c r="A2375" s="53" t="str">
        <x:v>Anjoman accounting - refined.xlsx</x:v>
      </x:c>
      <x:c r="B2375" s="53" t="str">
        <x:v>خام_تلگرام</x:v>
      </x:c>
      <x:c r="C2375" s="53" t="str">
        <x:v>D146</x:v>
      </x:c>
      <x:c r="D2375" s="53" t="str">
        <x:v>19:45 Deleted Account P Parnian 13.05.2026 13:19:49 CamScanner 13-05-2026 12.43 (1).pdf 7.0 MB</x:v>
      </x:c>
      <x:c r="E2375" s="53"/>
    </x:row>
    <x:row r="2376" ht="15" hidden="0" customHeight="1">
      <x:c r="A2376" s="53" t="str">
        <x:v>Anjoman accounting - refined.xlsx</x:v>
      </x:c>
      <x:c r="B2376" s="53" t="str">
        <x:v>خام_تلگرام</x:v>
      </x:c>
      <x:c r="C2376" s="53" t="str">
        <x:v>E146</x:v>
      </x:c>
      <x:c r="D2376" s="53" t="str">
        <x:v>files/CamScanner 13-05-2026 12.43 (1).pdf</x:v>
      </x:c>
      <x:c r="E2376" s="53"/>
    </x:row>
    <x:row r="2377" ht="15" hidden="0" customHeight="1">
      <x:c r="A2377" s="53" t="str">
        <x:v>Anjoman accounting - refined.xlsx</x:v>
      </x:c>
      <x:c r="B2377" s="53" t="str">
        <x:v>خام_تلگرام</x:v>
      </x:c>
      <x:c r="C2377" s="53" t="str">
        <x:v>A147</x:v>
      </x:c>
      <x:c r="D2377" s="53" t="str">
        <x:v>message125</x:v>
      </x:c>
      <x:c r="E2377" s="53"/>
    </x:row>
    <x:row r="2378" ht="15" hidden="0" customHeight="1">
      <x:c r="A2378" s="53" t="str">
        <x:v>Anjoman accounting - refined.xlsx</x:v>
      </x:c>
      <x:c r="B2378" s="53" t="str">
        <x:v>خام_تلگرام</x:v>
      </x:c>
      <x:c r="C2378" s="53" t="str">
        <x:v>B147</x:v>
      </x:c>
      <x:c r="D2378" s="53" t="str">
        <x:v>17.05.2026 19:45:07 UTC+03:30</x:v>
      </x:c>
      <x:c r="E2378" s="53"/>
    </x:row>
    <x:row r="2379" ht="15" hidden="0" customHeight="1">
      <x:c r="A2379" s="53" t="str">
        <x:v>Anjoman accounting - refined.xlsx</x:v>
      </x:c>
      <x:c r="B2379" s="53" t="str">
        <x:v>خام_تلگرام</x:v>
      </x:c>
      <x:c r="C2379" s="53" t="str">
        <x:v>C147</x:v>
      </x:c>
      <x:c r="D2379" s="53" t="str">
        <x:v>Deleted Account</x:v>
      </x:c>
      <x:c r="E2379" s="53"/>
    </x:row>
    <x:row r="2380" ht="15" hidden="0" customHeight="1">
      <x:c r="A2380" s="53" t="str">
        <x:v>Anjoman accounting - refined.xlsx</x:v>
      </x:c>
      <x:c r="B2380" s="53" t="str">
        <x:v>خام_تلگرام</x:v>
      </x:c>
      <x:c r="C2380" s="53" t="str">
        <x:v>D147</x:v>
      </x:c>
      <x:c r="D2380" s="53" t="str">
        <x:v>19:45 Deleted Account Deleted Account 17.05.2026 18:38:53</x:v>
      </x:c>
      <x:c r="E2380" s="53"/>
    </x:row>
    <x:row r="2381" ht="15" hidden="0" customHeight="1">
      <x:c r="A2381" s="53" t="str">
        <x:v>Anjoman accounting - refined.xlsx</x:v>
      </x:c>
      <x:c r="B2381" s="53" t="str">
        <x:v>خام_تلگرام</x:v>
      </x:c>
      <x:c r="C2381" s="53" t="str">
        <x:v>E147</x:v>
      </x:c>
      <x:c r="D2381" s="53" t="str">
        <x:v>photos/photo_27@17-05-2026_19-45-07.jpg</x:v>
      </x:c>
      <x:c r="E2381" s="53"/>
    </x:row>
    <x:row r="2382" ht="15" hidden="0" customHeight="1">
      <x:c r="A2382" s="53" t="str">
        <x:v>Anjoman accounting - refined.xlsx</x:v>
      </x:c>
      <x:c r="B2382" s="53" t="str">
        <x:v>خام_تلگرام</x:v>
      </x:c>
      <x:c r="C2382" s="53" t="str">
        <x:v>A148</x:v>
      </x:c>
      <x:c r="D2382" s="53" t="str">
        <x:v>message126</x:v>
      </x:c>
      <x:c r="E2382" s="53"/>
    </x:row>
    <x:row r="2383" ht="15" hidden="0" customHeight="1">
      <x:c r="A2383" s="53" t="str">
        <x:v>Anjoman accounting - refined.xlsx</x:v>
      </x:c>
      <x:c r="B2383" s="53" t="str">
        <x:v>خام_تلگرام</x:v>
      </x:c>
      <x:c r="C2383" s="53" t="str">
        <x:v>B148</x:v>
      </x:c>
      <x:c r="D2383" s="53" t="str">
        <x:v>17.05.2026 19:45:07 UTC+03:30</x:v>
      </x:c>
      <x:c r="E2383" s="53"/>
    </x:row>
    <x:row r="2384" ht="15" hidden="0" customHeight="1">
      <x:c r="A2384" s="53" t="str">
        <x:v>Anjoman accounting - refined.xlsx</x:v>
      </x:c>
      <x:c r="B2384" s="53" t="str">
        <x:v>خام_تلگرام</x:v>
      </x:c>
      <x:c r="C2384" s="53" t="str">
        <x:v>D148</x:v>
      </x:c>
      <x:c r="D2384" s="53" t="str">
        <x:v>19:45</x:v>
      </x:c>
      <x:c r="E2384" s="53"/>
    </x:row>
    <x:row r="2385" ht="15" hidden="0" customHeight="1">
      <x:c r="A2385" s="53" t="str">
        <x:v>Anjoman accounting - refined.xlsx</x:v>
      </x:c>
      <x:c r="B2385" s="53" t="str">
        <x:v>خام_تلگرام</x:v>
      </x:c>
      <x:c r="C2385" s="53" t="str">
        <x:v>E148</x:v>
      </x:c>
      <x:c r="D2385" s="53" t="str">
        <x:v>photos/photo_28@17-05-2026_19-45-07.jpg</x:v>
      </x:c>
      <x:c r="E2385" s="53"/>
    </x:row>
    <x:row r="2386" ht="15" hidden="0" customHeight="1">
      <x:c r="A2386" s="53" t="str">
        <x:v>Anjoman accounting - refined.xlsx</x:v>
      </x:c>
      <x:c r="B2386" s="53" t="str">
        <x:v>خام_تلگرام</x:v>
      </x:c>
      <x:c r="C2386" s="53" t="str">
        <x:v>A149</x:v>
      </x:c>
      <x:c r="D2386" s="53" t="str">
        <x:v>message127</x:v>
      </x:c>
      <x:c r="E2386" s="53"/>
    </x:row>
    <x:row r="2387" ht="15" hidden="0" customHeight="1">
      <x:c r="A2387" s="53" t="str">
        <x:v>Anjoman accounting - refined.xlsx</x:v>
      </x:c>
      <x:c r="B2387" s="53" t="str">
        <x:v>خام_تلگرام</x:v>
      </x:c>
      <x:c r="C2387" s="53" t="str">
        <x:v>B149</x:v>
      </x:c>
      <x:c r="D2387" s="53" t="str">
        <x:v>17.05.2026 20:15:05 UTC+03:30</x:v>
      </x:c>
      <x:c r="E2387" s="53"/>
    </x:row>
    <x:row r="2388" ht="15" hidden="0" customHeight="1">
      <x:c r="A2388" s="53" t="str">
        <x:v>Anjoman accounting - refined.xlsx</x:v>
      </x:c>
      <x:c r="B2388" s="53" t="str">
        <x:v>خام_تلگرام</x:v>
      </x:c>
      <x:c r="C2388" s="53" t="str">
        <x:v>C149</x:v>
      </x:c>
      <x:c r="D2388" s="53" t="str">
        <x:v>امین عزیزی</x:v>
      </x:c>
      <x:c r="E2388" s="53"/>
    </x:row>
    <x:row r="2389" ht="15" hidden="0" customHeight="1">
      <x:c r="A2389" s="53" t="str">
        <x:v>Anjoman accounting - refined.xlsx</x:v>
      </x:c>
      <x:c r="B2389" s="53" t="str">
        <x:v>خام_تلگرام</x:v>
      </x:c>
      <x:c r="C2389" s="53" t="str">
        <x:v>D149</x:v>
      </x:c>
      <x:c r="D2389" s="53" t="str">
        <x:v>این چیه؟</x:v>
      </x:c>
      <x:c r="E2389" s="53"/>
    </x:row>
    <x:row r="2390" ht="15" hidden="0" customHeight="1">
      <x:c r="A2390" s="53" t="str">
        <x:v>Anjoman accounting - refined.xlsx</x:v>
      </x:c>
      <x:c r="B2390" s="53" t="str">
        <x:v>خام_تلگرام</x:v>
      </x:c>
      <x:c r="C2390" s="53" t="str">
        <x:v>A150</x:v>
      </x:c>
      <x:c r="D2390" s="53" t="str">
        <x:v>message128</x:v>
      </x:c>
      <x:c r="E2390" s="53"/>
    </x:row>
    <x:row r="2391" ht="15" hidden="0" customHeight="1">
      <x:c r="A2391" s="53" t="str">
        <x:v>Anjoman accounting - refined.xlsx</x:v>
      </x:c>
      <x:c r="B2391" s="53" t="str">
        <x:v>خام_تلگرام</x:v>
      </x:c>
      <x:c r="C2391" s="53" t="str">
        <x:v>B150</x:v>
      </x:c>
      <x:c r="D2391" s="53" t="str">
        <x:v>17.05.2026 20:16:06 UTC+03:30</x:v>
      </x:c>
      <x:c r="E2391" s="53"/>
    </x:row>
    <x:row r="2392" ht="15" hidden="0" customHeight="1">
      <x:c r="A2392" s="53" t="str">
        <x:v>Anjoman accounting - refined.xlsx</x:v>
      </x:c>
      <x:c r="B2392" s="53" t="str">
        <x:v>خام_تلگرام</x:v>
      </x:c>
      <x:c r="C2392" s="53" t="str">
        <x:v>C150</x:v>
      </x:c>
      <x:c r="D2392" s="53" t="str">
        <x:v>Deleted Account</x:v>
      </x:c>
      <x:c r="E2392" s="53"/>
    </x:row>
    <x:row r="2393" ht="15" hidden="0" customHeight="1">
      <x:c r="A2393" s="53" t="str">
        <x:v>Anjoman accounting - refined.xlsx</x:v>
      </x:c>
      <x:c r="B2393" s="53" t="str">
        <x:v>خام_تلگرام</x:v>
      </x:c>
      <x:c r="C2393" s="53" t="str">
        <x:v>D150</x:v>
      </x:c>
      <x:c r="D2393" s="53" t="str">
        <x:v>این از جشن یلدا کوکی و یسری چیزه پرنیان دیر فرستاده بود</x:v>
      </x:c>
      <x:c r="E2393" s="53"/>
    </x:row>
    <x:row r="2394" ht="15" hidden="0" customHeight="1">
      <x:c r="A2394" s="53" t="str">
        <x:v>Anjoman accounting - refined.xlsx</x:v>
      </x:c>
      <x:c r="B2394" s="53" t="str">
        <x:v>خام_تلگرام</x:v>
      </x:c>
      <x:c r="C2394" s="53" t="str">
        <x:v>A151</x:v>
      </x:c>
      <x:c r="D2394" s="53" t="str">
        <x:v>message129</x:v>
      </x:c>
      <x:c r="E2394" s="53"/>
    </x:row>
    <x:row r="2395" ht="15" hidden="0" customHeight="1">
      <x:c r="A2395" s="53" t="str">
        <x:v>Anjoman accounting - refined.xlsx</x:v>
      </x:c>
      <x:c r="B2395" s="53" t="str">
        <x:v>خام_تلگرام</x:v>
      </x:c>
      <x:c r="C2395" s="53" t="str">
        <x:v>B151</x:v>
      </x:c>
      <x:c r="D2395" s="53" t="str">
        <x:v>17.05.2026 20:16:15 UTC+03:30</x:v>
      </x:c>
      <x:c r="E2395" s="53"/>
    </x:row>
    <x:row r="2396" ht="15" hidden="0" customHeight="1">
      <x:c r="A2396" s="53" t="str">
        <x:v>Anjoman accounting - refined.xlsx</x:v>
      </x:c>
      <x:c r="B2396" s="53" t="str">
        <x:v>خام_تلگرام</x:v>
      </x:c>
      <x:c r="C2396" s="53" t="str">
        <x:v>D151</x:v>
      </x:c>
      <x:c r="D2396" s="53" t="str">
        <x:v>واردشون کن این رسیداشه</x:v>
      </x:c>
      <x:c r="E2396" s="53"/>
    </x:row>
    <x:row r="2397" ht="15" hidden="0" customHeight="1">
      <x:c r="A2397" s="53" t="str">
        <x:v>Anjoman accounting - refined.xlsx</x:v>
      </x:c>
      <x:c r="B2397" s="53" t="str">
        <x:v>خام_تلگرام</x:v>
      </x:c>
      <x:c r="C2397" s="53" t="str">
        <x:v>A152</x:v>
      </x:c>
      <x:c r="D2397" s="53" t="str">
        <x:v>message130</x:v>
      </x:c>
      <x:c r="E2397" s="53"/>
    </x:row>
    <x:row r="2398" ht="15" hidden="0" customHeight="1">
      <x:c r="A2398" s="53" t="str">
        <x:v>Anjoman accounting - refined.xlsx</x:v>
      </x:c>
      <x:c r="B2398" s="53" t="str">
        <x:v>خام_تلگرام</x:v>
      </x:c>
      <x:c r="C2398" s="53" t="str">
        <x:v>B152</x:v>
      </x:c>
      <x:c r="D2398" s="53" t="str">
        <x:v>17.05.2026 20:16:18 UTC+03:30</x:v>
      </x:c>
      <x:c r="E2398" s="53"/>
    </x:row>
    <x:row r="2399" ht="15" hidden="0" customHeight="1">
      <x:c r="A2399" s="53" t="str">
        <x:v>Anjoman accounting - refined.xlsx</x:v>
      </x:c>
      <x:c r="B2399" s="53" t="str">
        <x:v>خام_تلگرام</x:v>
      </x:c>
      <x:c r="C2399" s="53" t="str">
        <x:v>D152</x:v>
      </x:c>
      <x:c r="D2399" s="53" t="str">
        <x:v>یه چک بکن</x:v>
      </x:c>
      <x:c r="E2399" s="53"/>
    </x:row>
    <x:row r="2400" ht="15" hidden="0" customHeight="1">
      <x:c r="A2400" s="53" t="str">
        <x:v>Anjoman accounting - refined.xlsx</x:v>
      </x:c>
      <x:c r="B2400" s="53" t="str">
        <x:v>خام_تلگرام</x:v>
      </x:c>
      <x:c r="C2400" s="53" t="str">
        <x:v>A153</x:v>
      </x:c>
      <x:c r="D2400" s="53" t="str">
        <x:v>message131</x:v>
      </x:c>
      <x:c r="E2400" s="53"/>
    </x:row>
    <x:row r="2401" ht="15" hidden="0" customHeight="1">
      <x:c r="A2401" s="53" t="str">
        <x:v>Anjoman accounting - refined.xlsx</x:v>
      </x:c>
      <x:c r="B2401" s="53" t="str">
        <x:v>خام_تلگرام</x:v>
      </x:c>
      <x:c r="C2401" s="53" t="str">
        <x:v>B153</x:v>
      </x:c>
      <x:c r="D2401" s="53" t="str">
        <x:v>17.05.2026 20:17:06 UTC+03:30</x:v>
      </x:c>
      <x:c r="E2401" s="53"/>
    </x:row>
    <x:row r="2402" ht="15" hidden="0" customHeight="1">
      <x:c r="A2402" s="53" t="str">
        <x:v>Anjoman accounting - refined.xlsx</x:v>
      </x:c>
      <x:c r="B2402" s="53" t="str">
        <x:v>خام_تلگرام</x:v>
      </x:c>
      <x:c r="C2402" s="53" t="str">
        <x:v>C153</x:v>
      </x:c>
      <x:c r="D2402" s="53" t="str">
        <x:v>امین عزیزی</x:v>
      </x:c>
      <x:c r="E2402" s="53"/>
    </x:row>
    <x:row r="2403" ht="15" hidden="0" customHeight="1">
      <x:c r="A2403" s="53" t="str">
        <x:v>Anjoman accounting - refined.xlsx</x:v>
      </x:c>
      <x:c r="B2403" s="53" t="str">
        <x:v>خام_تلگرام</x:v>
      </x:c>
      <x:c r="C2403" s="53" t="str">
        <x:v>D153</x:v>
      </x:c>
      <x:c r="D2403" s="53" t="str">
        <x:v>حله حله</x:v>
      </x:c>
      <x:c r="E2403" s="53"/>
    </x:row>
    <x:row r="2404" ht="15" hidden="0" customHeight="1">
      <x:c r="A2404" s="53" t="str">
        <x:v>Anjoman accounting - refined.xlsx</x:v>
      </x:c>
      <x:c r="B2404" s="53" t="str">
        <x:v>خام_تلگرام</x:v>
      </x:c>
      <x:c r="C2404" s="53" t="str">
        <x:v>A154</x:v>
      </x:c>
      <x:c r="D2404" s="53" t="str">
        <x:v>message-25</x:v>
      </x:c>
      <x:c r="E2404" s="53"/>
    </x:row>
    <x:row r="2405" ht="15" hidden="0" customHeight="1">
      <x:c r="A2405" s="53" t="str">
        <x:v>Anjoman accounting - refined.xlsx</x:v>
      </x:c>
      <x:c r="B2405" s="53" t="str">
        <x:v>خام_تلگرام</x:v>
      </x:c>
      <x:c r="C2405" s="53" t="str">
        <x:v>D154</x:v>
      </x:c>
      <x:c r="D2405" s="53" t="str">
        <x:v>18 May 2026</x:v>
      </x:c>
      <x:c r="E2405" s="53"/>
    </x:row>
    <x:row r="2406" ht="15" hidden="0" customHeight="1">
      <x:c r="A2406" s="53" t="str">
        <x:v>Anjoman accounting - refined.xlsx</x:v>
      </x:c>
      <x:c r="B2406" s="53" t="str">
        <x:v>خام_تلگرام</x:v>
      </x:c>
      <x:c r="C2406" s="53" t="str">
        <x:v>A155</x:v>
      </x:c>
      <x:c r="D2406" s="53" t="str">
        <x:v>message132</x:v>
      </x:c>
      <x:c r="E2406" s="53"/>
    </x:row>
    <x:row r="2407" ht="15" hidden="0" customHeight="1">
      <x:c r="A2407" s="53" t="str">
        <x:v>Anjoman accounting - refined.xlsx</x:v>
      </x:c>
      <x:c r="B2407" s="53" t="str">
        <x:v>خام_تلگرام</x:v>
      </x:c>
      <x:c r="C2407" s="53" t="str">
        <x:v>B155</x:v>
      </x:c>
      <x:c r="D2407" s="53" t="str">
        <x:v>18.05.2026 01:14:16 UTC+03:30</x:v>
      </x:c>
      <x:c r="E2407" s="53"/>
    </x:row>
    <x:row r="2408" ht="15" hidden="0" customHeight="1">
      <x:c r="A2408" s="53" t="str">
        <x:v>Anjoman accounting - refined.xlsx</x:v>
      </x:c>
      <x:c r="B2408" s="53" t="str">
        <x:v>خام_تلگرام</x:v>
      </x:c>
      <x:c r="C2408" s="53" t="str">
        <x:v>C155</x:v>
      </x:c>
      <x:c r="D2408" s="53" t="str">
        <x:v>Deleted Account</x:v>
      </x:c>
      <x:c r="E2408" s="53"/>
    </x:row>
    <x:row r="2409" ht="15" hidden="0" customHeight="1">
      <x:c r="A2409" s="53" t="str">
        <x:v>Anjoman accounting - refined.xlsx</x:v>
      </x:c>
      <x:c r="B2409" s="53" t="str">
        <x:v>خام_تلگرام</x:v>
      </x:c>
      <x:c r="C2409" s="53" t="str">
        <x:v>D155</x:v>
      </x:c>
      <x:c r="D2409" s="53" t="str">
        <x:v>01:14 Deleted Account In reply to this message Sticker Not included, change data exporting settings to download. 👃, 203.4 KB</x:v>
      </x:c>
      <x:c r="E2409" s="53"/>
    </x:row>
    <x:row r="2410" ht="15" hidden="0" customHeight="1">
      <x:c r="A2410" s="53" t="str">
        <x:v>Anjoman accounting - refined.xlsx</x:v>
      </x:c>
      <x:c r="B2410" s="53" t="str">
        <x:v>خام_تلگرام</x:v>
      </x:c>
      <x:c r="C2410" s="53" t="str">
        <x:v>A156</x:v>
      </x:c>
      <x:c r="D2410" s="53" t="str">
        <x:v>message-26</x:v>
      </x:c>
      <x:c r="E2410" s="53"/>
    </x:row>
    <x:row r="2411" ht="15" hidden="0" customHeight="1">
      <x:c r="A2411" s="53" t="str">
        <x:v>Anjoman accounting - refined.xlsx</x:v>
      </x:c>
      <x:c r="B2411" s="53" t="str">
        <x:v>خام_تلگرام</x:v>
      </x:c>
      <x:c r="C2411" s="53" t="str">
        <x:v>D156</x:v>
      </x:c>
      <x:c r="D2411" s="53" t="str">
        <x:v>21 June 2026</x:v>
      </x:c>
      <x:c r="E2411" s="53"/>
    </x:row>
    <x:row r="2412" ht="15" hidden="0" customHeight="1">
      <x:c r="A2412" s="53" t="str">
        <x:v>Anjoman accounting - refined.xlsx</x:v>
      </x:c>
      <x:c r="B2412" s="53" t="str">
        <x:v>خام_تلگرام</x:v>
      </x:c>
      <x:c r="C2412" s="53" t="str">
        <x:v>A157</x:v>
      </x:c>
      <x:c r="D2412" s="53" t="str">
        <x:v>message133</x:v>
      </x:c>
      <x:c r="E2412" s="53"/>
    </x:row>
    <x:row r="2413" ht="15" hidden="0" customHeight="1">
      <x:c r="A2413" s="53" t="str">
        <x:v>Anjoman accounting - refined.xlsx</x:v>
      </x:c>
      <x:c r="B2413" s="53" t="str">
        <x:v>خام_تلگرام</x:v>
      </x:c>
      <x:c r="C2413" s="53" t="str">
        <x:v>B157</x:v>
      </x:c>
      <x:c r="D2413" s="53" t="str">
        <x:v>21.06.2026 12:47:37 UTC+03:30</x:v>
      </x:c>
      <x:c r="E2413" s="53"/>
    </x:row>
    <x:row r="2414" ht="15" hidden="0" customHeight="1">
      <x:c r="A2414" s="53" t="str">
        <x:v>Anjoman accounting - refined.xlsx</x:v>
      </x:c>
      <x:c r="B2414" s="53" t="str">
        <x:v>خام_تلگرام</x:v>
      </x:c>
      <x:c r="C2414" s="53" t="str">
        <x:v>C157</x:v>
      </x:c>
      <x:c r="D2414" s="53" t="str">
        <x:v>Deleted Account</x:v>
      </x:c>
      <x:c r="E2414" s="53"/>
    </x:row>
    <x:row r="2415" ht="15" hidden="0" customHeight="1">
      <x:c r="A2415" s="53" t="str">
        <x:v>Anjoman accounting - refined.xlsx</x:v>
      </x:c>
      <x:c r="B2415" s="53" t="str">
        <x:v>خام_تلگرام</x:v>
      </x:c>
      <x:c r="C2415" s="53" t="str">
        <x:v>D157</x:v>
      </x:c>
      <x:c r="D2415" s="53" t="str">
        <x:v>12:47 Deleted Account Sticker Not included, change data exporting settings to download. 😎, 115.3 KB</x:v>
      </x:c>
      <x:c r="E2415" s="53"/>
    </x:row>
    <x:row r="2416" ht="15" hidden="0" customHeight="1">
      <x:c r="A2416" s="53" t="str">
        <x:v>Anjoman accounting - refined.xlsx</x:v>
      </x:c>
      <x:c r="B2416" s="53" t="str">
        <x:v>خام_تلگرام</x:v>
      </x:c>
      <x:c r="C2416" s="53" t="str">
        <x:v>A158</x:v>
      </x:c>
      <x:c r="D2416" s="53" t="str">
        <x:v>message134</x:v>
      </x:c>
      <x:c r="E2416" s="53"/>
    </x:row>
    <x:row r="2417" ht="15" hidden="0" customHeight="1">
      <x:c r="A2417" s="53" t="str">
        <x:v>Anjoman accounting - refined.xlsx</x:v>
      </x:c>
      <x:c r="B2417" s="53" t="str">
        <x:v>خام_تلگرام</x:v>
      </x:c>
      <x:c r="C2417" s="53" t="str">
        <x:v>B158</x:v>
      </x:c>
      <x:c r="D2417" s="53" t="str">
        <x:v>21.06.2026 12:50:19 UTC+03:30</x:v>
      </x:c>
      <x:c r="E2417" s="53"/>
    </x:row>
    <x:row r="2418" ht="15" hidden="0" customHeight="1">
      <x:c r="A2418" s="53" t="str">
        <x:v>Anjoman accounting - refined.xlsx</x:v>
      </x:c>
      <x:c r="B2418" s="53" t="str">
        <x:v>خام_تلگرام</x:v>
      </x:c>
      <x:c r="C2418" s="53" t="str">
        <x:v>C158</x:v>
      </x:c>
      <x:c r="D2418" s="53" t="str">
        <x:v>امین عزیزی</x:v>
      </x:c>
      <x:c r="E2418" s="53"/>
    </x:row>
    <x:row r="2419" ht="15" hidden="0" customHeight="1">
      <x:c r="A2419" s="53" t="str">
        <x:v>Anjoman accounting - refined.xlsx</x:v>
      </x:c>
      <x:c r="B2419" s="53" t="str">
        <x:v>خام_تلگرام</x:v>
      </x:c>
      <x:c r="C2419" s="53" t="str">
        <x:v>D158</x:v>
      </x:c>
      <x:c r="D2419" s="53" t="str">
        <x:v>ا 12:50 امین عزیزی Animation Not included, change data exporting settings to download. 198.3 KB</x:v>
      </x:c>
      <x:c r="E2419" s="53"/>
    </x:row>
    <x:row r="2420" ht="15" hidden="0" customHeight="1">
      <x:c r="A2420" s="53" t="str">
        <x:v>Anjoman accounting - refined.xlsx</x:v>
      </x:c>
      <x:c r="B2420" s="53" t="str">
        <x:v>خام_تلگرام</x:v>
      </x:c>
      <x:c r="C2420" s="53" t="str">
        <x:v>A159</x:v>
      </x:c>
      <x:c r="D2420" s="53" t="str">
        <x:v>message-27</x:v>
      </x:c>
      <x:c r="E2420" s="53"/>
    </x:row>
    <x:row r="2421" ht="15" hidden="0" customHeight="1">
      <x:c r="A2421" s="53" t="str">
        <x:v>Anjoman accounting - refined.xlsx</x:v>
      </x:c>
      <x:c r="B2421" s="53" t="str">
        <x:v>خام_تلگرام</x:v>
      </x:c>
      <x:c r="C2421" s="53" t="str">
        <x:v>D159</x:v>
      </x:c>
      <x:c r="D2421" s="53" t="str">
        <x:v>27 June 2026</x:v>
      </x:c>
      <x:c r="E2421" s="53"/>
    </x:row>
    <x:row r="2422" ht="15" hidden="0" customHeight="1">
      <x:c r="A2422" s="53" t="str">
        <x:v>Anjoman accounting - refined.xlsx</x:v>
      </x:c>
      <x:c r="B2422" s="53" t="str">
        <x:v>خام_تلگرام</x:v>
      </x:c>
      <x:c r="C2422" s="53" t="str">
        <x:v>A160</x:v>
      </x:c>
      <x:c r="D2422" s="53" t="str">
        <x:v>message135</x:v>
      </x:c>
      <x:c r="E2422" s="53"/>
    </x:row>
    <x:row r="2423" ht="15" hidden="0" customHeight="1">
      <x:c r="A2423" s="53" t="str">
        <x:v>Anjoman accounting - refined.xlsx</x:v>
      </x:c>
      <x:c r="B2423" s="53" t="str">
        <x:v>خام_تلگرام</x:v>
      </x:c>
      <x:c r="C2423" s="53" t="str">
        <x:v>B160</x:v>
      </x:c>
      <x:c r="D2423" s="53" t="str">
        <x:v>27.06.2026 15:35:40 UTC+03:30</x:v>
      </x:c>
      <x:c r="E2423" s="53"/>
    </x:row>
    <x:row r="2424" ht="15" hidden="0" customHeight="1">
      <x:c r="A2424" s="53" t="str">
        <x:v>Anjoman accounting - refined.xlsx</x:v>
      </x:c>
      <x:c r="B2424" s="53" t="str">
        <x:v>خام_تلگرام</x:v>
      </x:c>
      <x:c r="C2424" s="53" t="str">
        <x:v>C160</x:v>
      </x:c>
      <x:c r="D2424" s="53" t="str">
        <x:v>Deleted Account</x:v>
      </x:c>
      <x:c r="E2424" s="53"/>
    </x:row>
    <x:row r="2425" ht="15" hidden="0" customHeight="1">
      <x:c r="A2425" s="53" t="str">
        <x:v>Anjoman accounting - refined.xlsx</x:v>
      </x:c>
      <x:c r="B2425" s="53" t="str">
        <x:v>خام_تلگرام</x:v>
      </x:c>
      <x:c r="C2425" s="53" t="str">
        <x:v>D160</x:v>
      </x:c>
      <x:c r="D2425" s="53" t="str">
        <x:v>امین</x:v>
      </x:c>
      <x:c r="E2425" s="53"/>
    </x:row>
    <x:row r="2426" ht="15" hidden="0" customHeight="1">
      <x:c r="A2426" s="53" t="str">
        <x:v>Anjoman accounting - refined.xlsx</x:v>
      </x:c>
      <x:c r="B2426" s="53" t="str">
        <x:v>خام_تلگرام</x:v>
      </x:c>
      <x:c r="C2426" s="53" t="str">
        <x:v>A161</x:v>
      </x:c>
      <x:c r="D2426" s="53" t="str">
        <x:v>message136</x:v>
      </x:c>
      <x:c r="E2426" s="53"/>
    </x:row>
    <x:row r="2427" ht="15" hidden="0" customHeight="1">
      <x:c r="A2427" s="53" t="str">
        <x:v>Anjoman accounting - refined.xlsx</x:v>
      </x:c>
      <x:c r="B2427" s="53" t="str">
        <x:v>خام_تلگرام</x:v>
      </x:c>
      <x:c r="C2427" s="53" t="str">
        <x:v>B161</x:v>
      </x:c>
      <x:c r="D2427" s="53" t="str">
        <x:v>27.06.2026 15:36:03 UTC+03:30</x:v>
      </x:c>
      <x:c r="E2427" s="53"/>
    </x:row>
    <x:row r="2428" ht="15" hidden="0" customHeight="1">
      <x:c r="A2428" s="53" t="str">
        <x:v>Anjoman accounting - refined.xlsx</x:v>
      </x:c>
      <x:c r="B2428" s="53" t="str">
        <x:v>خام_تلگرام</x:v>
      </x:c>
      <x:c r="C2428" s="53" t="str">
        <x:v>D161</x:v>
      </x:c>
      <x:c r="D2428" s="53" t="str">
        <x:v>میگم هرچی عکس داری از فاکتور ها تا اخر امروز بفرست اینجا</x:v>
      </x:c>
      <x:c r="E2428" s="53"/>
    </x:row>
    <x:row r="2429" ht="15" hidden="0" customHeight="1">
      <x:c r="A2429" s="53" t="str">
        <x:v>Anjoman accounting - refined.xlsx</x:v>
      </x:c>
      <x:c r="B2429" s="53" t="str">
        <x:v>خام_تلگرام</x:v>
      </x:c>
      <x:c r="C2429" s="53" t="str">
        <x:v>A162</x:v>
      </x:c>
      <x:c r="D2429" s="53" t="str">
        <x:v>message137</x:v>
      </x:c>
      <x:c r="E2429" s="53"/>
    </x:row>
    <x:row r="2430" ht="15" hidden="0" customHeight="1">
      <x:c r="A2430" s="53" t="str">
        <x:v>Anjoman accounting - refined.xlsx</x:v>
      </x:c>
      <x:c r="B2430" s="53" t="str">
        <x:v>خام_تلگرام</x:v>
      </x:c>
      <x:c r="C2430" s="53" t="str">
        <x:v>B162</x:v>
      </x:c>
      <x:c r="D2430" s="53" t="str">
        <x:v>27.06.2026 15:36:34 UTC+03:30</x:v>
      </x:c>
      <x:c r="E2430" s="53"/>
    </x:row>
    <x:row r="2431" ht="15" hidden="0" customHeight="1">
      <x:c r="A2431" s="53" t="str">
        <x:v>Anjoman accounting - refined.xlsx</x:v>
      </x:c>
      <x:c r="B2431" s="53" t="str">
        <x:v>خام_تلگرام</x:v>
      </x:c>
      <x:c r="C2431" s="53" t="str">
        <x:v>D162</x:v>
      </x:c>
      <x:c r="D2431" s="53" t="str">
        <x:v>و اینکه برای فردا عصر و پسفردا عصر یا حتی 3شنبه عصر تایم های خالیت رو بگو یه نیمساعت بریم میت</x:v>
      </x:c>
      <x:c r="E2431" s="53"/>
    </x:row>
    <x:row r="2432" ht="15" hidden="0" customHeight="1">
      <x:c r="A2432" s="53" t="str">
        <x:v>Anjoman accounting - refined.xlsx</x:v>
      </x:c>
      <x:c r="B2432" s="53" t="str">
        <x:v>خام_تلگرام</x:v>
      </x:c>
      <x:c r="C2432" s="53" t="str">
        <x:v>A163</x:v>
      </x:c>
      <x:c r="D2432" s="53" t="str">
        <x:v>message138</x:v>
      </x:c>
      <x:c r="E2432" s="53"/>
    </x:row>
    <x:row r="2433" ht="15" hidden="0" customHeight="1">
      <x:c r="A2433" s="53" t="str">
        <x:v>Anjoman accounting - refined.xlsx</x:v>
      </x:c>
      <x:c r="B2433" s="53" t="str">
        <x:v>خام_تلگرام</x:v>
      </x:c>
      <x:c r="C2433" s="53" t="str">
        <x:v>B163</x:v>
      </x:c>
      <x:c r="D2433" s="53" t="str">
        <x:v>27.06.2026 16:50:34 UTC+03:30</x:v>
      </x:c>
      <x:c r="E2433" s="53"/>
    </x:row>
    <x:row r="2434" ht="15" hidden="0" customHeight="1">
      <x:c r="A2434" s="53" t="str">
        <x:v>Anjoman accounting - refined.xlsx</x:v>
      </x:c>
      <x:c r="B2434" s="53" t="str">
        <x:v>خام_تلگرام</x:v>
      </x:c>
      <x:c r="C2434" s="53" t="str">
        <x:v>C163</x:v>
      </x:c>
      <x:c r="D2434" s="53" t="str">
        <x:v>امین عزیزی</x:v>
      </x:c>
      <x:c r="E2434" s="53"/>
    </x:row>
    <x:row r="2435" ht="15" hidden="0" customHeight="1">
      <x:c r="A2435" s="53" t="str">
        <x:v>Anjoman accounting - refined.xlsx</x:v>
      </x:c>
      <x:c r="B2435" s="53" t="str">
        <x:v>خام_تلگرام</x:v>
      </x:c>
      <x:c r="C2435" s="53" t="str">
        <x:v>D163</x:v>
      </x:c>
      <x:c r="D2435" s="53" t="str">
        <x:v>فاکتورها دست خودته عکسی به من ندادی خودشونم ندادی💀😂</x:v>
      </x:c>
      <x:c r="E2435" s="53"/>
    </x:row>
    <x:row r="2436" ht="15" hidden="0" customHeight="1">
      <x:c r="A2436" s="53" t="str">
        <x:v>Anjoman accounting - refined.xlsx</x:v>
      </x:c>
      <x:c r="B2436" s="53" t="str">
        <x:v>خام_تلگرام</x:v>
      </x:c>
      <x:c r="C2436" s="53" t="str">
        <x:v>A164</x:v>
      </x:c>
      <x:c r="D2436" s="53" t="str">
        <x:v>message139</x:v>
      </x:c>
      <x:c r="E2436" s="53"/>
    </x:row>
    <x:row r="2437" ht="15" hidden="0" customHeight="1">
      <x:c r="A2437" s="53" t="str">
        <x:v>Anjoman accounting - refined.xlsx</x:v>
      </x:c>
      <x:c r="B2437" s="53" t="str">
        <x:v>خام_تلگرام</x:v>
      </x:c>
      <x:c r="C2437" s="53" t="str">
        <x:v>B164</x:v>
      </x:c>
      <x:c r="D2437" s="53" t="str">
        <x:v>27.06.2026 16:50:56 UTC+03:30</x:v>
      </x:c>
      <x:c r="E2437" s="53"/>
    </x:row>
    <x:row r="2438" ht="15" hidden="0" customHeight="1">
      <x:c r="A2438" s="53" t="str">
        <x:v>Anjoman accounting - refined.xlsx</x:v>
      </x:c>
      <x:c r="B2438" s="53" t="str">
        <x:v>خام_تلگرام</x:v>
      </x:c>
      <x:c r="C2438" s="53" t="str">
        <x:v>D164</x:v>
      </x:c>
      <x:c r="D2438" s="53" t="str">
        <x:v>فردا عصر بهترین زمانه هروقت بگی اوکیم</x:v>
      </x:c>
      <x:c r="E2438" s="53"/>
    </x:row>
    <x:row r="2439" ht="15" hidden="0" customHeight="1">
      <x:c r="A2439" s="53" t="str">
        <x:v>Anjoman accounting - refined.xlsx</x:v>
      </x:c>
      <x:c r="B2439" s="53" t="str">
        <x:v>خام_تلگرام</x:v>
      </x:c>
      <x:c r="C2439" s="53" t="str">
        <x:v>A165</x:v>
      </x:c>
      <x:c r="D2439" s="53" t="str">
        <x:v>message140</x:v>
      </x:c>
      <x:c r="E2439" s="53"/>
    </x:row>
    <x:row r="2440" ht="15" hidden="0" customHeight="1">
      <x:c r="A2440" s="53" t="str">
        <x:v>Anjoman accounting - refined.xlsx</x:v>
      </x:c>
      <x:c r="B2440" s="53" t="str">
        <x:v>خام_تلگرام</x:v>
      </x:c>
      <x:c r="C2440" s="53" t="str">
        <x:v>B165</x:v>
      </x:c>
      <x:c r="D2440" s="53" t="str">
        <x:v>27.06.2026 17:09:39 UTC+03:30</x:v>
      </x:c>
      <x:c r="E2440" s="53"/>
    </x:row>
    <x:row r="2441" ht="15" hidden="0" customHeight="1">
      <x:c r="A2441" s="53" t="str">
        <x:v>Anjoman accounting - refined.xlsx</x:v>
      </x:c>
      <x:c r="B2441" s="53" t="str">
        <x:v>خام_تلگرام</x:v>
      </x:c>
      <x:c r="C2441" s="53" t="str">
        <x:v>C165</x:v>
      </x:c>
      <x:c r="D2441" s="53" t="str">
        <x:v>Deleted Account</x:v>
      </x:c>
      <x:c r="E2441" s="53"/>
    </x:row>
    <x:row r="2442" ht="15" hidden="0" customHeight="1">
      <x:c r="A2442" s="53" t="str">
        <x:v>Anjoman accounting - refined.xlsx</x:v>
      </x:c>
      <x:c r="B2442" s="53" t="str">
        <x:v>خام_تلگرام</x:v>
      </x:c>
      <x:c r="C2442" s="53" t="str">
        <x:v>D165</x:v>
      </x:c>
      <x:c r="D2442" s="53" t="str">
        <x:v>نه اون قبلی ها</x:v>
      </x:c>
      <x:c r="E2442" s="53"/>
    </x:row>
    <x:row r="2443" ht="15" hidden="0" customHeight="1">
      <x:c r="A2443" s="53" t="str">
        <x:v>Anjoman accounting - refined.xlsx</x:v>
      </x:c>
      <x:c r="B2443" s="53" t="str">
        <x:v>خام_تلگرام</x:v>
      </x:c>
      <x:c r="C2443" s="53" t="str">
        <x:v>A166</x:v>
      </x:c>
      <x:c r="D2443" s="53" t="str">
        <x:v>message141</x:v>
      </x:c>
      <x:c r="E2443" s="53"/>
    </x:row>
    <x:row r="2444" ht="15" hidden="0" customHeight="1">
      <x:c r="A2444" s="53" t="str">
        <x:v>Anjoman accounting - refined.xlsx</x:v>
      </x:c>
      <x:c r="B2444" s="53" t="str">
        <x:v>خام_تلگرام</x:v>
      </x:c>
      <x:c r="C2444" s="53" t="str">
        <x:v>B166</x:v>
      </x:c>
      <x:c r="D2444" s="53" t="str">
        <x:v>27.06.2026 17:10:03 UTC+03:30</x:v>
      </x:c>
      <x:c r="E2444" s="53"/>
    </x:row>
    <x:row r="2445" ht="15" hidden="0" customHeight="1">
      <x:c r="A2445" s="53" t="str">
        <x:v>Anjoman accounting - refined.xlsx</x:v>
      </x:c>
      <x:c r="B2445" s="53" t="str">
        <x:v>خام_تلگرام</x:v>
      </x:c>
      <x:c r="C2445" s="53" t="str">
        <x:v>D166</x:v>
      </x:c>
      <x:c r="D2445" s="53" t="str">
        <x:v>حله عالی</x:v>
      </x:c>
      <x:c r="E2445" s="53"/>
    </x:row>
    <x:row r="2446" ht="15" hidden="0" customHeight="1">
      <x:c r="A2446" s="53" t="str">
        <x:v>Anjoman accounting - refined.xlsx</x:v>
      </x:c>
      <x:c r="B2446" s="53" t="str">
        <x:v>خام_تلگرام</x:v>
      </x:c>
      <x:c r="C2446" s="53" t="str">
        <x:v>A167</x:v>
      </x:c>
      <x:c r="D2446" s="53" t="str">
        <x:v>message142</x:v>
      </x:c>
      <x:c r="E2446" s="53"/>
    </x:row>
    <x:row r="2447" ht="15" hidden="0" customHeight="1">
      <x:c r="A2447" s="53" t="str">
        <x:v>Anjoman accounting - refined.xlsx</x:v>
      </x:c>
      <x:c r="B2447" s="53" t="str">
        <x:v>خام_تلگرام</x:v>
      </x:c>
      <x:c r="C2447" s="53" t="str">
        <x:v>B167</x:v>
      </x:c>
      <x:c r="D2447" s="53" t="str">
        <x:v>27.06.2026 18:24:14 UTC+03:30</x:v>
      </x:c>
      <x:c r="E2447" s="53"/>
    </x:row>
    <x:row r="2448" ht="15" hidden="0" customHeight="1">
      <x:c r="A2448" s="53" t="str">
        <x:v>Anjoman accounting - refined.xlsx</x:v>
      </x:c>
      <x:c r="B2448" s="53" t="str">
        <x:v>خام_تلگرام</x:v>
      </x:c>
      <x:c r="C2448" s="53" t="str">
        <x:v>C167</x:v>
      </x:c>
      <x:c r="D2448" s="53" t="str">
        <x:v>Deleted Account</x:v>
      </x:c>
      <x:c r="E2448" s="53"/>
    </x:row>
    <x:row r="2449" ht="15" hidden="0" customHeight="1">
      <x:c r="A2449" s="53" t="str">
        <x:v>Anjoman accounting - refined.xlsx</x:v>
      </x:c>
      <x:c r="B2449" s="53" t="str">
        <x:v>خام_تلگرام</x:v>
      </x:c>
      <x:c r="C2449" s="53" t="str">
        <x:v>D167</x:v>
      </x:c>
      <x:c r="D2449" s="53" t="str">
        <x:v>جشن یلدا</x:v>
      </x:c>
      <x:c r="E2449" s="53"/>
    </x:row>
    <x:row r="2450" ht="15" hidden="0" customHeight="1">
      <x:c r="A2450" s="53" t="str">
        <x:v>Anjoman accounting - refined.xlsx</x:v>
      </x:c>
      <x:c r="B2450" s="53" t="str">
        <x:v>خام_تلگرام</x:v>
      </x:c>
      <x:c r="C2450" s="53" t="str">
        <x:v>E167</x:v>
      </x:c>
      <x:c r="D2450" s="53" t="str">
        <x:v>photos/photo_29@27-06-2026_18-24-14.jpg</x:v>
      </x:c>
      <x:c r="E2450" s="53"/>
    </x:row>
    <x:row r="2451" ht="15" hidden="0" customHeight="1">
      <x:c r="A2451" s="53" t="str">
        <x:v>Anjoman accounting - refined.xlsx</x:v>
      </x:c>
      <x:c r="B2451" s="53" t="str">
        <x:v>خام_تلگرام</x:v>
      </x:c>
      <x:c r="C2451" s="53" t="str">
        <x:v>A168</x:v>
      </x:c>
      <x:c r="D2451" s="53" t="str">
        <x:v>message143</x:v>
      </x:c>
      <x:c r="E2451" s="53"/>
    </x:row>
    <x:row r="2452" ht="15" hidden="0" customHeight="1">
      <x:c r="A2452" s="53" t="str">
        <x:v>Anjoman accounting - refined.xlsx</x:v>
      </x:c>
      <x:c r="B2452" s="53" t="str">
        <x:v>خام_تلگرام</x:v>
      </x:c>
      <x:c r="C2452" s="53" t="str">
        <x:v>B168</x:v>
      </x:c>
      <x:c r="D2452" s="53" t="str">
        <x:v>27.06.2026 18:24:31 UTC+03:30</x:v>
      </x:c>
      <x:c r="E2452" s="53"/>
    </x:row>
    <x:row r="2453" ht="15" hidden="0" customHeight="1">
      <x:c r="A2453" s="53" t="str">
        <x:v>Anjoman accounting - refined.xlsx</x:v>
      </x:c>
      <x:c r="B2453" s="53" t="str">
        <x:v>خام_تلگرام</x:v>
      </x:c>
      <x:c r="C2453" s="53" t="str">
        <x:v>D168</x:v>
      </x:c>
      <x:c r="D2453" s="53" t="str">
        <x:v>جشن یلدا</x:v>
      </x:c>
      <x:c r="E2453" s="53"/>
    </x:row>
    <x:row r="2454" ht="15" hidden="0" customHeight="1">
      <x:c r="A2454" s="53" t="str">
        <x:v>Anjoman accounting - refined.xlsx</x:v>
      </x:c>
      <x:c r="B2454" s="53" t="str">
        <x:v>خام_تلگرام</x:v>
      </x:c>
      <x:c r="C2454" s="53" t="str">
        <x:v>E168</x:v>
      </x:c>
      <x:c r="D2454" s="53" t="str">
        <x:v>photos/photo_30@27-06-2026_18-24-31.jpg</x:v>
      </x:c>
      <x:c r="E2454" s="53"/>
    </x:row>
    <x:row r="2455" ht="15" hidden="0" customHeight="1">
      <x:c r="A2455" s="53" t="str">
        <x:v>Anjoman accounting - refined.xlsx</x:v>
      </x:c>
      <x:c r="B2455" s="53" t="str">
        <x:v>خام_تلگرام</x:v>
      </x:c>
      <x:c r="C2455" s="53" t="str">
        <x:v>A169</x:v>
      </x:c>
      <x:c r="D2455" s="53" t="str">
        <x:v>message144</x:v>
      </x:c>
      <x:c r="E2455" s="53"/>
    </x:row>
    <x:row r="2456" ht="15" hidden="0" customHeight="1">
      <x:c r="A2456" s="53" t="str">
        <x:v>Anjoman accounting - refined.xlsx</x:v>
      </x:c>
      <x:c r="B2456" s="53" t="str">
        <x:v>خام_تلگرام</x:v>
      </x:c>
      <x:c r="C2456" s="53" t="str">
        <x:v>B169</x:v>
      </x:c>
      <x:c r="D2456" s="53" t="str">
        <x:v>27.06.2026 18:24:39 UTC+03:30</x:v>
      </x:c>
      <x:c r="E2456" s="53"/>
    </x:row>
    <x:row r="2457" ht="15" hidden="0" customHeight="1">
      <x:c r="A2457" s="53" t="str">
        <x:v>Anjoman accounting - refined.xlsx</x:v>
      </x:c>
      <x:c r="B2457" s="53" t="str">
        <x:v>خام_تلگرام</x:v>
      </x:c>
      <x:c r="C2457" s="53" t="str">
        <x:v>D169</x:v>
      </x:c>
      <x:c r="D2457" s="53" t="str">
        <x:v>18:24</x:v>
      </x:c>
      <x:c r="E2457" s="53"/>
    </x:row>
    <x:row r="2458" ht="15" hidden="0" customHeight="1">
      <x:c r="A2458" s="53" t="str">
        <x:v>Anjoman accounting - refined.xlsx</x:v>
      </x:c>
      <x:c r="B2458" s="53" t="str">
        <x:v>خام_تلگرام</x:v>
      </x:c>
      <x:c r="C2458" s="53" t="str">
        <x:v>E169</x:v>
      </x:c>
      <x:c r="D2458" s="53" t="str">
        <x:v>photos/photo_31@27-06-2026_18-24-39.jpg</x:v>
      </x:c>
      <x:c r="E2458" s="53"/>
    </x:row>
    <x:row r="2459" ht="15" hidden="0" customHeight="1">
      <x:c r="A2459" s="53" t="str">
        <x:v>Anjoman accounting - refined.xlsx</x:v>
      </x:c>
      <x:c r="B2459" s="53" t="str">
        <x:v>خام_تلگرام</x:v>
      </x:c>
      <x:c r="C2459" s="53" t="str">
        <x:v>A170</x:v>
      </x:c>
      <x:c r="D2459" s="53" t="str">
        <x:v>message145</x:v>
      </x:c>
      <x:c r="E2459" s="53"/>
    </x:row>
    <x:row r="2460" ht="15" hidden="0" customHeight="1">
      <x:c r="A2460" s="53" t="str">
        <x:v>Anjoman accounting - refined.xlsx</x:v>
      </x:c>
      <x:c r="B2460" s="53" t="str">
        <x:v>خام_تلگرام</x:v>
      </x:c>
      <x:c r="C2460" s="53" t="str">
        <x:v>B170</x:v>
      </x:c>
      <x:c r="D2460" s="53" t="str">
        <x:v>27.06.2026 18:24:52 UTC+03:30</x:v>
      </x:c>
      <x:c r="E2460" s="53"/>
    </x:row>
    <x:row r="2461" ht="15" hidden="0" customHeight="1">
      <x:c r="A2461" s="53" t="str">
        <x:v>Anjoman accounting - refined.xlsx</x:v>
      </x:c>
      <x:c r="B2461" s="53" t="str">
        <x:v>خام_تلگرام</x:v>
      </x:c>
      <x:c r="C2461" s="53" t="str">
        <x:v>D170</x:v>
      </x:c>
      <x:c r="D2461" s="53" t="str">
        <x:v>چاپ پوستر انجمن</x:v>
      </x:c>
      <x:c r="E2461" s="53"/>
    </x:row>
    <x:row r="2462" ht="15" hidden="0" customHeight="1">
      <x:c r="A2462" s="53" t="str">
        <x:v>Anjoman accounting - refined.xlsx</x:v>
      </x:c>
      <x:c r="B2462" s="53" t="str">
        <x:v>خام_تلگرام</x:v>
      </x:c>
      <x:c r="C2462" s="53" t="str">
        <x:v>E170</x:v>
      </x:c>
      <x:c r="D2462" s="53" t="str">
        <x:v>photos/photo_32@27-06-2026_18-24-52.jpg</x:v>
      </x:c>
      <x:c r="E2462" s="53"/>
    </x:row>
    <x:row r="2463" ht="15" hidden="0" customHeight="1">
      <x:c r="A2463" s="53" t="str">
        <x:v>Anjoman accounting - refined.xlsx</x:v>
      </x:c>
      <x:c r="B2463" s="53" t="str">
        <x:v>خام_تلگرام</x:v>
      </x:c>
      <x:c r="C2463" s="53" t="str">
        <x:v>A171</x:v>
      </x:c>
      <x:c r="D2463" s="53" t="str">
        <x:v>message146</x:v>
      </x:c>
      <x:c r="E2463" s="53"/>
    </x:row>
    <x:row r="2464" ht="15" hidden="0" customHeight="1">
      <x:c r="A2464" s="53" t="str">
        <x:v>Anjoman accounting - refined.xlsx</x:v>
      </x:c>
      <x:c r="B2464" s="53" t="str">
        <x:v>خام_تلگرام</x:v>
      </x:c>
      <x:c r="C2464" s="53" t="str">
        <x:v>B171</x:v>
      </x:c>
      <x:c r="D2464" s="53" t="str">
        <x:v>27.06.2026 18:25:49 UTC+03:30</x:v>
      </x:c>
      <x:c r="E2464" s="53"/>
    </x:row>
    <x:row r="2465" ht="15" hidden="0" customHeight="1">
      <x:c r="A2465" s="53" t="str">
        <x:v>Anjoman accounting - refined.xlsx</x:v>
      </x:c>
      <x:c r="B2465" s="53" t="str">
        <x:v>خام_تلگرام</x:v>
      </x:c>
      <x:c r="C2465" s="53" t="str">
        <x:v>D171</x:v>
      </x:c>
      <x:c r="D2465" s="53" t="str">
        <x:v>خودکار و روان‌نویس و دفترچه جشن ورودی</x:v>
      </x:c>
      <x:c r="E2465" s="53"/>
    </x:row>
    <x:row r="2466" ht="15" hidden="0" customHeight="1">
      <x:c r="A2466" s="53" t="str">
        <x:v>Anjoman accounting - refined.xlsx</x:v>
      </x:c>
      <x:c r="B2466" s="53" t="str">
        <x:v>خام_تلگرام</x:v>
      </x:c>
      <x:c r="C2466" s="53" t="str">
        <x:v>E171</x:v>
      </x:c>
      <x:c r="D2466" s="53" t="str">
        <x:v>photos/photo_33@27-06-2026_18-25-49.jpg</x:v>
      </x:c>
      <x:c r="E2466" s="53"/>
    </x:row>
    <x:row r="2467" ht="15" hidden="0" customHeight="1">
      <x:c r="A2467" s="53" t="str">
        <x:v>Anjoman accounting - refined.xlsx</x:v>
      </x:c>
      <x:c r="B2467" s="53" t="str">
        <x:v>خام_تلگرام</x:v>
      </x:c>
      <x:c r="C2467" s="53" t="str">
        <x:v>A172</x:v>
      </x:c>
      <x:c r="D2467" s="53" t="str">
        <x:v>message147</x:v>
      </x:c>
      <x:c r="E2467" s="53"/>
    </x:row>
    <x:row r="2468" ht="15" hidden="0" customHeight="1">
      <x:c r="A2468" s="53" t="str">
        <x:v>Anjoman accounting - refined.xlsx</x:v>
      </x:c>
      <x:c r="B2468" s="53" t="str">
        <x:v>خام_تلگرام</x:v>
      </x:c>
      <x:c r="C2468" s="53" t="str">
        <x:v>B172</x:v>
      </x:c>
      <x:c r="D2468" s="53" t="str">
        <x:v>27.06.2026 18:26:03 UTC+03:30</x:v>
      </x:c>
      <x:c r="E2468" s="53"/>
    </x:row>
    <x:row r="2469" ht="15" hidden="0" customHeight="1">
      <x:c r="A2469" s="53" t="str">
        <x:v>Anjoman accounting - refined.xlsx</x:v>
      </x:c>
      <x:c r="B2469" s="53" t="str">
        <x:v>خام_تلگرام</x:v>
      </x:c>
      <x:c r="C2469" s="53" t="str">
        <x:v>D172</x:v>
      </x:c>
      <x:c r="D2469" s="53" t="str">
        <x:v>جوایز جشن ورودی</x:v>
      </x:c>
      <x:c r="E2469" s="53"/>
    </x:row>
    <x:row r="2470" ht="15" hidden="0" customHeight="1">
      <x:c r="A2470" s="53" t="str">
        <x:v>Anjoman accounting - refined.xlsx</x:v>
      </x:c>
      <x:c r="B2470" s="53" t="str">
        <x:v>خام_تلگرام</x:v>
      </x:c>
      <x:c r="C2470" s="53" t="str">
        <x:v>E172</x:v>
      </x:c>
      <x:c r="D2470" s="53" t="str">
        <x:v>photos/photo_34@27-06-2026_18-26-03.jpg</x:v>
      </x:c>
      <x:c r="E2470" s="53"/>
    </x:row>
    <x:row r="2471" ht="15" hidden="0" customHeight="1">
      <x:c r="A2471" s="53" t="str">
        <x:v>Anjoman accounting - refined.xlsx</x:v>
      </x:c>
      <x:c r="B2471" s="53" t="str">
        <x:v>خام_تلگرام</x:v>
      </x:c>
      <x:c r="C2471" s="53" t="str">
        <x:v>A173</x:v>
      </x:c>
      <x:c r="D2471" s="53" t="str">
        <x:v>message148</x:v>
      </x:c>
      <x:c r="E2471" s="53"/>
    </x:row>
    <x:row r="2472" ht="15" hidden="0" customHeight="1">
      <x:c r="A2472" s="53" t="str">
        <x:v>Anjoman accounting - refined.xlsx</x:v>
      </x:c>
      <x:c r="B2472" s="53" t="str">
        <x:v>خام_تلگرام</x:v>
      </x:c>
      <x:c r="C2472" s="53" t="str">
        <x:v>B173</x:v>
      </x:c>
      <x:c r="D2472" s="53" t="str">
        <x:v>27.06.2026 18:26:22 UTC+03:30</x:v>
      </x:c>
      <x:c r="E2472" s="53"/>
    </x:row>
    <x:row r="2473" ht="15" hidden="0" customHeight="1">
      <x:c r="A2473" s="53" t="str">
        <x:v>Anjoman accounting - refined.xlsx</x:v>
      </x:c>
      <x:c r="B2473" s="53" t="str">
        <x:v>خام_تلگرام</x:v>
      </x:c>
      <x:c r="C2473" s="53" t="str">
        <x:v>D173</x:v>
      </x:c>
      <x:c r="D2473" s="53" t="str">
        <x:v>جوایز جشن ورودی و فلش انجمن</x:v>
      </x:c>
      <x:c r="E2473" s="53"/>
    </x:row>
    <x:row r="2474" ht="15" hidden="0" customHeight="1">
      <x:c r="A2474" s="53" t="str">
        <x:v>Anjoman accounting - refined.xlsx</x:v>
      </x:c>
      <x:c r="B2474" s="53" t="str">
        <x:v>خام_تلگرام</x:v>
      </x:c>
      <x:c r="C2474" s="53" t="str">
        <x:v>E173</x:v>
      </x:c>
      <x:c r="D2474" s="53" t="str">
        <x:v>photos/photo_35@27-06-2026_18-26-22.jpg</x:v>
      </x:c>
      <x:c r="E2474" s="53"/>
    </x:row>
    <x:row r="2475" ht="15" hidden="0" customHeight="1">
      <x:c r="A2475" s="53" t="str">
        <x:v>Anjoman accounting - refined.xlsx</x:v>
      </x:c>
      <x:c r="B2475" s="53" t="str">
        <x:v>خام_تلگرام</x:v>
      </x:c>
      <x:c r="C2475" s="53" t="str">
        <x:v>A174</x:v>
      </x:c>
      <x:c r="D2475" s="53" t="str">
        <x:v>message149</x:v>
      </x:c>
      <x:c r="E2475" s="53"/>
    </x:row>
    <x:row r="2476" ht="15" hidden="0" customHeight="1">
      <x:c r="A2476" s="53" t="str">
        <x:v>Anjoman accounting - refined.xlsx</x:v>
      </x:c>
      <x:c r="B2476" s="53" t="str">
        <x:v>خام_تلگرام</x:v>
      </x:c>
      <x:c r="C2476" s="53" t="str">
        <x:v>B174</x:v>
      </x:c>
      <x:c r="D2476" s="53" t="str">
        <x:v>27.06.2026 18:26:45 UTC+03:30</x:v>
      </x:c>
      <x:c r="E2476" s="53"/>
    </x:row>
    <x:row r="2477" ht="15" hidden="0" customHeight="1">
      <x:c r="A2477" s="53" t="str">
        <x:v>Anjoman accounting - refined.xlsx</x:v>
      </x:c>
      <x:c r="B2477" s="53" t="str">
        <x:v>خام_تلگرام</x:v>
      </x:c>
      <x:c r="C2477" s="53" t="str">
        <x:v>D174</x:v>
      </x:c>
      <x:c r="D2477" s="53" t="str">
        <x:v>پذیرایی نشست اساتید مهرماه</x:v>
      </x:c>
      <x:c r="E2477" s="53"/>
    </x:row>
    <x:row r="2478" ht="15" hidden="0" customHeight="1">
      <x:c r="A2478" s="53" t="str">
        <x:v>Anjoman accounting - refined.xlsx</x:v>
      </x:c>
      <x:c r="B2478" s="53" t="str">
        <x:v>خام_تلگرام</x:v>
      </x:c>
      <x:c r="C2478" s="53" t="str">
        <x:v>E174</x:v>
      </x:c>
      <x:c r="D2478" s="53" t="str">
        <x:v>photos/photo_36@27-06-2026_18-26-45.jpg</x:v>
      </x:c>
      <x:c r="E2478" s="53"/>
    </x:row>
    <x:row r="2479" ht="15" hidden="0" customHeight="1">
      <x:c r="A2479" s="53" t="str">
        <x:v>Anjoman accounting - refined.xlsx</x:v>
      </x:c>
      <x:c r="B2479" s="53" t="str">
        <x:v>خام_تلگرام</x:v>
      </x:c>
      <x:c r="C2479" s="53" t="str">
        <x:v>A175</x:v>
      </x:c>
      <x:c r="D2479" s="53" t="str">
        <x:v>message150</x:v>
      </x:c>
      <x:c r="E2479" s="53"/>
    </x:row>
    <x:row r="2480" ht="15" hidden="0" customHeight="1">
      <x:c r="A2480" s="53" t="str">
        <x:v>Anjoman accounting - refined.xlsx</x:v>
      </x:c>
      <x:c r="B2480" s="53" t="str">
        <x:v>خام_تلگرام</x:v>
      </x:c>
      <x:c r="C2480" s="53" t="str">
        <x:v>B175</x:v>
      </x:c>
      <x:c r="D2480" s="53" t="str">
        <x:v>27.06.2026 18:27:12 UTC+03:30</x:v>
      </x:c>
      <x:c r="E2480" s="53"/>
    </x:row>
    <x:row r="2481" ht="15" hidden="0" customHeight="1">
      <x:c r="A2481" s="53" t="str">
        <x:v>Anjoman accounting - refined.xlsx</x:v>
      </x:c>
      <x:c r="B2481" s="53" t="str">
        <x:v>خام_تلگرام</x:v>
      </x:c>
      <x:c r="C2481" s="53" t="str">
        <x:v>D175</x:v>
      </x:c>
      <x:c r="D2481" s="53" t="str">
        <x:v>پذیرایی چای و فیزیک مهرماه</x:v>
      </x:c>
      <x:c r="E2481" s="53"/>
    </x:row>
    <x:row r="2482" ht="15" hidden="0" customHeight="1">
      <x:c r="A2482" s="53" t="str">
        <x:v>Anjoman accounting - refined.xlsx</x:v>
      </x:c>
      <x:c r="B2482" s="53" t="str">
        <x:v>خام_تلگرام</x:v>
      </x:c>
      <x:c r="C2482" s="53" t="str">
        <x:v>E175</x:v>
      </x:c>
      <x:c r="D2482" s="53" t="str">
        <x:v>photos/photo_37@27-06-2026_18-27-12.jpg</x:v>
      </x:c>
      <x:c r="E2482" s="53"/>
    </x:row>
    <x:row r="2483" ht="15" hidden="0" customHeight="1">
      <x:c r="A2483" s="53" t="str">
        <x:v>Anjoman accounting - refined.xlsx</x:v>
      </x:c>
      <x:c r="B2483" s="53" t="str">
        <x:v>خام_تلگرام</x:v>
      </x:c>
      <x:c r="C2483" s="53" t="str">
        <x:v>A176</x:v>
      </x:c>
      <x:c r="D2483" s="53" t="str">
        <x:v>message151</x:v>
      </x:c>
      <x:c r="E2483" s="53"/>
    </x:row>
    <x:row r="2484" ht="15" hidden="0" customHeight="1">
      <x:c r="A2484" s="53" t="str">
        <x:v>Anjoman accounting - refined.xlsx</x:v>
      </x:c>
      <x:c r="B2484" s="53" t="str">
        <x:v>خام_تلگرام</x:v>
      </x:c>
      <x:c r="C2484" s="53" t="str">
        <x:v>B176</x:v>
      </x:c>
      <x:c r="D2484" s="53" t="str">
        <x:v>27.06.2026 18:27:25 UTC+03:30</x:v>
      </x:c>
      <x:c r="E2484" s="53"/>
    </x:row>
    <x:row r="2485" ht="15" hidden="0" customHeight="1">
      <x:c r="A2485" s="53" t="str">
        <x:v>Anjoman accounting - refined.xlsx</x:v>
      </x:c>
      <x:c r="B2485" s="53" t="str">
        <x:v>خام_تلگرام</x:v>
      </x:c>
      <x:c r="C2485" s="53" t="str">
        <x:v>D176</x:v>
      </x:c>
      <x:c r="D2485" s="53" t="str">
        <x:v>پذیرایی یلدا</x:v>
      </x:c>
      <x:c r="E2485" s="53"/>
    </x:row>
    <x:row r="2486" ht="15" hidden="0" customHeight="1">
      <x:c r="A2486" s="53" t="str">
        <x:v>Anjoman accounting - refined.xlsx</x:v>
      </x:c>
      <x:c r="B2486" s="53" t="str">
        <x:v>خام_تلگرام</x:v>
      </x:c>
      <x:c r="C2486" s="53" t="str">
        <x:v>E176</x:v>
      </x:c>
      <x:c r="D2486" s="53" t="str">
        <x:v>photos/photo_38@27-06-2026_18-27-25.jpg</x:v>
      </x:c>
      <x:c r="E2486" s="53"/>
    </x:row>
    <x:row r="2487" ht="15" hidden="0" customHeight="1">
      <x:c r="A2487" s="53" t="str">
        <x:v>Anjoman accounting - refined.xlsx</x:v>
      </x:c>
      <x:c r="B2487" s="53" t="str">
        <x:v>خام_تلگرام</x:v>
      </x:c>
      <x:c r="C2487" s="53" t="str">
        <x:v>A177</x:v>
      </x:c>
      <x:c r="D2487" s="53" t="str">
        <x:v>message152</x:v>
      </x:c>
      <x:c r="E2487" s="53"/>
    </x:row>
    <x:row r="2488" ht="15" hidden="0" customHeight="1">
      <x:c r="A2488" s="53" t="str">
        <x:v>Anjoman accounting - refined.xlsx</x:v>
      </x:c>
      <x:c r="B2488" s="53" t="str">
        <x:v>خام_تلگرام</x:v>
      </x:c>
      <x:c r="C2488" s="53" t="str">
        <x:v>B177</x:v>
      </x:c>
      <x:c r="D2488" s="53" t="str">
        <x:v>27.06.2026 18:29:10 UTC+03:30</x:v>
      </x:c>
      <x:c r="E2488" s="53"/>
    </x:row>
    <x:row r="2489" ht="15" hidden="0" customHeight="1">
      <x:c r="A2489" s="53" t="str">
        <x:v>Anjoman accounting - refined.xlsx</x:v>
      </x:c>
      <x:c r="B2489" s="53" t="str">
        <x:v>خام_تلگرام</x:v>
      </x:c>
      <x:c r="C2489" s="53" t="str">
        <x:v>D177</x:v>
      </x:c>
      <x:c r="D2489" s="53" t="str">
        <x:v>نخ بسته‌بندی فال یلدا</x:v>
      </x:c>
      <x:c r="E2489" s="53"/>
    </x:row>
    <x:row r="2490" ht="15" hidden="0" customHeight="1">
      <x:c r="A2490" s="53" t="str">
        <x:v>Anjoman accounting - refined.xlsx</x:v>
      </x:c>
      <x:c r="B2490" s="53" t="str">
        <x:v>خام_تلگرام</x:v>
      </x:c>
      <x:c r="C2490" s="53" t="str">
        <x:v>E177</x:v>
      </x:c>
      <x:c r="D2490" s="53" t="str">
        <x:v>photos/photo_39@27-06-2026_18-29-10.jpg</x:v>
      </x:c>
      <x:c r="E2490" s="53"/>
    </x:row>
    <x:row r="2491" ht="15" hidden="0" customHeight="1">
      <x:c r="A2491" s="53" t="str">
        <x:v>Anjoman accounting - refined.xlsx</x:v>
      </x:c>
      <x:c r="B2491" s="53" t="str">
        <x:v>خام_تلگرام</x:v>
      </x:c>
      <x:c r="C2491" s="53" t="str">
        <x:v>A178</x:v>
      </x:c>
      <x:c r="D2491" s="53" t="str">
        <x:v>message153</x:v>
      </x:c>
      <x:c r="E2491" s="53"/>
    </x:row>
    <x:row r="2492" ht="15" hidden="0" customHeight="1">
      <x:c r="A2492" s="53" t="str">
        <x:v>Anjoman accounting - refined.xlsx</x:v>
      </x:c>
      <x:c r="B2492" s="53" t="str">
        <x:v>خام_تلگرام</x:v>
      </x:c>
      <x:c r="C2492" s="53" t="str">
        <x:v>B178</x:v>
      </x:c>
      <x:c r="D2492" s="53" t="str">
        <x:v>27.06.2026 18:31:08 UTC+03:30</x:v>
      </x:c>
      <x:c r="E2492" s="53"/>
    </x:row>
    <x:row r="2493" ht="15" hidden="0" customHeight="1">
      <x:c r="A2493" s="53" t="str">
        <x:v>Anjoman accounting - refined.xlsx</x:v>
      </x:c>
      <x:c r="B2493" s="53" t="str">
        <x:v>خام_تلگرام</x:v>
      </x:c>
      <x:c r="C2493" s="53" t="str">
        <x:v>D178</x:v>
      </x:c>
      <x:c r="D2493" s="53" t="str">
        <x:v>پذیرایی غرفه انجمن شریف سلام دو عدد دلستر بیسکوئیت و چیپس و پفک</x:v>
      </x:c>
      <x:c r="E2493" s="53"/>
    </x:row>
    <x:row r="2494" ht="15" hidden="0" customHeight="1">
      <x:c r="A2494" s="53" t="str">
        <x:v>Anjoman accounting - refined.xlsx</x:v>
      </x:c>
      <x:c r="B2494" s="53" t="str">
        <x:v>خام_تلگرام</x:v>
      </x:c>
      <x:c r="C2494" s="53" t="str">
        <x:v>E178</x:v>
      </x:c>
      <x:c r="D2494" s="53" t="str">
        <x:v>photos/photo_40@27-06-2026_18-31-08.jpg</x:v>
      </x:c>
      <x:c r="E2494" s="53"/>
    </x:row>
    <x:row r="2495" ht="15" hidden="0" customHeight="1">
      <x:c r="A2495" s="53" t="str">
        <x:v>Anjoman accounting - refined.xlsx</x:v>
      </x:c>
      <x:c r="B2495" s="53" t="str">
        <x:v>خام_تلگرام</x:v>
      </x:c>
      <x:c r="C2495" s="53" t="str">
        <x:v>A179</x:v>
      </x:c>
      <x:c r="D2495" s="53" t="str">
        <x:v>message154</x:v>
      </x:c>
      <x:c r="E2495" s="53"/>
    </x:row>
    <x:row r="2496" ht="15" hidden="0" customHeight="1">
      <x:c r="A2496" s="53" t="str">
        <x:v>Anjoman accounting - refined.xlsx</x:v>
      </x:c>
      <x:c r="B2496" s="53" t="str">
        <x:v>خام_تلگرام</x:v>
      </x:c>
      <x:c r="C2496" s="53" t="str">
        <x:v>B179</x:v>
      </x:c>
      <x:c r="D2496" s="53" t="str">
        <x:v>27.06.2026 18:36:09 UTC+03:30</x:v>
      </x:c>
      <x:c r="E2496" s="53"/>
    </x:row>
    <x:row r="2497" ht="15" hidden="0" customHeight="1">
      <x:c r="A2497" s="53" t="str">
        <x:v>Anjoman accounting - refined.xlsx</x:v>
      </x:c>
      <x:c r="B2497" s="53" t="str">
        <x:v>خام_تلگرام</x:v>
      </x:c>
      <x:c r="C2497" s="53" t="str">
        <x:v>C179</x:v>
      </x:c>
      <x:c r="D2497" s="53" t="str">
        <x:v>Deleted Account</x:v>
      </x:c>
      <x:c r="E2497" s="53"/>
    </x:row>
    <x:row r="2498" ht="36" hidden="0" customHeight="1">
      <x:c r="A2498" s="53" t="str">
        <x:v>Anjoman accounting - refined.xlsx</x:v>
      </x:c>
      <x:c r="B2498" s="53" t="str">
        <x:v>خام_تلگرام</x:v>
      </x:c>
      <x:c r="C2498" s="53" t="str">
        <x:v>D179</x:v>
      </x:c>
      <x:c r="D2498" s="53" t="str">
        <x:v>سلام خوبی ببین من یه ۴۰۰ خرید کردم که یه سری جا سوییچی و یه دونه گوشواره انار و اینا بود یه ۲۵۰ دوباره که بازم جا سوییچی های عروسکی بود یه ۶۰۰ که هندونه و انار های ریز بودن با یه ۱۱۶۲ که ۲۷۵ تاشو ساندویچ خریدیم میمونه ۸۸۷ که ۲۲ تا ژله فرمند بودن که قیمت اصلی‌شون ۴۵ بود ولی تخفیف خورده بودن فک کنم شده بودن ۴۰ اینا حالا از اینا من رسید ۴۰۰ و ۲۵۰ رو دارم ولی رسید ۶۰۰ رو ندارم فاکتور اون ۱۱۶۲ رو هم داده بودم حسین ولی گم کرده</x:v>
      </x:c>
      <x:c r="E2498" s="53"/>
    </x:row>
    <x:row r="2499" ht="15" hidden="0" customHeight="1">
      <x:c r="A2499" s="53" t="str">
        <x:v>Anjoman accounting - refined.xlsx</x:v>
      </x:c>
      <x:c r="B2499" s="53" t="str">
        <x:v>خام_تلگرام</x:v>
      </x:c>
      <x:c r="C2499" s="53" t="str">
        <x:v>A180</x:v>
      </x:c>
      <x:c r="D2499" s="53" t="str">
        <x:v>message155</x:v>
      </x:c>
      <x:c r="E2499" s="53"/>
    </x:row>
    <x:row r="2500" ht="15" hidden="0" customHeight="1">
      <x:c r="A2500" s="53" t="str">
        <x:v>Anjoman accounting - refined.xlsx</x:v>
      </x:c>
      <x:c r="B2500" s="53" t="str">
        <x:v>خام_تلگرام</x:v>
      </x:c>
      <x:c r="C2500" s="53" t="str">
        <x:v>B180</x:v>
      </x:c>
      <x:c r="D2500" s="53" t="str">
        <x:v>27.06.2026 18:36:09 UTC+03:30</x:v>
      </x:c>
      <x:c r="E2500" s="53"/>
    </x:row>
    <x:row r="2501" ht="15" hidden="0" customHeight="1">
      <x:c r="A2501" s="53" t="str">
        <x:v>Anjoman accounting - refined.xlsx</x:v>
      </x:c>
      <x:c r="B2501" s="53" t="str">
        <x:v>خام_تلگرام</x:v>
      </x:c>
      <x:c r="C2501" s="53" t="str">
        <x:v>C180</x:v>
      </x:c>
      <x:c r="D2501" s="53" t="str">
        <x:v>Bardia 25.12.2025 19:23:48</x:v>
      </x:c>
      <x:c r="E2501" s="53"/>
    </x:row>
    <x:row r="2502" ht="15" hidden="0" customHeight="1">
      <x:c r="A2502" s="53" t="str">
        <x:v>Anjoman accounting - refined.xlsx</x:v>
      </x:c>
      <x:c r="B2502" s="53" t="str">
        <x:v>خام_تلگرام</x:v>
      </x:c>
      <x:c r="C2502" s="53" t="str">
        <x:v>D180</x:v>
      </x:c>
      <x:c r="D2502" s="53" t="str">
        <x:v>18:36 B Bardia 25.12.2025 19:23:48</x:v>
      </x:c>
      <x:c r="E2502" s="53"/>
    </x:row>
    <x:row r="2503" ht="15" hidden="0" customHeight="1">
      <x:c r="A2503" s="53" t="str">
        <x:v>Anjoman accounting - refined.xlsx</x:v>
      </x:c>
      <x:c r="B2503" s="53" t="str">
        <x:v>خام_تلگرام</x:v>
      </x:c>
      <x:c r="C2503" s="53" t="str">
        <x:v>E180</x:v>
      </x:c>
      <x:c r="D2503" s="53" t="str">
        <x:v>photos/photo_41@27-06-2026_18-36-09.jpg</x:v>
      </x:c>
      <x:c r="E2503" s="53"/>
    </x:row>
    <x:row r="2504" ht="15" hidden="0" customHeight="1">
      <x:c r="A2504" s="53" t="str">
        <x:v>Anjoman accounting - refined.xlsx</x:v>
      </x:c>
      <x:c r="B2504" s="53" t="str">
        <x:v>خام_تلگرام</x:v>
      </x:c>
      <x:c r="C2504" s="53" t="str">
        <x:v>A181</x:v>
      </x:c>
      <x:c r="D2504" s="53" t="str">
        <x:v>message156</x:v>
      </x:c>
      <x:c r="E2504" s="53"/>
    </x:row>
    <x:row r="2505" ht="15" hidden="0" customHeight="1">
      <x:c r="A2505" s="53" t="str">
        <x:v>Anjoman accounting - refined.xlsx</x:v>
      </x:c>
      <x:c r="B2505" s="53" t="str">
        <x:v>خام_تلگرام</x:v>
      </x:c>
      <x:c r="C2505" s="53" t="str">
        <x:v>B181</x:v>
      </x:c>
      <x:c r="D2505" s="53" t="str">
        <x:v>27.06.2026 18:36:09 UTC+03:30</x:v>
      </x:c>
      <x:c r="E2505" s="53"/>
    </x:row>
    <x:row r="2506" ht="15" hidden="0" customHeight="1">
      <x:c r="A2506" s="53" t="str">
        <x:v>Anjoman accounting - refined.xlsx</x:v>
      </x:c>
      <x:c r="B2506" s="53" t="str">
        <x:v>خام_تلگرام</x:v>
      </x:c>
      <x:c r="C2506" s="53" t="str">
        <x:v>C181</x:v>
      </x:c>
      <x:c r="D2506" s="53" t="str">
        <x:v>Bardia 25.12.2025 19:23:48</x:v>
      </x:c>
      <x:c r="E2506" s="53"/>
    </x:row>
    <x:row r="2507" ht="15" hidden="0" customHeight="1">
      <x:c r="A2507" s="53" t="str">
        <x:v>Anjoman accounting - refined.xlsx</x:v>
      </x:c>
      <x:c r="B2507" s="53" t="str">
        <x:v>خام_تلگرام</x:v>
      </x:c>
      <x:c r="C2507" s="53" t="str">
        <x:v>D181</x:v>
      </x:c>
      <x:c r="D2507" s="53" t="str">
        <x:v>18:36 B Bardia 25.12.2025 19:23:48</x:v>
      </x:c>
      <x:c r="E2507" s="53"/>
    </x:row>
    <x:row r="2508" ht="15" hidden="0" customHeight="1">
      <x:c r="A2508" s="53" t="str">
        <x:v>Anjoman accounting - refined.xlsx</x:v>
      </x:c>
      <x:c r="B2508" s="53" t="str">
        <x:v>خام_تلگرام</x:v>
      </x:c>
      <x:c r="C2508" s="53" t="str">
        <x:v>E181</x:v>
      </x:c>
      <x:c r="D2508" s="53" t="str">
        <x:v>photos/photo_42@27-06-2026_18-36-09.jpg</x:v>
      </x:c>
      <x:c r="E2508" s="53"/>
    </x:row>
    <x:row r="2509" ht="15" hidden="0" customHeight="1">
      <x:c r="A2509" s="53" t="str">
        <x:v>Anjoman accounting - refined.xlsx</x:v>
      </x:c>
      <x:c r="B2509" s="53" t="str">
        <x:v>خام_تلگرام</x:v>
      </x:c>
      <x:c r="C2509" s="53" t="str">
        <x:v>A182</x:v>
      </x:c>
      <x:c r="D2509" s="53" t="str">
        <x:v>message157</x:v>
      </x:c>
      <x:c r="E2509" s="53"/>
    </x:row>
    <x:row r="2510" ht="15" hidden="0" customHeight="1">
      <x:c r="A2510" s="53" t="str">
        <x:v>Anjoman accounting - refined.xlsx</x:v>
      </x:c>
      <x:c r="B2510" s="53" t="str">
        <x:v>خام_تلگرام</x:v>
      </x:c>
      <x:c r="C2510" s="53" t="str">
        <x:v>B182</x:v>
      </x:c>
      <x:c r="D2510" s="53" t="str">
        <x:v>27.06.2026 18:36:09 UTC+03:30</x:v>
      </x:c>
      <x:c r="E2510" s="53"/>
    </x:row>
    <x:row r="2511" ht="15" hidden="0" customHeight="1">
      <x:c r="A2511" s="53" t="str">
        <x:v>Anjoman accounting - refined.xlsx</x:v>
      </x:c>
      <x:c r="B2511" s="53" t="str">
        <x:v>خام_تلگرام</x:v>
      </x:c>
      <x:c r="C2511" s="53" t="str">
        <x:v>C182</x:v>
      </x:c>
      <x:c r="D2511" s="53" t="str">
        <x:v>Bardia 25.12.2025 19:32:19</x:v>
      </x:c>
      <x:c r="E2511" s="53"/>
    </x:row>
    <x:row r="2512" ht="15" hidden="0" customHeight="1">
      <x:c r="A2512" s="53" t="str">
        <x:v>Anjoman accounting - refined.xlsx</x:v>
      </x:c>
      <x:c r="B2512" s="53" t="str">
        <x:v>خام_تلگرام</x:v>
      </x:c>
      <x:c r="C2512" s="53" t="str">
        <x:v>D182</x:v>
      </x:c>
      <x:c r="D2512" s="53" t="str">
        <x:v>این رسید اون دوتای دیگس ولی فاکتور ۱۱۶۲ رو ندارم دیگه بیشتر نتونستم پیدا کنم 😂</x:v>
      </x:c>
      <x:c r="E2512" s="53"/>
    </x:row>
    <x:row r="2513" ht="15" hidden="0" customHeight="1">
      <x:c r="A2513" s="53" t="str">
        <x:v>Anjoman accounting - refined.xlsx</x:v>
      </x:c>
      <x:c r="B2513" s="53" t="str">
        <x:v>خام_تلگرام</x:v>
      </x:c>
      <x:c r="C2513" s="53" t="str">
        <x:v>E182</x:v>
      </x:c>
      <x:c r="D2513" s="53" t="str">
        <x:v>photos/photo_43@27-06-2026_18-36-09.jpg</x:v>
      </x:c>
      <x:c r="E2513" s="53"/>
    </x:row>
    <x:row r="2514" ht="15" hidden="0" customHeight="1">
      <x:c r="A2514" s="53" t="str">
        <x:v>Anjoman accounting - refined.xlsx</x:v>
      </x:c>
      <x:c r="B2514" s="53" t="str">
        <x:v>خام_تلگرام</x:v>
      </x:c>
      <x:c r="C2514" s="53" t="str">
        <x:v>A183</x:v>
      </x:c>
      <x:c r="D2514" s="53" t="str">
        <x:v>message158</x:v>
      </x:c>
      <x:c r="E2514" s="53"/>
    </x:row>
    <x:row r="2515" ht="15" hidden="0" customHeight="1">
      <x:c r="A2515" s="53" t="str">
        <x:v>Anjoman accounting - refined.xlsx</x:v>
      </x:c>
      <x:c r="B2515" s="53" t="str">
        <x:v>خام_تلگرام</x:v>
      </x:c>
      <x:c r="C2515" s="53" t="str">
        <x:v>B183</x:v>
      </x:c>
      <x:c r="D2515" s="53" t="str">
        <x:v>27.06.2026 18:36:09 UTC+03:30</x:v>
      </x:c>
      <x:c r="E2515" s="53"/>
    </x:row>
    <x:row r="2516" ht="15" hidden="0" customHeight="1">
      <x:c r="A2516" s="53" t="str">
        <x:v>Anjoman accounting - refined.xlsx</x:v>
      </x:c>
      <x:c r="B2516" s="53" t="str">
        <x:v>خام_تلگرام</x:v>
      </x:c>
      <x:c r="C2516" s="53" t="str">
        <x:v>C183</x:v>
      </x:c>
      <x:c r="D2516" s="53" t="str">
        <x:v>Bardia 25.12.2025 19:32:19</x:v>
      </x:c>
      <x:c r="E2516" s="53"/>
    </x:row>
    <x:row r="2517" ht="15" hidden="0" customHeight="1">
      <x:c r="A2517" s="53" t="str">
        <x:v>Anjoman accounting - refined.xlsx</x:v>
      </x:c>
      <x:c r="B2517" s="53" t="str">
        <x:v>خام_تلگرام</x:v>
      </x:c>
      <x:c r="C2517" s="53" t="str">
        <x:v>D183</x:v>
      </x:c>
      <x:c r="D2517" s="53" t="str">
        <x:v>18:36 B Bardia 25.12.2025 19:32:19</x:v>
      </x:c>
      <x:c r="E2517" s="53"/>
    </x:row>
    <x:row r="2518" ht="15" hidden="0" customHeight="1">
      <x:c r="A2518" s="53" t="str">
        <x:v>Anjoman accounting - refined.xlsx</x:v>
      </x:c>
      <x:c r="B2518" s="53" t="str">
        <x:v>خام_تلگرام</x:v>
      </x:c>
      <x:c r="C2518" s="53" t="str">
        <x:v>E183</x:v>
      </x:c>
      <x:c r="D2518" s="53" t="str">
        <x:v>photos/photo_44@27-06-2026_18-36-09.jpg</x:v>
      </x:c>
      <x:c r="E2518" s="53"/>
    </x:row>
    <x:row r="2519" ht="15" hidden="0" customHeight="1">
      <x:c r="A2519" s="53" t="str">
        <x:v>Anjoman accounting - refined.xlsx</x:v>
      </x:c>
      <x:c r="B2519" s="53" t="str">
        <x:v>خام_تلگرام</x:v>
      </x:c>
      <x:c r="C2519" s="53" t="str">
        <x:v>A184</x:v>
      </x:c>
      <x:c r="D2519" s="53" t="str">
        <x:v>message159</x:v>
      </x:c>
      <x:c r="E2519" s="53"/>
    </x:row>
    <x:row r="2520" ht="15" hidden="0" customHeight="1">
      <x:c r="A2520" s="53" t="str">
        <x:v>Anjoman accounting - refined.xlsx</x:v>
      </x:c>
      <x:c r="B2520" s="53" t="str">
        <x:v>خام_تلگرام</x:v>
      </x:c>
      <x:c r="C2520" s="53" t="str">
        <x:v>B184</x:v>
      </x:c>
      <x:c r="D2520" s="53" t="str">
        <x:v>27.06.2026 18:36:09 UTC+03:30</x:v>
      </x:c>
      <x:c r="E2520" s="53"/>
    </x:row>
    <x:row r="2521" ht="15" hidden="0" customHeight="1">
      <x:c r="A2521" s="53" t="str">
        <x:v>Anjoman accounting - refined.xlsx</x:v>
      </x:c>
      <x:c r="B2521" s="53" t="str">
        <x:v>خام_تلگرام</x:v>
      </x:c>
      <x:c r="C2521" s="53" t="str">
        <x:v>C184</x:v>
      </x:c>
      <x:c r="D2521" s="53" t="str">
        <x:v>Deleted Account</x:v>
      </x:c>
      <x:c r="E2521" s="53"/>
    </x:row>
    <x:row r="2522" ht="15" hidden="0" customHeight="1">
      <x:c r="A2522" s="53" t="str">
        <x:v>Anjoman accounting - refined.xlsx</x:v>
      </x:c>
      <x:c r="B2522" s="53" t="str">
        <x:v>خام_تلگرام</x:v>
      </x:c>
      <x:c r="C2522" s="53" t="str">
        <x:v>D184</x:v>
      </x:c>
      <x:c r="D2522" s="53" t="str">
        <x:v>خدمتت نازنین، ممنون از انرژی که گذاشتی</x:v>
      </x:c>
      <x:c r="E2522" s="53"/>
    </x:row>
    <x:row r="2523" ht="15" hidden="0" customHeight="1">
      <x:c r="A2523" s="53" t="str">
        <x:v>Anjoman accounting - refined.xlsx</x:v>
      </x:c>
      <x:c r="B2523" s="53" t="str">
        <x:v>خام_تلگرام</x:v>
      </x:c>
      <x:c r="C2523" s="53" t="str">
        <x:v>E184</x:v>
      </x:c>
      <x:c r="D2523" s="53" t="str">
        <x:v>photos/photo_45@27-06-2026_18-36-09.jpg</x:v>
      </x:c>
      <x:c r="E2523" s="53"/>
    </x:row>
    <x:row r="2524" ht="15" hidden="0" customHeight="1">
      <x:c r="A2524" s="53" t="str">
        <x:v>Anjoman accounting - refined.xlsx</x:v>
      </x:c>
      <x:c r="B2524" s="53" t="str">
        <x:v>خام_تلگرام</x:v>
      </x:c>
      <x:c r="C2524" s="53" t="str">
        <x:v>A185</x:v>
      </x:c>
      <x:c r="D2524" s="53" t="str">
        <x:v>message161</x:v>
      </x:c>
      <x:c r="E2524" s="53"/>
    </x:row>
    <x:row r="2525" ht="15" hidden="0" customHeight="1">
      <x:c r="A2525" s="53" t="str">
        <x:v>Anjoman accounting - refined.xlsx</x:v>
      </x:c>
      <x:c r="B2525" s="53" t="str">
        <x:v>خام_تلگرام</x:v>
      </x:c>
      <x:c r="C2525" s="53" t="str">
        <x:v>B185</x:v>
      </x:c>
      <x:c r="D2525" s="53" t="str">
        <x:v>27.06.2026 18:38:52 UTC+03:30</x:v>
      </x:c>
      <x:c r="E2525" s="53"/>
    </x:row>
    <x:row r="2526" ht="15" hidden="0" customHeight="1">
      <x:c r="A2526" s="53" t="str">
        <x:v>Anjoman accounting - refined.xlsx</x:v>
      </x:c>
      <x:c r="B2526" s="53" t="str">
        <x:v>خام_تلگرام</x:v>
      </x:c>
      <x:c r="C2526" s="53" t="str">
        <x:v>C185</x:v>
      </x:c>
      <x:c r="D2526" s="53" t="str">
        <x:v>Deleted Account</x:v>
      </x:c>
      <x:c r="E2526" s="53"/>
    </x:row>
    <x:row r="2527" ht="15" hidden="0" customHeight="1">
      <x:c r="A2527" s="53" t="str">
        <x:v>Anjoman accounting - refined.xlsx</x:v>
      </x:c>
      <x:c r="B2527" s="53" t="str">
        <x:v>خام_تلگرام</x:v>
      </x:c>
      <x:c r="C2527" s="53" t="str">
        <x:v>D185</x:v>
      </x:c>
      <x:c r="D2527" s="53" t="str">
        <x:v>این برای یکیشون که ژله و شربت آلبالو</x:v>
      </x:c>
      <x:c r="E2527" s="53"/>
    </x:row>
    <x:row r="2528" ht="15" hidden="0" customHeight="1">
      <x:c r="A2528" s="53" t="str">
        <x:v>Anjoman accounting - refined.xlsx</x:v>
      </x:c>
      <x:c r="B2528" s="53" t="str">
        <x:v>خام_تلگرام</x:v>
      </x:c>
      <x:c r="C2528" s="53" t="str">
        <x:v>E185</x:v>
      </x:c>
      <x:c r="D2528" s="53" t="str">
        <x:v>photos/photo_46@27-06-2026_18-38-52.jpg</x:v>
      </x:c>
      <x:c r="E2528" s="53"/>
    </x:row>
    <x:row r="2529" ht="15" hidden="0" customHeight="1">
      <x:c r="A2529" s="53" t="str">
        <x:v>Anjoman accounting - refined.xlsx</x:v>
      </x:c>
      <x:c r="B2529" s="53" t="str">
        <x:v>خام_تلگرام</x:v>
      </x:c>
      <x:c r="C2529" s="53" t="str">
        <x:v>A186</x:v>
      </x:c>
      <x:c r="D2529" s="53" t="str">
        <x:v>message162</x:v>
      </x:c>
      <x:c r="E2529" s="53"/>
    </x:row>
    <x:row r="2530" ht="15" hidden="0" customHeight="1">
      <x:c r="A2530" s="53" t="str">
        <x:v>Anjoman accounting - refined.xlsx</x:v>
      </x:c>
      <x:c r="B2530" s="53" t="str">
        <x:v>خام_تلگرام</x:v>
      </x:c>
      <x:c r="C2530" s="53" t="str">
        <x:v>B186</x:v>
      </x:c>
      <x:c r="D2530" s="53" t="str">
        <x:v>27.06.2026 18:38:52 UTC+03:30</x:v>
      </x:c>
      <x:c r="E2530" s="53"/>
    </x:row>
    <x:row r="2531" ht="15" hidden="0" customHeight="1">
      <x:c r="A2531" s="53" t="str">
        <x:v>Anjoman accounting - refined.xlsx</x:v>
      </x:c>
      <x:c r="B2531" s="53" t="str">
        <x:v>خام_تلگرام</x:v>
      </x:c>
      <x:c r="C2531" s="53" t="str">
        <x:v>C186</x:v>
      </x:c>
      <x:c r="D2531" s="53" t="str">
        <x:v>hossein 26.12.2025 21:52:41</x:v>
      </x:c>
      <x:c r="E2531" s="53"/>
    </x:row>
    <x:row r="2532" ht="15" hidden="0" customHeight="1">
      <x:c r="A2532" s="53" t="str">
        <x:v>Anjoman accounting - refined.xlsx</x:v>
      </x:c>
      <x:c r="B2532" s="53" t="str">
        <x:v>خام_تلگرام</x:v>
      </x:c>
      <x:c r="C2532" s="53" t="str">
        <x:v>D186</x:v>
      </x:c>
      <x:c r="D2532" s="53" t="str">
        <x:v>اون 165 برای خرید کاغذ و ماژیک</x:v>
      </x:c>
      <x:c r="E2532" s="53"/>
    </x:row>
    <x:row r="2533" ht="15" hidden="0" customHeight="1">
      <x:c r="A2533" s="53" t="str">
        <x:v>Anjoman accounting - refined.xlsx</x:v>
      </x:c>
      <x:c r="B2533" s="53" t="str">
        <x:v>خام_تلگرام</x:v>
      </x:c>
      <x:c r="C2533" s="53" t="str">
        <x:v>A187</x:v>
      </x:c>
      <x:c r="D2533" s="53" t="str">
        <x:v>message163</x:v>
      </x:c>
      <x:c r="E2533" s="53"/>
    </x:row>
    <x:row r="2534" ht="15" hidden="0" customHeight="1">
      <x:c r="A2534" s="53" t="str">
        <x:v>Anjoman accounting - refined.xlsx</x:v>
      </x:c>
      <x:c r="B2534" s="53" t="str">
        <x:v>خام_تلگرام</x:v>
      </x:c>
      <x:c r="C2534" s="53" t="str">
        <x:v>B187</x:v>
      </x:c>
      <x:c r="D2534" s="53" t="str">
        <x:v>27.06.2026 18:38:52 UTC+03:30</x:v>
      </x:c>
      <x:c r="E2534" s="53"/>
    </x:row>
    <x:row r="2535" ht="15" hidden="0" customHeight="1">
      <x:c r="A2535" s="53" t="str">
        <x:v>Anjoman accounting - refined.xlsx</x:v>
      </x:c>
      <x:c r="B2535" s="53" t="str">
        <x:v>خام_تلگرام</x:v>
      </x:c>
      <x:c r="C2535" s="53" t="str">
        <x:v>C187</x:v>
      </x:c>
      <x:c r="D2535" s="53" t="str">
        <x:v>hossein 26.12.2025 21:53:41</x:v>
      </x:c>
      <x:c r="E2535" s="53"/>
    </x:row>
    <x:row r="2536" ht="15" hidden="0" customHeight="1">
      <x:c r="A2536" s="53" t="str">
        <x:v>Anjoman accounting - refined.xlsx</x:v>
      </x:c>
      <x:c r="B2536" s="53" t="str">
        <x:v>خام_تلگرام</x:v>
      </x:c>
      <x:c r="C2536" s="53" t="str">
        <x:v>D187</x:v>
      </x:c>
      <x:c r="D2536" s="53" t="str">
        <x:v>اون شصت تومن و پنجاه تومن شیرینی تو راه گرفتیم😊😊</x:v>
      </x:c>
      <x:c r="E2536" s="53"/>
    </x:row>
    <x:row r="2537" ht="15" hidden="0" customHeight="1">
      <x:c r="A2537" s="53" t="str">
        <x:v>Anjoman accounting - refined.xlsx</x:v>
      </x:c>
      <x:c r="B2537" s="53" t="str">
        <x:v>خام_تلگرام</x:v>
      </x:c>
      <x:c r="C2537" s="53" t="str">
        <x:v>A188</x:v>
      </x:c>
      <x:c r="D2537" s="53" t="str">
        <x:v>message164</x:v>
      </x:c>
      <x:c r="E2537" s="53"/>
    </x:row>
    <x:row r="2538" ht="15" hidden="0" customHeight="1">
      <x:c r="A2538" s="53" t="str">
        <x:v>Anjoman accounting - refined.xlsx</x:v>
      </x:c>
      <x:c r="B2538" s="53" t="str">
        <x:v>خام_تلگرام</x:v>
      </x:c>
      <x:c r="C2538" s="53" t="str">
        <x:v>B188</x:v>
      </x:c>
      <x:c r="D2538" s="53" t="str">
        <x:v>27.06.2026 18:43:30 UTC+03:30</x:v>
      </x:c>
      <x:c r="E2538" s="53"/>
    </x:row>
    <x:row r="2539" ht="15" hidden="0" customHeight="1">
      <x:c r="A2539" s="53" t="str">
        <x:v>Anjoman accounting - refined.xlsx</x:v>
      </x:c>
      <x:c r="B2539" s="53" t="str">
        <x:v>خام_تلگرام</x:v>
      </x:c>
      <x:c r="C2539" s="53" t="str">
        <x:v>C188</x:v>
      </x:c>
      <x:c r="D2539" s="53" t="str">
        <x:v>Deleted Account</x:v>
      </x:c>
      <x:c r="E2539" s="53"/>
    </x:row>
    <x:row r="2540" ht="24" hidden="0" customHeight="1">
      <x:c r="A2540" s="53" t="str">
        <x:v>Anjoman accounting - refined.xlsx</x:v>
      </x:c>
      <x:c r="B2540" s="53" t="str">
        <x:v>خام_تلگرام</x:v>
      </x:c>
      <x:c r="C2540" s="53" t="str">
        <x:v>D188</x:v>
      </x:c>
      <x:c r="D2540" s="53" t="str">
        <x:v>* جا سوییچی، گوشواره انار و ...: ۴۰۰ * جا سوییچی‌های عروسکی: ۲۵۰ * هندونه و انارهای ریز: ۶۰۰ * ساندویچ (از فاکتور ۱۱۶۲): ۲۷۵ * ژله فرمند (۲۲ عدد - از فاکتور ۱۱۶۲): ۸۸۷ * کاغذ و ماژیک: ۱۶۵ * شیرینی (تو راه): ۶۰ * شیرینی (تو راه): ۵۰ * پودر ژله طالبی (۳۲ عدد - طبق رسید): ۱۲۸۰ * شربت آلبالو سن ایچ (۲ عدد - طبق رسید): ۸۷۰</x:v>
      </x:c>
      <x:c r="E2540" s="53"/>
    </x:row>
    <x:row r="2541" ht="15" hidden="0" customHeight="1">
      <x:c r="A2541" s="53" t="str">
        <x:v>Anjoman accounting - refined.xlsx</x:v>
      </x:c>
      <x:c r="B2541" s="53" t="str">
        <x:v>خام_تلگرام</x:v>
      </x:c>
      <x:c r="C2541" s="53" t="str">
        <x:v>E188</x:v>
      </x:c>
      <x:c r="D2541" s="53" t="str">
        <x:v>photos/photo_47@27-06-2026_18-43-30.jpg</x:v>
      </x:c>
      <x:c r="E2541" s="53"/>
    </x:row>
    <x:row r="2542" ht="15" hidden="0" customHeight="1">
      <x:c r="A2542" s="53" t="str">
        <x:v>Anjoman accounting - refined.xlsx</x:v>
      </x:c>
      <x:c r="B2542" s="53" t="str">
        <x:v>خام_تلگرام</x:v>
      </x:c>
      <x:c r="C2542" s="53" t="str">
        <x:v>A189</x:v>
      </x:c>
      <x:c r="D2542" s="53" t="str">
        <x:v>message165</x:v>
      </x:c>
      <x:c r="E2542" s="53"/>
    </x:row>
    <x:row r="2543" ht="15" hidden="0" customHeight="1">
      <x:c r="A2543" s="53" t="str">
        <x:v>Anjoman accounting - refined.xlsx</x:v>
      </x:c>
      <x:c r="B2543" s="53" t="str">
        <x:v>خام_تلگرام</x:v>
      </x:c>
      <x:c r="C2543" s="53" t="str">
        <x:v>B189</x:v>
      </x:c>
      <x:c r="D2543" s="53" t="str">
        <x:v>27.06.2026 18:43:30 UTC+03:30</x:v>
      </x:c>
      <x:c r="E2543" s="53"/>
    </x:row>
    <x:row r="2544" ht="15" hidden="0" customHeight="1">
      <x:c r="A2544" s="53" t="str">
        <x:v>Anjoman accounting - refined.xlsx</x:v>
      </x:c>
      <x:c r="B2544" s="53" t="str">
        <x:v>خام_تلگرام</x:v>
      </x:c>
      <x:c r="C2544" s="53" t="str">
        <x:v>D189</x:v>
      </x:c>
      <x:c r="D2544" s="53" t="str">
        <x:v>18:43</x:v>
      </x:c>
      <x:c r="E2544" s="53"/>
    </x:row>
    <x:row r="2545" ht="15" hidden="0" customHeight="1">
      <x:c r="A2545" s="53" t="str">
        <x:v>Anjoman accounting - refined.xlsx</x:v>
      </x:c>
      <x:c r="B2545" s="53" t="str">
        <x:v>خام_تلگرام</x:v>
      </x:c>
      <x:c r="C2545" s="53" t="str">
        <x:v>E189</x:v>
      </x:c>
      <x:c r="D2545" s="53" t="str">
        <x:v>photos/photo_48@27-06-2026_18-43-30.jpg</x:v>
      </x:c>
      <x:c r="E2545" s="53"/>
    </x:row>
    <x:row r="2546" ht="15" hidden="0" customHeight="1">
      <x:c r="A2546" s="53" t="str">
        <x:v>Anjoman accounting - refined.xlsx</x:v>
      </x:c>
      <x:c r="B2546" s="53" t="str">
        <x:v>خام_تلگرام</x:v>
      </x:c>
      <x:c r="C2546" s="53" t="str">
        <x:v>A190</x:v>
      </x:c>
      <x:c r="D2546" s="53" t="str">
        <x:v>message-28</x:v>
      </x:c>
      <x:c r="E2546" s="53"/>
    </x:row>
    <x:row r="2547" ht="15" hidden="0" customHeight="1">
      <x:c r="A2547" s="53" t="str">
        <x:v>Anjoman accounting - refined.xlsx</x:v>
      </x:c>
      <x:c r="B2547" s="53" t="str">
        <x:v>خام_تلگرام</x:v>
      </x:c>
      <x:c r="C2547" s="53" t="str">
        <x:v>D190</x:v>
      </x:c>
      <x:c r="D2547" s="53" t="str">
        <x:v>14 July 2026</x:v>
      </x:c>
      <x:c r="E2547" s="53"/>
    </x:row>
    <x:row r="2548" ht="15" hidden="0" customHeight="1">
      <x:c r="A2548" s="53" t="str">
        <x:v>Anjoman accounting - refined.xlsx</x:v>
      </x:c>
      <x:c r="B2548" s="53" t="str">
        <x:v>خام_تلگرام</x:v>
      </x:c>
      <x:c r="C2548" s="53" t="str">
        <x:v>A191</x:v>
      </x:c>
      <x:c r="D2548" s="53" t="str">
        <x:v>message166</x:v>
      </x:c>
      <x:c r="E2548" s="53"/>
    </x:row>
    <x:row r="2549" ht="15" hidden="0" customHeight="1">
      <x:c r="A2549" s="53" t="str">
        <x:v>Anjoman accounting - refined.xlsx</x:v>
      </x:c>
      <x:c r="B2549" s="53" t="str">
        <x:v>خام_تلگرام</x:v>
      </x:c>
      <x:c r="C2549" s="53" t="str">
        <x:v>D191</x:v>
      </x:c>
      <x:c r="D2549" s="53" t="str">
        <x:v>Deleted invited Physics</x:v>
      </x:c>
      <x:c r="E2549" s="53"/>
    </x:row>
    <x:row r="2550" ht="15" hidden="0" customHeight="1">
      <x:c r="A2550" s="53" t="str">
        <x:v>Anjoman accounting - refined.xlsx</x:v>
      </x:c>
      <x:c r="B2550" s="53" t="str">
        <x:v>خام_دفتر_قبلی</x:v>
      </x:c>
      <x:c r="C2550" s="53" t="str">
        <x:v>A1</x:v>
      </x:c>
      <x:c r="D2550" s="53" t="str">
        <x:v>تصویر خام دفتر قبلی</x:v>
      </x:c>
      <x:c r="E2550" s="53"/>
    </x:row>
    <x:row r="2551" ht="15" hidden="0" customHeight="1">
      <x:c r="A2551" s="53" t="str">
        <x:v>Anjoman accounting - refined.xlsx</x:v>
      </x:c>
      <x:c r="B2551" s="53" t="str">
        <x:v>خام_دفتر_قبلی</x:v>
      </x:c>
      <x:c r="C2551" s="53" t="str">
        <x:v>A2</x:v>
      </x:c>
      <x:c r="D2551" s="53" t="str">
        <x:v>نسخه refined | واحد گزارش: تومان | مبالغ نامطمئن در صف بررسی از جمع تاییدشده حذف می‌شوند.</x:v>
      </x:c>
      <x:c r="E2551" s="53"/>
    </x:row>
    <x:row r="2552" ht="15" hidden="0" customHeight="1">
      <x:c r="A2552" s="53" t="str">
        <x:v>Anjoman accounting - refined.xlsx</x:v>
      </x:c>
      <x:c r="B2552" s="53" t="str">
        <x:v>خام_دفتر_قبلی</x:v>
      </x:c>
      <x:c r="C2552" s="53" t="str">
        <x:v>A3</x:v>
      </x:c>
      <x:c r="D2552" s="53" t="str">
        <x:v>ردیف</x:v>
      </x:c>
      <x:c r="E2552" s="53"/>
    </x:row>
    <x:row r="2553" ht="15" hidden="0" customHeight="1">
      <x:c r="A2553" s="53" t="str">
        <x:v>Anjoman accounting - refined.xlsx</x:v>
      </x:c>
      <x:c r="B2553" s="53" t="str">
        <x:v>خام_دفتر_قبلی</x:v>
      </x:c>
      <x:c r="C2553" s="53" t="str">
        <x:v>B3</x:v>
      </x:c>
      <x:c r="D2553" s="53" t="str">
        <x:v>ستون A</x:v>
      </x:c>
      <x:c r="E2553" s="53"/>
    </x:row>
    <x:row r="2554" ht="15" hidden="0" customHeight="1">
      <x:c r="A2554" s="53" t="str">
        <x:v>Anjoman accounting - refined.xlsx</x:v>
      </x:c>
      <x:c r="B2554" s="53" t="str">
        <x:v>خام_دفتر_قبلی</x:v>
      </x:c>
      <x:c r="C2554" s="53" t="str">
        <x:v>C3</x:v>
      </x:c>
      <x:c r="D2554" s="53" t="str">
        <x:v>ستون B</x:v>
      </x:c>
      <x:c r="E2554" s="53"/>
    </x:row>
    <x:row r="2555" ht="15" hidden="0" customHeight="1">
      <x:c r="A2555" s="53" t="str">
        <x:v>Anjoman accounting - refined.xlsx</x:v>
      </x:c>
      <x:c r="B2555" s="53" t="str">
        <x:v>خام_دفتر_قبلی</x:v>
      </x:c>
      <x:c r="C2555" s="53" t="str">
        <x:v>D3</x:v>
      </x:c>
      <x:c r="D2555" s="53" t="str">
        <x:v>ستون C</x:v>
      </x:c>
      <x:c r="E2555" s="53"/>
    </x:row>
    <x:row r="2556" ht="15" hidden="0" customHeight="1">
      <x:c r="A2556" s="53" t="str">
        <x:v>Anjoman accounting - refined.xlsx</x:v>
      </x:c>
      <x:c r="B2556" s="53" t="str">
        <x:v>خام_دفتر_قبلی</x:v>
      </x:c>
      <x:c r="C2556" s="53" t="str">
        <x:v>E3</x:v>
      </x:c>
      <x:c r="D2556" s="53" t="str">
        <x:v>ستون D</x:v>
      </x:c>
      <x:c r="E2556" s="53"/>
    </x:row>
    <x:row r="2557" ht="15" hidden="0" customHeight="1">
      <x:c r="A2557" s="53" t="str">
        <x:v>Anjoman accounting - refined.xlsx</x:v>
      </x:c>
      <x:c r="B2557" s="53" t="str">
        <x:v>خام_دفتر_قبلی</x:v>
      </x:c>
      <x:c r="C2557" s="53" t="str">
        <x:v>F3</x:v>
      </x:c>
      <x:c r="D2557" s="53" t="str">
        <x:v>ستون E</x:v>
      </x:c>
      <x:c r="E2557" s="53"/>
    </x:row>
    <x:row r="2558" ht="15" hidden="0" customHeight="1">
      <x:c r="A2558" s="53" t="str">
        <x:v>Anjoman accounting - refined.xlsx</x:v>
      </x:c>
      <x:c r="B2558" s="53" t="str">
        <x:v>خام_دفتر_قبلی</x:v>
      </x:c>
      <x:c r="C2558" s="53" t="str">
        <x:v>G3</x:v>
      </x:c>
      <x:c r="D2558" s="53" t="str">
        <x:v>ستون F</x:v>
      </x:c>
      <x:c r="E2558" s="53"/>
    </x:row>
    <x:row r="2559" ht="15" hidden="0" customHeight="1">
      <x:c r="A2559" s="53" t="str">
        <x:v>Anjoman accounting - refined.xlsx</x:v>
      </x:c>
      <x:c r="B2559" s="53" t="str">
        <x:v>خام_دفتر_قبلی</x:v>
      </x:c>
      <x:c r="C2559" s="53" t="str">
        <x:v>H3</x:v>
      </x:c>
      <x:c r="D2559" s="53" t="str">
        <x:v>مقدار محاسبه‌شده A</x:v>
      </x:c>
      <x:c r="E2559" s="53"/>
    </x:row>
    <x:row r="2560" ht="15" hidden="0" customHeight="1">
      <x:c r="A2560" s="53" t="str">
        <x:v>Anjoman accounting - refined.xlsx</x:v>
      </x:c>
      <x:c r="B2560" s="53" t="str">
        <x:v>خام_دفتر_قبلی</x:v>
      </x:c>
      <x:c r="C2560" s="53" t="str">
        <x:v>I3</x:v>
      </x:c>
      <x:c r="D2560" s="53" t="str">
        <x:v>مقدار محاسبه‌شده B</x:v>
      </x:c>
      <x:c r="E2560" s="53"/>
    </x:row>
    <x:row r="2561" ht="15" hidden="0" customHeight="1">
      <x:c r="A2561" s="53" t="str">
        <x:v>Anjoman accounting - refined.xlsx</x:v>
      </x:c>
      <x:c r="B2561" s="53" t="str">
        <x:v>خام_دفتر_قبلی</x:v>
      </x:c>
      <x:c r="C2561" s="53" t="str">
        <x:v>J3</x:v>
      </x:c>
      <x:c r="D2561" s="53" t="str">
        <x:v>مقدار محاسبه‌شده C</x:v>
      </x:c>
      <x:c r="E2561" s="53"/>
    </x:row>
    <x:row r="2562" ht="15" hidden="0" customHeight="1">
      <x:c r="A2562" s="53" t="str">
        <x:v>Anjoman accounting - refined.xlsx</x:v>
      </x:c>
      <x:c r="B2562" s="53" t="str">
        <x:v>خام_دفتر_قبلی</x:v>
      </x:c>
      <x:c r="C2562" s="53" t="str">
        <x:v>K3</x:v>
      </x:c>
      <x:c r="D2562" s="53" t="str">
        <x:v>مقدار محاسبه‌شده D</x:v>
      </x:c>
      <x:c r="E2562" s="53"/>
    </x:row>
    <x:row r="2563" ht="15" hidden="0" customHeight="1">
      <x:c r="A2563" s="53" t="str">
        <x:v>Anjoman accounting - refined.xlsx</x:v>
      </x:c>
      <x:c r="B2563" s="53" t="str">
        <x:v>خام_دفتر_قبلی</x:v>
      </x:c>
      <x:c r="C2563" s="53" t="str">
        <x:v>L3</x:v>
      </x:c>
      <x:c r="D2563" s="53" t="str">
        <x:v>مقدار محاسبه‌شده E</x:v>
      </x:c>
      <x:c r="E2563" s="53"/>
    </x:row>
    <x:row r="2564" ht="15" hidden="0" customHeight="1">
      <x:c r="A2564" s="53" t="str">
        <x:v>Anjoman accounting - refined.xlsx</x:v>
      </x:c>
      <x:c r="B2564" s="53" t="str">
        <x:v>خام_دفتر_قبلی</x:v>
      </x:c>
      <x:c r="C2564" s="53" t="str">
        <x:v>M3</x:v>
      </x:c>
      <x:c r="D2564" s="53" t="str">
        <x:v>مقدار محاسبه‌شده F</x:v>
      </x:c>
      <x:c r="E2564" s="53"/>
    </x:row>
    <x:row r="2565" ht="15" hidden="0" customHeight="1">
      <x:c r="A2565" s="53" t="str">
        <x:v>Anjoman accounting - refined.xlsx</x:v>
      </x:c>
      <x:c r="B2565" s="53" t="str">
        <x:v>خام_دفتر_قبلی</x:v>
      </x:c>
      <x:c r="C2565" s="53" t="str">
        <x:v>A4</x:v>
      </x:c>
      <x:c r="D2565" s="53" t="str">
        <x:v>2</x:v>
      </x:c>
      <x:c r="E2565" s="53"/>
    </x:row>
    <x:row r="2566" ht="15" hidden="0" customHeight="1">
      <x:c r="A2566" s="53" t="str">
        <x:v>Anjoman accounting - refined.xlsx</x:v>
      </x:c>
      <x:c r="B2566" s="53" t="str">
        <x:v>خام_دفتر_قبلی</x:v>
      </x:c>
      <x:c r="C2566" s="53" t="str">
        <x:v>D4</x:v>
      </x:c>
      <x:c r="D2566" s="53" t="str">
        <x:v>مرداد</x:v>
      </x:c>
      <x:c r="E2566" s="53"/>
    </x:row>
    <x:row r="2567" ht="15" hidden="0" customHeight="1">
      <x:c r="A2567" s="53" t="str">
        <x:v>Anjoman accounting - refined.xlsx</x:v>
      </x:c>
      <x:c r="B2567" s="53" t="str">
        <x:v>خام_دفتر_قبلی</x:v>
      </x:c>
      <x:c r="C2567" s="53" t="str">
        <x:v>E4</x:v>
      </x:c>
      <x:c r="D2567" s="53" t="str">
        <x:v>3500000</x:v>
      </x:c>
      <x:c r="E2567" s="53"/>
    </x:row>
    <x:row r="2568" ht="15" hidden="0" customHeight="1">
      <x:c r="A2568" s="53" t="str">
        <x:v>Anjoman accounting - refined.xlsx</x:v>
      </x:c>
      <x:c r="B2568" s="53" t="str">
        <x:v>خام_دفتر_قبلی</x:v>
      </x:c>
      <x:c r="C2568" s="53" t="str">
        <x:v>F4</x:v>
      </x:c>
      <x:c r="D2568" s="53" t="str">
        <x:v>امیرمحمد جوشقانی</x:v>
      </x:c>
      <x:c r="E2568" s="53"/>
    </x:row>
    <x:row r="2569" ht="15" hidden="0" customHeight="1">
      <x:c r="A2569" s="53" t="str">
        <x:v>Anjoman accounting - refined.xlsx</x:v>
      </x:c>
      <x:c r="B2569" s="53" t="str">
        <x:v>خام_دفتر_قبلی</x:v>
      </x:c>
      <x:c r="C2569" s="53" t="str">
        <x:v>G4</x:v>
      </x:c>
      <x:c r="D2569" s="53" t="str">
        <x:v>حق التدریس دوره پایتون</x:v>
      </x:c>
      <x:c r="E2569" s="53"/>
    </x:row>
    <x:row r="2570" ht="15" hidden="0" customHeight="1">
      <x:c r="A2570" s="53" t="str">
        <x:v>Anjoman accounting - refined.xlsx</x:v>
      </x:c>
      <x:c r="B2570" s="53" t="str">
        <x:v>خام_دفتر_قبلی</x:v>
      </x:c>
      <x:c r="C2570" s="53" t="str">
        <x:v>J4</x:v>
      </x:c>
      <x:c r="D2570" s="53" t="str">
        <x:v>مرداد</x:v>
      </x:c>
      <x:c r="E2570" s="53"/>
    </x:row>
    <x:row r="2571" ht="15" hidden="0" customHeight="1">
      <x:c r="A2571" s="53" t="str">
        <x:v>Anjoman accounting - refined.xlsx</x:v>
      </x:c>
      <x:c r="B2571" s="53" t="str">
        <x:v>خام_دفتر_قبلی</x:v>
      </x:c>
      <x:c r="C2571" s="53" t="str">
        <x:v>K4</x:v>
      </x:c>
      <x:c r="D2571" s="53" t="str">
        <x:v>3500000</x:v>
      </x:c>
      <x:c r="E2571" s="53"/>
    </x:row>
    <x:row r="2572" ht="15" hidden="0" customHeight="1">
      <x:c r="A2572" s="53" t="str">
        <x:v>Anjoman accounting - refined.xlsx</x:v>
      </x:c>
      <x:c r="B2572" s="53" t="str">
        <x:v>خام_دفتر_قبلی</x:v>
      </x:c>
      <x:c r="C2572" s="53" t="str">
        <x:v>L4</x:v>
      </x:c>
      <x:c r="D2572" s="53" t="str">
        <x:v>امیرمحمد جوشقانی</x:v>
      </x:c>
      <x:c r="E2572" s="53"/>
    </x:row>
    <x:row r="2573" ht="15" hidden="0" customHeight="1">
      <x:c r="A2573" s="53" t="str">
        <x:v>Anjoman accounting - refined.xlsx</x:v>
      </x:c>
      <x:c r="B2573" s="53" t="str">
        <x:v>خام_دفتر_قبلی</x:v>
      </x:c>
      <x:c r="C2573" s="53" t="str">
        <x:v>M4</x:v>
      </x:c>
      <x:c r="D2573" s="53" t="str">
        <x:v>حق التدریس دوره پایتون</x:v>
      </x:c>
      <x:c r="E2573" s="53"/>
    </x:row>
    <x:row r="2574" ht="15" hidden="0" customHeight="1">
      <x:c r="A2574" s="53" t="str">
        <x:v>Anjoman accounting - refined.xlsx</x:v>
      </x:c>
      <x:c r="B2574" s="53" t="str">
        <x:v>خام_دفتر_قبلی</x:v>
      </x:c>
      <x:c r="C2574" s="53" t="str">
        <x:v>A5</x:v>
      </x:c>
      <x:c r="D2574" s="53" t="str">
        <x:v>3</x:v>
      </x:c>
      <x:c r="E2574" s="53"/>
    </x:row>
    <x:row r="2575" ht="15" hidden="0" customHeight="1">
      <x:c r="A2575" s="53" t="str">
        <x:v>Anjoman accounting - refined.xlsx</x:v>
      </x:c>
      <x:c r="B2575" s="53" t="str">
        <x:v>خام_دفتر_قبلی</x:v>
      </x:c>
      <x:c r="C2575" s="53" t="str">
        <x:v>B5</x:v>
      </x:c>
      <x:c r="D2575" s="53" t="str">
        <x:v>مدرسه تابستانه</x:v>
      </x:c>
      <x:c r="E2575" s="53"/>
    </x:row>
    <x:row r="2576" ht="15" hidden="0" customHeight="1">
      <x:c r="A2576" s="53" t="str">
        <x:v>Anjoman accounting - refined.xlsx</x:v>
      </x:c>
      <x:c r="B2576" s="53" t="str">
        <x:v>خام_دفتر_قبلی</x:v>
      </x:c>
      <x:c r="C2576" s="53" t="str">
        <x:v>C5</x:v>
      </x:c>
      <x:c r="D2576" s="53" t="str">
        <x:v>33642000</x:v>
      </x:c>
      <x:c r="E2576" s="53"/>
    </x:row>
    <x:row r="2577" ht="15" hidden="0" customHeight="1">
      <x:c r="A2577" s="53" t="str">
        <x:v>Anjoman accounting - refined.xlsx</x:v>
      </x:c>
      <x:c r="B2577" s="53" t="str">
        <x:v>خام_دفتر_قبلی</x:v>
      </x:c>
      <x:c r="C2577" s="53" t="str">
        <x:v>E5</x:v>
      </x:c>
      <x:c r="D2577" s="53" t="str">
        <x:v>3000000</x:v>
      </x:c>
      <x:c r="E2577" s="53"/>
    </x:row>
    <x:row r="2578" ht="15" hidden="0" customHeight="1">
      <x:c r="A2578" s="53" t="str">
        <x:v>Anjoman accounting - refined.xlsx</x:v>
      </x:c>
      <x:c r="B2578" s="53" t="str">
        <x:v>خام_دفتر_قبلی</x:v>
      </x:c>
      <x:c r="C2578" s="53" t="str">
        <x:v>F5</x:v>
      </x:c>
      <x:c r="D2578" s="53" t="str">
        <x:v>سهراب ملکی</x:v>
      </x:c>
      <x:c r="E2578" s="53"/>
    </x:row>
    <x:row r="2579" ht="15" hidden="0" customHeight="1">
      <x:c r="A2579" s="53" t="str">
        <x:v>Anjoman accounting - refined.xlsx</x:v>
      </x:c>
      <x:c r="B2579" s="53" t="str">
        <x:v>خام_دفتر_قبلی</x:v>
      </x:c>
      <x:c r="C2579" s="53" t="str">
        <x:v>G5</x:v>
      </x:c>
      <x:c r="D2579" s="53" t="str">
        <x:v>حق التدریس دوره Mathemathica</x:v>
      </x:c>
      <x:c r="E2579" s="53"/>
    </x:row>
    <x:row r="2580" ht="15" hidden="0" customHeight="1">
      <x:c r="A2580" s="53" t="str">
        <x:v>Anjoman accounting - refined.xlsx</x:v>
      </x:c>
      <x:c r="B2580" s="53" t="str">
        <x:v>خام_دفتر_قبلی</x:v>
      </x:c>
      <x:c r="C2580" s="53" t="str">
        <x:v>H5</x:v>
      </x:c>
      <x:c r="D2580" s="53" t="str">
        <x:v>مدرسه تابستانه</x:v>
      </x:c>
      <x:c r="E2580" s="53"/>
    </x:row>
    <x:row r="2581" ht="15" hidden="0" customHeight="1">
      <x:c r="A2581" s="53" t="str">
        <x:v>Anjoman accounting - refined.xlsx</x:v>
      </x:c>
      <x:c r="B2581" s="53" t="str">
        <x:v>خام_دفتر_قبلی</x:v>
      </x:c>
      <x:c r="C2581" s="53" t="str">
        <x:v>I5</x:v>
      </x:c>
      <x:c r="D2581" s="53" t="str">
        <x:v>33642000</x:v>
      </x:c>
      <x:c r="E2581" s="53"/>
    </x:row>
    <x:row r="2582" ht="15" hidden="0" customHeight="1">
      <x:c r="A2582" s="53" t="str">
        <x:v>Anjoman accounting - refined.xlsx</x:v>
      </x:c>
      <x:c r="B2582" s="53" t="str">
        <x:v>خام_دفتر_قبلی</x:v>
      </x:c>
      <x:c r="C2582" s="53" t="str">
        <x:v>K5</x:v>
      </x:c>
      <x:c r="D2582" s="53" t="str">
        <x:v>3000000</x:v>
      </x:c>
      <x:c r="E2582" s="53"/>
    </x:row>
    <x:row r="2583" ht="15" hidden="0" customHeight="1">
      <x:c r="A2583" s="53" t="str">
        <x:v>Anjoman accounting - refined.xlsx</x:v>
      </x:c>
      <x:c r="B2583" s="53" t="str">
        <x:v>خام_دفتر_قبلی</x:v>
      </x:c>
      <x:c r="C2583" s="53" t="str">
        <x:v>L5</x:v>
      </x:c>
      <x:c r="D2583" s="53" t="str">
        <x:v>سهراب ملکی</x:v>
      </x:c>
      <x:c r="E2583" s="53"/>
    </x:row>
    <x:row r="2584" ht="15" hidden="0" customHeight="1">
      <x:c r="A2584" s="53" t="str">
        <x:v>Anjoman accounting - refined.xlsx</x:v>
      </x:c>
      <x:c r="B2584" s="53" t="str">
        <x:v>خام_دفتر_قبلی</x:v>
      </x:c>
      <x:c r="C2584" s="53" t="str">
        <x:v>M5</x:v>
      </x:c>
      <x:c r="D2584" s="53" t="str">
        <x:v>حق التدریس دوره Mathemathica</x:v>
      </x:c>
      <x:c r="E2584" s="53"/>
    </x:row>
    <x:row r="2585" ht="15" hidden="0" customHeight="1">
      <x:c r="A2585" s="53" t="str">
        <x:v>Anjoman accounting - refined.xlsx</x:v>
      </x:c>
      <x:c r="B2585" s="53" t="str">
        <x:v>خام_دفتر_قبلی</x:v>
      </x:c>
      <x:c r="C2585" s="53" t="str">
        <x:v>A6</x:v>
      </x:c>
      <x:c r="D2585" s="53" t="str">
        <x:v>4</x:v>
      </x:c>
      <x:c r="E2585" s="53"/>
    </x:row>
    <x:row r="2586" ht="15" hidden="0" customHeight="1">
      <x:c r="A2586" s="53" t="str">
        <x:v>Anjoman accounting - refined.xlsx</x:v>
      </x:c>
      <x:c r="B2586" s="53" t="str">
        <x:v>خام_دفتر_قبلی</x:v>
      </x:c>
      <x:c r="C2586" s="53" t="str">
        <x:v>E6</x:v>
      </x:c>
      <x:c r="D2586" s="53" t="str">
        <x:v>3700000</x:v>
      </x:c>
      <x:c r="E2586" s="53"/>
    </x:row>
    <x:row r="2587" ht="15" hidden="0" customHeight="1">
      <x:c r="A2587" s="53" t="str">
        <x:v>Anjoman accounting - refined.xlsx</x:v>
      </x:c>
      <x:c r="B2587" s="53" t="str">
        <x:v>خام_دفتر_قبلی</x:v>
      </x:c>
      <x:c r="C2587" s="53" t="str">
        <x:v>F6</x:v>
      </x:c>
      <x:c r="D2587" s="53" t="str">
        <x:v>متین جوکار</x:v>
      </x:c>
      <x:c r="E2587" s="53"/>
    </x:row>
    <x:row r="2588" ht="15" hidden="0" customHeight="1">
      <x:c r="A2588" s="53" t="str">
        <x:v>Anjoman accounting - refined.xlsx</x:v>
      </x:c>
      <x:c r="B2588" s="53" t="str">
        <x:v>خام_دفتر_قبلی</x:v>
      </x:c>
      <x:c r="C2588" s="53" t="str">
        <x:v>G6</x:v>
      </x:c>
      <x:c r="D2588" s="53" t="str">
        <x:v>حق التدریس دوره Latex</x:v>
      </x:c>
      <x:c r="E2588" s="53"/>
    </x:row>
    <x:row r="2589" ht="15" hidden="0" customHeight="1">
      <x:c r="A2589" s="53" t="str">
        <x:v>Anjoman accounting - refined.xlsx</x:v>
      </x:c>
      <x:c r="B2589" s="53" t="str">
        <x:v>خام_دفتر_قبلی</x:v>
      </x:c>
      <x:c r="C2589" s="53" t="str">
        <x:v>K6</x:v>
      </x:c>
      <x:c r="D2589" s="53" t="str">
        <x:v>3700000</x:v>
      </x:c>
      <x:c r="E2589" s="53"/>
    </x:row>
    <x:row r="2590" ht="15" hidden="0" customHeight="1">
      <x:c r="A2590" s="53" t="str">
        <x:v>Anjoman accounting - refined.xlsx</x:v>
      </x:c>
      <x:c r="B2590" s="53" t="str">
        <x:v>خام_دفتر_قبلی</x:v>
      </x:c>
      <x:c r="C2590" s="53" t="str">
        <x:v>L6</x:v>
      </x:c>
      <x:c r="D2590" s="53" t="str">
        <x:v>متین جوکار</x:v>
      </x:c>
      <x:c r="E2590" s="53"/>
    </x:row>
    <x:row r="2591" ht="15" hidden="0" customHeight="1">
      <x:c r="A2591" s="53" t="str">
        <x:v>Anjoman accounting - refined.xlsx</x:v>
      </x:c>
      <x:c r="B2591" s="53" t="str">
        <x:v>خام_دفتر_قبلی</x:v>
      </x:c>
      <x:c r="C2591" s="53" t="str">
        <x:v>M6</x:v>
      </x:c>
      <x:c r="D2591" s="53" t="str">
        <x:v>حق التدریس دوره Latex</x:v>
      </x:c>
      <x:c r="E2591" s="53"/>
    </x:row>
    <x:row r="2592" ht="15" hidden="0" customHeight="1">
      <x:c r="A2592" s="53" t="str">
        <x:v>Anjoman accounting - refined.xlsx</x:v>
      </x:c>
      <x:c r="B2592" s="53" t="str">
        <x:v>خام_دفتر_قبلی</x:v>
      </x:c>
      <x:c r="C2592" s="53" t="str">
        <x:v>A7</x:v>
      </x:c>
      <x:c r="D2592" s="53" t="str">
        <x:v>5</x:v>
      </x:c>
      <x:c r="E2592" s="53"/>
    </x:row>
    <x:row r="2593" ht="15" hidden="0" customHeight="1">
      <x:c r="A2593" s="53" t="str">
        <x:v>Anjoman accounting - refined.xlsx</x:v>
      </x:c>
      <x:c r="B2593" s="53" t="str">
        <x:v>خام_دفتر_قبلی</x:v>
      </x:c>
      <x:c r="C2593" s="53" t="str">
        <x:v>E7</x:v>
      </x:c>
      <x:c r="D2593" s="53" t="str">
        <x:v>500000</x:v>
      </x:c>
      <x:c r="E2593" s="53"/>
    </x:row>
    <x:row r="2594" ht="15" hidden="0" customHeight="1">
      <x:c r="A2594" s="53" t="str">
        <x:v>Anjoman accounting - refined.xlsx</x:v>
      </x:c>
      <x:c r="B2594" s="53" t="str">
        <x:v>خام_دفتر_قبلی</x:v>
      </x:c>
      <x:c r="C2594" s="53" t="str">
        <x:v>F7</x:v>
      </x:c>
      <x:c r="D2594" s="53" t="str">
        <x:v>ابراهیم خسروانی</x:v>
      </x:c>
      <x:c r="E2594" s="53"/>
    </x:row>
    <x:row r="2595" ht="15" hidden="0" customHeight="1">
      <x:c r="A2595" s="53" t="str">
        <x:v>Anjoman accounting - refined.xlsx</x:v>
      </x:c>
      <x:c r="B2595" s="53" t="str">
        <x:v>خام_دفتر_قبلی</x:v>
      </x:c>
      <x:c r="C2595" s="53" t="str">
        <x:v>G7</x:v>
      </x:c>
      <x:c r="D2595" s="53" t="str">
        <x:v>TA، فرم و شیت مدرسه تابستانه</x:v>
      </x:c>
      <x:c r="E2595" s="53"/>
    </x:row>
    <x:row r="2596" ht="15" hidden="0" customHeight="1">
      <x:c r="A2596" s="53" t="str">
        <x:v>Anjoman accounting - refined.xlsx</x:v>
      </x:c>
      <x:c r="B2596" s="53" t="str">
        <x:v>خام_دفتر_قبلی</x:v>
      </x:c>
      <x:c r="C2596" s="53" t="str">
        <x:v>K7</x:v>
      </x:c>
      <x:c r="D2596" s="53" t="str">
        <x:v>500000</x:v>
      </x:c>
      <x:c r="E2596" s="53"/>
    </x:row>
    <x:row r="2597" ht="15" hidden="0" customHeight="1">
      <x:c r="A2597" s="53" t="str">
        <x:v>Anjoman accounting - refined.xlsx</x:v>
      </x:c>
      <x:c r="B2597" s="53" t="str">
        <x:v>خام_دفتر_قبلی</x:v>
      </x:c>
      <x:c r="C2597" s="53" t="str">
        <x:v>L7</x:v>
      </x:c>
      <x:c r="D2597" s="53" t="str">
        <x:v>ابراهیم خسروانی</x:v>
      </x:c>
      <x:c r="E2597" s="53"/>
    </x:row>
    <x:row r="2598" ht="15" hidden="0" customHeight="1">
      <x:c r="A2598" s="53" t="str">
        <x:v>Anjoman accounting - refined.xlsx</x:v>
      </x:c>
      <x:c r="B2598" s="53" t="str">
        <x:v>خام_دفتر_قبلی</x:v>
      </x:c>
      <x:c r="C2598" s="53" t="str">
        <x:v>M7</x:v>
      </x:c>
      <x:c r="D2598" s="53" t="str">
        <x:v>TA، فرم و شیت مدرسه تابستانه</x:v>
      </x:c>
      <x:c r="E2598" s="53"/>
    </x:row>
    <x:row r="2599" ht="15" hidden="0" customHeight="1">
      <x:c r="A2599" s="53" t="str">
        <x:v>Anjoman accounting - refined.xlsx</x:v>
      </x:c>
      <x:c r="B2599" s="53" t="str">
        <x:v>خام_دفتر_قبلی</x:v>
      </x:c>
      <x:c r="C2599" s="53" t="str">
        <x:v>A8</x:v>
      </x:c>
      <x:c r="D2599" s="53" t="str">
        <x:v>6</x:v>
      </x:c>
      <x:c r="E2599" s="53"/>
    </x:row>
    <x:row r="2600" ht="15" hidden="0" customHeight="1">
      <x:c r="A2600" s="53" t="str">
        <x:v>Anjoman accounting - refined.xlsx</x:v>
      </x:c>
      <x:c r="B2600" s="53" t="str">
        <x:v>خام_دفتر_قبلی</x:v>
      </x:c>
      <x:c r="C2600" s="53" t="str">
        <x:v>E8</x:v>
      </x:c>
      <x:c r="D2600" s="53" t="str">
        <x:v>600000</x:v>
      </x:c>
      <x:c r="E2600" s="53"/>
    </x:row>
    <x:row r="2601" ht="15" hidden="0" customHeight="1">
      <x:c r="A2601" s="53" t="str">
        <x:v>Anjoman accounting - refined.xlsx</x:v>
      </x:c>
      <x:c r="B2601" s="53" t="str">
        <x:v>خام_دفتر_قبلی</x:v>
      </x:c>
      <x:c r="C2601" s="53" t="str">
        <x:v>F8</x:v>
      </x:c>
      <x:c r="D2601" s="53" t="str">
        <x:v>سپهر طلایی</x:v>
      </x:c>
      <x:c r="E2601" s="53"/>
    </x:row>
    <x:row r="2602" ht="15" hidden="0" customHeight="1">
      <x:c r="A2602" s="53" t="str">
        <x:v>Anjoman accounting - refined.xlsx</x:v>
      </x:c>
      <x:c r="B2602" s="53" t="str">
        <x:v>خام_دفتر_قبلی</x:v>
      </x:c>
      <x:c r="C2602" s="53" t="str">
        <x:v>G8</x:v>
      </x:c>
      <x:c r="D2602" s="53" t="str">
        <x:v>TA پایتون، پشتیبانی ثبت نام</x:v>
      </x:c>
      <x:c r="E2602" s="53"/>
    </x:row>
    <x:row r="2603" ht="15" hidden="0" customHeight="1">
      <x:c r="A2603" s="53" t="str">
        <x:v>Anjoman accounting - refined.xlsx</x:v>
      </x:c>
      <x:c r="B2603" s="53" t="str">
        <x:v>خام_دفتر_قبلی</x:v>
      </x:c>
      <x:c r="C2603" s="53" t="str">
        <x:v>K8</x:v>
      </x:c>
      <x:c r="D2603" s="53" t="str">
        <x:v>600000</x:v>
      </x:c>
      <x:c r="E2603" s="53"/>
    </x:row>
    <x:row r="2604" ht="15" hidden="0" customHeight="1">
      <x:c r="A2604" s="53" t="str">
        <x:v>Anjoman accounting - refined.xlsx</x:v>
      </x:c>
      <x:c r="B2604" s="53" t="str">
        <x:v>خام_دفتر_قبلی</x:v>
      </x:c>
      <x:c r="C2604" s="53" t="str">
        <x:v>L8</x:v>
      </x:c>
      <x:c r="D2604" s="53" t="str">
        <x:v>سپهر طلایی</x:v>
      </x:c>
      <x:c r="E2604" s="53"/>
    </x:row>
    <x:row r="2605" ht="15" hidden="0" customHeight="1">
      <x:c r="A2605" s="53" t="str">
        <x:v>Anjoman accounting - refined.xlsx</x:v>
      </x:c>
      <x:c r="B2605" s="53" t="str">
        <x:v>خام_دفتر_قبلی</x:v>
      </x:c>
      <x:c r="C2605" s="53" t="str">
        <x:v>M8</x:v>
      </x:c>
      <x:c r="D2605" s="53" t="str">
        <x:v>TA پایتون، پشتیبانی ثبت نام</x:v>
      </x:c>
      <x:c r="E2605" s="53"/>
    </x:row>
    <x:row r="2606" ht="15" hidden="0" customHeight="1">
      <x:c r="A2606" s="53" t="str">
        <x:v>Anjoman accounting - refined.xlsx</x:v>
      </x:c>
      <x:c r="B2606" s="53" t="str">
        <x:v>خام_دفتر_قبلی</x:v>
      </x:c>
      <x:c r="C2606" s="53" t="str">
        <x:v>A9</x:v>
      </x:c>
      <x:c r="D2606" s="53" t="str">
        <x:v>7</x:v>
      </x:c>
      <x:c r="E2606" s="53"/>
    </x:row>
    <x:row r="2607" ht="15" hidden="0" customHeight="1">
      <x:c r="A2607" s="53" t="str">
        <x:v>Anjoman accounting - refined.xlsx</x:v>
      </x:c>
      <x:c r="B2607" s="53" t="str">
        <x:v>خام_دفتر_قبلی</x:v>
      </x:c>
      <x:c r="C2607" s="53" t="str">
        <x:v>E9</x:v>
      </x:c>
      <x:c r="D2607" s="53" t="str">
        <x:v>600000</x:v>
      </x:c>
      <x:c r="E2607" s="53"/>
    </x:row>
    <x:row r="2608" ht="15" hidden="0" customHeight="1">
      <x:c r="A2608" s="53" t="str">
        <x:v>Anjoman accounting - refined.xlsx</x:v>
      </x:c>
      <x:c r="B2608" s="53" t="str">
        <x:v>خام_دفتر_قبلی</x:v>
      </x:c>
      <x:c r="C2608" s="53" t="str">
        <x:v>F9</x:v>
      </x:c>
      <x:c r="D2608" s="53" t="str">
        <x:v>محمدامین عزیزی</x:v>
      </x:c>
      <x:c r="E2608" s="53"/>
    </x:row>
    <x:row r="2609" ht="15" hidden="0" customHeight="1">
      <x:c r="A2609" s="53" t="str">
        <x:v>Anjoman accounting - refined.xlsx</x:v>
      </x:c>
      <x:c r="B2609" s="53" t="str">
        <x:v>خام_دفتر_قبلی</x:v>
      </x:c>
      <x:c r="C2609" s="53" t="str">
        <x:v>G9</x:v>
      </x:c>
      <x:c r="D2609" s="53" t="str">
        <x:v>TA پایتون، پشتیبانی ثبت نام، حسابداری مدرسه</x:v>
      </x:c>
      <x:c r="E2609" s="53"/>
    </x:row>
    <x:row r="2610" ht="15" hidden="0" customHeight="1">
      <x:c r="A2610" s="53" t="str">
        <x:v>Anjoman accounting - refined.xlsx</x:v>
      </x:c>
      <x:c r="B2610" s="53" t="str">
        <x:v>خام_دفتر_قبلی</x:v>
      </x:c>
      <x:c r="C2610" s="53" t="str">
        <x:v>K9</x:v>
      </x:c>
      <x:c r="D2610" s="53" t="str">
        <x:v>600000</x:v>
      </x:c>
      <x:c r="E2610" s="53"/>
    </x:row>
    <x:row r="2611" ht="15" hidden="0" customHeight="1">
      <x:c r="A2611" s="53" t="str">
        <x:v>Anjoman accounting - refined.xlsx</x:v>
      </x:c>
      <x:c r="B2611" s="53" t="str">
        <x:v>خام_دفتر_قبلی</x:v>
      </x:c>
      <x:c r="C2611" s="53" t="str">
        <x:v>L9</x:v>
      </x:c>
      <x:c r="D2611" s="53" t="str">
        <x:v>محمدامین عزیزی</x:v>
      </x:c>
      <x:c r="E2611" s="53"/>
    </x:row>
    <x:row r="2612" ht="15" hidden="0" customHeight="1">
      <x:c r="A2612" s="53" t="str">
        <x:v>Anjoman accounting - refined.xlsx</x:v>
      </x:c>
      <x:c r="B2612" s="53" t="str">
        <x:v>خام_دفتر_قبلی</x:v>
      </x:c>
      <x:c r="C2612" s="53" t="str">
        <x:v>M9</x:v>
      </x:c>
      <x:c r="D2612" s="53" t="str">
        <x:v>TA پایتون، پشتیبانی ثبت نام، حسابداری مدرسه</x:v>
      </x:c>
      <x:c r="E2612" s="53"/>
    </x:row>
    <x:row r="2613" ht="15" hidden="0" customHeight="1">
      <x:c r="A2613" s="53" t="str">
        <x:v>Anjoman accounting - refined.xlsx</x:v>
      </x:c>
      <x:c r="B2613" s="53" t="str">
        <x:v>خام_دفتر_قبلی</x:v>
      </x:c>
      <x:c r="C2613" s="53" t="str">
        <x:v>A10</x:v>
      </x:c>
      <x:c r="D2613" s="53" t="str">
        <x:v>8</x:v>
      </x:c>
      <x:c r="E2613" s="53"/>
    </x:row>
    <x:row r="2614" ht="15" hidden="0" customHeight="1">
      <x:c r="A2614" s="53" t="str">
        <x:v>Anjoman accounting - refined.xlsx</x:v>
      </x:c>
      <x:c r="B2614" s="53" t="str">
        <x:v>خام_دفتر_قبلی</x:v>
      </x:c>
      <x:c r="C2614" s="53" t="str">
        <x:v>E10</x:v>
      </x:c>
      <x:c r="D2614" s="53" t="str">
        <x:v>300000</x:v>
      </x:c>
      <x:c r="E2614" s="53"/>
    </x:row>
    <x:row r="2615" ht="15" hidden="0" customHeight="1">
      <x:c r="A2615" s="53" t="str">
        <x:v>Anjoman accounting - refined.xlsx</x:v>
      </x:c>
      <x:c r="B2615" s="53" t="str">
        <x:v>خام_دفتر_قبلی</x:v>
      </x:c>
      <x:c r="C2615" s="53" t="str">
        <x:v>F10</x:v>
      </x:c>
      <x:c r="D2615" s="53" t="str">
        <x:v>متین جوکار</x:v>
      </x:c>
      <x:c r="E2615" s="53"/>
    </x:row>
    <x:row r="2616" ht="15" hidden="0" customHeight="1">
      <x:c r="A2616" s="53" t="str">
        <x:v>Anjoman accounting - refined.xlsx</x:v>
      </x:c>
      <x:c r="B2616" s="53" t="str">
        <x:v>خام_دفتر_قبلی</x:v>
      </x:c>
      <x:c r="C2616" s="53" t="str">
        <x:v>G10</x:v>
      </x:c>
      <x:c r="D2616" s="53" t="str">
        <x:v>ضبط جبرانی جلسه3 لتک</x:v>
      </x:c>
      <x:c r="E2616" s="53"/>
    </x:row>
    <x:row r="2617" ht="15" hidden="0" customHeight="1">
      <x:c r="A2617" s="53" t="str">
        <x:v>Anjoman accounting - refined.xlsx</x:v>
      </x:c>
      <x:c r="B2617" s="53" t="str">
        <x:v>خام_دفتر_قبلی</x:v>
      </x:c>
      <x:c r="C2617" s="53" t="str">
        <x:v>K10</x:v>
      </x:c>
      <x:c r="D2617" s="53" t="str">
        <x:v>300000</x:v>
      </x:c>
      <x:c r="E2617" s="53"/>
    </x:row>
    <x:row r="2618" ht="15" hidden="0" customHeight="1">
      <x:c r="A2618" s="53" t="str">
        <x:v>Anjoman accounting - refined.xlsx</x:v>
      </x:c>
      <x:c r="B2618" s="53" t="str">
        <x:v>خام_دفتر_قبلی</x:v>
      </x:c>
      <x:c r="C2618" s="53" t="str">
        <x:v>L10</x:v>
      </x:c>
      <x:c r="D2618" s="53" t="str">
        <x:v>متین جوکار</x:v>
      </x:c>
      <x:c r="E2618" s="53"/>
    </x:row>
    <x:row r="2619" ht="15" hidden="0" customHeight="1">
      <x:c r="A2619" s="53" t="str">
        <x:v>Anjoman accounting - refined.xlsx</x:v>
      </x:c>
      <x:c r="B2619" s="53" t="str">
        <x:v>خام_دفتر_قبلی</x:v>
      </x:c>
      <x:c r="C2619" s="53" t="str">
        <x:v>M10</x:v>
      </x:c>
      <x:c r="D2619" s="53" t="str">
        <x:v>ضبط جبرانی جلسه3 لتک</x:v>
      </x:c>
      <x:c r="E2619" s="53"/>
    </x:row>
    <x:row r="2620" ht="15" hidden="0" customHeight="1">
      <x:c r="A2620" s="53" t="str">
        <x:v>Anjoman accounting - refined.xlsx</x:v>
      </x:c>
      <x:c r="B2620" s="53" t="str">
        <x:v>خام_دفتر_قبلی</x:v>
      </x:c>
      <x:c r="C2620" s="53" t="str">
        <x:v>A11</x:v>
      </x:c>
      <x:c r="D2620" s="53" t="str">
        <x:v>9</x:v>
      </x:c>
      <x:c r="E2620" s="53"/>
    </x:row>
    <x:row r="2621" ht="15" hidden="0" customHeight="1">
      <x:c r="A2621" s="53" t="str">
        <x:v>Anjoman accounting - refined.xlsx</x:v>
      </x:c>
      <x:c r="B2621" s="53" t="str">
        <x:v>خام_دفتر_قبلی</x:v>
      </x:c>
      <x:c r="C2621" s="53" t="str">
        <x:v>E11</x:v>
      </x:c>
      <x:c r="D2621" s="53" t="str">
        <x:v>400000</x:v>
      </x:c>
      <x:c r="E2621" s="53"/>
    </x:row>
    <x:row r="2622" ht="15" hidden="0" customHeight="1">
      <x:c r="A2622" s="53" t="str">
        <x:v>Anjoman accounting - refined.xlsx</x:v>
      </x:c>
      <x:c r="B2622" s="53" t="str">
        <x:v>خام_دفتر_قبلی</x:v>
      </x:c>
      <x:c r="C2622" s="53" t="str">
        <x:v>F11</x:v>
      </x:c>
      <x:c r="D2622" s="53" t="str">
        <x:v>محمدحسین مشک افشان</x:v>
      </x:c>
      <x:c r="E2622" s="53"/>
    </x:row>
    <x:row r="2623" ht="15" hidden="0" customHeight="1">
      <x:c r="A2623" s="53" t="str">
        <x:v>Anjoman accounting - refined.xlsx</x:v>
      </x:c>
      <x:c r="B2623" s="53" t="str">
        <x:v>خام_دفتر_قبلی</x:v>
      </x:c>
      <x:c r="C2623" s="53" t="str">
        <x:v>G11</x:v>
      </x:c>
      <x:c r="D2623" s="53" t="str">
        <x:v>تبلیغ مدرسه تابستانه در مهمات شریف</x:v>
      </x:c>
      <x:c r="E2623" s="53"/>
    </x:row>
    <x:row r="2624" ht="15" hidden="0" customHeight="1">
      <x:c r="A2624" s="53" t="str">
        <x:v>Anjoman accounting - refined.xlsx</x:v>
      </x:c>
      <x:c r="B2624" s="53" t="str">
        <x:v>خام_دفتر_قبلی</x:v>
      </x:c>
      <x:c r="C2624" s="53" t="str">
        <x:v>K11</x:v>
      </x:c>
      <x:c r="D2624" s="53" t="str">
        <x:v>400000</x:v>
      </x:c>
      <x:c r="E2624" s="53"/>
    </x:row>
    <x:row r="2625" ht="15" hidden="0" customHeight="1">
      <x:c r="A2625" s="53" t="str">
        <x:v>Anjoman accounting - refined.xlsx</x:v>
      </x:c>
      <x:c r="B2625" s="53" t="str">
        <x:v>خام_دفتر_قبلی</x:v>
      </x:c>
      <x:c r="C2625" s="53" t="str">
        <x:v>L11</x:v>
      </x:c>
      <x:c r="D2625" s="53" t="str">
        <x:v>محمدحسین مشک افشان</x:v>
      </x:c>
      <x:c r="E2625" s="53"/>
    </x:row>
    <x:row r="2626" ht="15" hidden="0" customHeight="1">
      <x:c r="A2626" s="53" t="str">
        <x:v>Anjoman accounting - refined.xlsx</x:v>
      </x:c>
      <x:c r="B2626" s="53" t="str">
        <x:v>خام_دفتر_قبلی</x:v>
      </x:c>
      <x:c r="C2626" s="53" t="str">
        <x:v>M11</x:v>
      </x:c>
      <x:c r="D2626" s="53" t="str">
        <x:v>تبلیغ مدرسه تابستانه در مهمات شریف</x:v>
      </x:c>
      <x:c r="E2626" s="53"/>
    </x:row>
    <x:row r="2627" ht="15" hidden="0" customHeight="1">
      <x:c r="A2627" s="53" t="str">
        <x:v>Anjoman accounting - refined.xlsx</x:v>
      </x:c>
      <x:c r="B2627" s="53" t="str">
        <x:v>خام_دفتر_قبلی</x:v>
      </x:c>
      <x:c r="C2627" s="53" t="str">
        <x:v>A12</x:v>
      </x:c>
      <x:c r="D2627" s="53" t="str">
        <x:v>10</x:v>
      </x:c>
      <x:c r="E2627" s="53"/>
    </x:row>
    <x:row r="2628" ht="15" hidden="0" customHeight="1">
      <x:c r="A2628" s="53" t="str">
        <x:v>Anjoman accounting - refined.xlsx</x:v>
      </x:c>
      <x:c r="B2628" s="53" t="str">
        <x:v>خام_دفتر_قبلی</x:v>
      </x:c>
      <x:c r="C2628" s="53" t="str">
        <x:v>E12</x:v>
      </x:c>
      <x:c r="D2628" s="53" t="str">
        <x:v>300000</x:v>
      </x:c>
      <x:c r="E2628" s="53"/>
    </x:row>
    <x:row r="2629" ht="15" hidden="0" customHeight="1">
      <x:c r="A2629" s="53" t="str">
        <x:v>Anjoman accounting - refined.xlsx</x:v>
      </x:c>
      <x:c r="B2629" s="53" t="str">
        <x:v>خام_دفتر_قبلی</x:v>
      </x:c>
      <x:c r="C2629" s="53" t="str">
        <x:v>F12</x:v>
      </x:c>
      <x:c r="D2629" s="53" t="str">
        <x:v>امیرمحمد جوشقانی</x:v>
      </x:c>
      <x:c r="E2629" s="53"/>
    </x:row>
    <x:row r="2630" ht="15" hidden="0" customHeight="1">
      <x:c r="A2630" s="53" t="str">
        <x:v>Anjoman accounting - refined.xlsx</x:v>
      </x:c>
      <x:c r="B2630" s="53" t="str">
        <x:v>خام_دفتر_قبلی</x:v>
      </x:c>
      <x:c r="C2630" s="53" t="str">
        <x:v>G12</x:v>
      </x:c>
      <x:c r="D2630" s="53" t="str">
        <x:v>ضبط جبرانی جلسه4 پایتون</x:v>
      </x:c>
      <x:c r="E2630" s="53"/>
    </x:row>
    <x:row r="2631" ht="15" hidden="0" customHeight="1">
      <x:c r="A2631" s="53" t="str">
        <x:v>Anjoman accounting - refined.xlsx</x:v>
      </x:c>
      <x:c r="B2631" s="53" t="str">
        <x:v>خام_دفتر_قبلی</x:v>
      </x:c>
      <x:c r="C2631" s="53" t="str">
        <x:v>K12</x:v>
      </x:c>
      <x:c r="D2631" s="53" t="str">
        <x:v>300000</x:v>
      </x:c>
      <x:c r="E2631" s="53"/>
    </x:row>
    <x:row r="2632" ht="15" hidden="0" customHeight="1">
      <x:c r="A2632" s="53" t="str">
        <x:v>Anjoman accounting - refined.xlsx</x:v>
      </x:c>
      <x:c r="B2632" s="53" t="str">
        <x:v>خام_دفتر_قبلی</x:v>
      </x:c>
      <x:c r="C2632" s="53" t="str">
        <x:v>L12</x:v>
      </x:c>
      <x:c r="D2632" s="53" t="str">
        <x:v>امیرمحمد جوشقانی</x:v>
      </x:c>
      <x:c r="E2632" s="53"/>
    </x:row>
    <x:row r="2633" ht="15" hidden="0" customHeight="1">
      <x:c r="A2633" s="53" t="str">
        <x:v>Anjoman accounting - refined.xlsx</x:v>
      </x:c>
      <x:c r="B2633" s="53" t="str">
        <x:v>خام_دفتر_قبلی</x:v>
      </x:c>
      <x:c r="C2633" s="53" t="str">
        <x:v>M12</x:v>
      </x:c>
      <x:c r="D2633" s="53" t="str">
        <x:v>ضبط جبرانی جلسه4 پایتون</x:v>
      </x:c>
      <x:c r="E2633" s="53"/>
    </x:row>
    <x:row r="2634" ht="15" hidden="0" customHeight="1">
      <x:c r="A2634" s="53" t="str">
        <x:v>Anjoman accounting - refined.xlsx</x:v>
      </x:c>
      <x:c r="B2634" s="53" t="str">
        <x:v>خام_دفتر_قبلی</x:v>
      </x:c>
      <x:c r="C2634" s="53" t="str">
        <x:v>A13</x:v>
      </x:c>
      <x:c r="D2634" s="53" t="str">
        <x:v>11</x:v>
      </x:c>
      <x:c r="E2634" s="53"/>
    </x:row>
    <x:row r="2635" ht="15" hidden="0" customHeight="1">
      <x:c r="A2635" s="53" t="str">
        <x:v>Anjoman accounting - refined.xlsx</x:v>
      </x:c>
      <x:c r="B2635" s="53" t="str">
        <x:v>خام_دفتر_قبلی</x:v>
      </x:c>
      <x:c r="C2635" s="53" t="str">
        <x:v>E13</x:v>
      </x:c>
      <x:c r="D2635" s="53" t="str">
        <x:v>750000</x:v>
      </x:c>
      <x:c r="E2635" s="53"/>
    </x:row>
    <x:row r="2636" ht="15" hidden="0" customHeight="1">
      <x:c r="A2636" s="53" t="str">
        <x:v>Anjoman accounting - refined.xlsx</x:v>
      </x:c>
      <x:c r="B2636" s="53" t="str">
        <x:v>خام_دفتر_قبلی</x:v>
      </x:c>
      <x:c r="C2636" s="53" t="str">
        <x:v>F13</x:v>
      </x:c>
      <x:c r="D2636" s="53" t="str">
        <x:v>حسن شیری</x:v>
      </x:c>
      <x:c r="E2636" s="53"/>
    </x:row>
    <x:row r="2637" ht="15" hidden="0" customHeight="1">
      <x:c r="A2637" s="53" t="str">
        <x:v>Anjoman accounting - refined.xlsx</x:v>
      </x:c>
      <x:c r="B2637" s="53" t="str">
        <x:v>خام_دفتر_قبلی</x:v>
      </x:c>
      <x:c r="C2637" s="53" t="str">
        <x:v>G13</x:v>
      </x:c>
      <x:c r="D2637" s="53" t="str">
        <x:v>گرفتن کلید انجمن برای اعضا</x:v>
      </x:c>
      <x:c r="E2637" s="53"/>
    </x:row>
    <x:row r="2638" ht="15" hidden="0" customHeight="1">
      <x:c r="A2638" s="53" t="str">
        <x:v>Anjoman accounting - refined.xlsx</x:v>
      </x:c>
      <x:c r="B2638" s="53" t="str">
        <x:v>خام_دفتر_قبلی</x:v>
      </x:c>
      <x:c r="C2638" s="53" t="str">
        <x:v>K13</x:v>
      </x:c>
      <x:c r="D2638" s="53" t="str">
        <x:v>750000</x:v>
      </x:c>
      <x:c r="E2638" s="53"/>
    </x:row>
    <x:row r="2639" ht="15" hidden="0" customHeight="1">
      <x:c r="A2639" s="53" t="str">
        <x:v>Anjoman accounting - refined.xlsx</x:v>
      </x:c>
      <x:c r="B2639" s="53" t="str">
        <x:v>خام_دفتر_قبلی</x:v>
      </x:c>
      <x:c r="C2639" s="53" t="str">
        <x:v>L13</x:v>
      </x:c>
      <x:c r="D2639" s="53" t="str">
        <x:v>حسن شیری</x:v>
      </x:c>
      <x:c r="E2639" s="53"/>
    </x:row>
    <x:row r="2640" ht="15" hidden="0" customHeight="1">
      <x:c r="A2640" s="53" t="str">
        <x:v>Anjoman accounting - refined.xlsx</x:v>
      </x:c>
      <x:c r="B2640" s="53" t="str">
        <x:v>خام_دفتر_قبلی</x:v>
      </x:c>
      <x:c r="C2640" s="53" t="str">
        <x:v>M13</x:v>
      </x:c>
      <x:c r="D2640" s="53" t="str">
        <x:v>گرفتن کلید انجمن برای اعضا</x:v>
      </x:c>
      <x:c r="E2640" s="53"/>
    </x:row>
    <x:row r="2641" ht="15" hidden="0" customHeight="1">
      <x:c r="A2641" s="53" t="str">
        <x:v>Anjoman accounting - refined.xlsx</x:v>
      </x:c>
      <x:c r="B2641" s="53" t="str">
        <x:v>خام_دفتر_قبلی</x:v>
      </x:c>
      <x:c r="C2641" s="53" t="str">
        <x:v>A14</x:v>
      </x:c>
      <x:c r="D2641" s="53" t="str">
        <x:v>12</x:v>
      </x:c>
      <x:c r="E2641" s="53"/>
    </x:row>
    <x:row r="2642" ht="15" hidden="0" customHeight="1">
      <x:c r="A2642" s="53" t="str">
        <x:v>Anjoman accounting - refined.xlsx</x:v>
      </x:c>
      <x:c r="B2642" s="53" t="str">
        <x:v>خام_دفتر_قبلی</x:v>
      </x:c>
      <x:c r="C2642" s="53" t="str">
        <x:v>E14</x:v>
      </x:c>
      <x:c r="D2642" s="53" t="str">
        <x:v>400000</x:v>
      </x:c>
      <x:c r="E2642" s="53"/>
    </x:row>
    <x:row r="2643" ht="15" hidden="0" customHeight="1">
      <x:c r="A2643" s="53" t="str">
        <x:v>Anjoman accounting - refined.xlsx</x:v>
      </x:c>
      <x:c r="B2643" s="53" t="str">
        <x:v>خام_دفتر_قبلی</x:v>
      </x:c>
      <x:c r="C2643" s="53" t="str">
        <x:v>F14</x:v>
      </x:c>
      <x:c r="D2643" s="53" t="str">
        <x:v>حسن شیری</x:v>
      </x:c>
      <x:c r="E2643" s="53"/>
    </x:row>
    <x:row r="2644" ht="15" hidden="0" customHeight="1">
      <x:c r="A2644" s="53" t="str">
        <x:v>Anjoman accounting - refined.xlsx</x:v>
      </x:c>
      <x:c r="B2644" s="53" t="str">
        <x:v>خام_دفتر_قبلی</x:v>
      </x:c>
      <x:c r="C2644" s="53" t="str">
        <x:v>G14</x:v>
      </x:c>
      <x:c r="D2644" s="53" t="str">
        <x:v>نبلیغات مدرسه تابستانه در مهمات شریف</x:v>
      </x:c>
      <x:c r="E2644" s="53"/>
    </x:row>
    <x:row r="2645" ht="15" hidden="0" customHeight="1">
      <x:c r="A2645" s="53" t="str">
        <x:v>Anjoman accounting - refined.xlsx</x:v>
      </x:c>
      <x:c r="B2645" s="53" t="str">
        <x:v>خام_دفتر_قبلی</x:v>
      </x:c>
      <x:c r="C2645" s="53" t="str">
        <x:v>K14</x:v>
      </x:c>
      <x:c r="D2645" s="53" t="str">
        <x:v>400000</x:v>
      </x:c>
      <x:c r="E2645" s="53"/>
    </x:row>
    <x:row r="2646" ht="15" hidden="0" customHeight="1">
      <x:c r="A2646" s="53" t="str">
        <x:v>Anjoman accounting - refined.xlsx</x:v>
      </x:c>
      <x:c r="B2646" s="53" t="str">
        <x:v>خام_دفتر_قبلی</x:v>
      </x:c>
      <x:c r="C2646" s="53" t="str">
        <x:v>L14</x:v>
      </x:c>
      <x:c r="D2646" s="53" t="str">
        <x:v>حسن شیری</x:v>
      </x:c>
      <x:c r="E2646" s="53"/>
    </x:row>
    <x:row r="2647" ht="15" hidden="0" customHeight="1">
      <x:c r="A2647" s="53" t="str">
        <x:v>Anjoman accounting - refined.xlsx</x:v>
      </x:c>
      <x:c r="B2647" s="53" t="str">
        <x:v>خام_دفتر_قبلی</x:v>
      </x:c>
      <x:c r="C2647" s="53" t="str">
        <x:v>M14</x:v>
      </x:c>
      <x:c r="D2647" s="53" t="str">
        <x:v>نبلیغات مدرسه تابستانه در مهمات شریف</x:v>
      </x:c>
      <x:c r="E2647" s="53"/>
    </x:row>
    <x:row r="2648" ht="15" hidden="0" customHeight="1">
      <x:c r="A2648" s="53" t="str">
        <x:v>Anjoman accounting - refined.xlsx</x:v>
      </x:c>
      <x:c r="B2648" s="53" t="str">
        <x:v>خام_دفتر_قبلی</x:v>
      </x:c>
      <x:c r="C2648" s="53" t="str">
        <x:v>A15</x:v>
      </x:c>
      <x:c r="D2648" s="53" t="str">
        <x:v>14</x:v>
      </x:c>
      <x:c r="E2648" s="53"/>
    </x:row>
    <x:row r="2649" ht="15" hidden="0" customHeight="1">
      <x:c r="A2649" s="53" t="str">
        <x:v>Anjoman accounting - refined.xlsx</x:v>
      </x:c>
      <x:c r="B2649" s="53" t="str">
        <x:v>خام_دفتر_قبلی</x:v>
      </x:c>
      <x:c r="C2649" s="53" t="str">
        <x:v>D15</x:v>
      </x:c>
      <x:c r="D2649" s="53" t="str">
        <x:v>شهریور</x:v>
      </x:c>
      <x:c r="E2649" s="53"/>
    </x:row>
    <x:row r="2650" ht="15" hidden="0" customHeight="1">
      <x:c r="A2650" s="53" t="str">
        <x:v>Anjoman accounting - refined.xlsx</x:v>
      </x:c>
      <x:c r="B2650" s="53" t="str">
        <x:v>خام_دفتر_قبلی</x:v>
      </x:c>
      <x:c r="C2650" s="53" t="str">
        <x:v>J15</x:v>
      </x:c>
      <x:c r="D2650" s="53" t="str">
        <x:v>شهریور</x:v>
      </x:c>
      <x:c r="E2650" s="53"/>
    </x:row>
    <x:row r="2651" ht="15" hidden="0" customHeight="1">
      <x:c r="A2651" s="53" t="str">
        <x:v>Anjoman accounting - refined.xlsx</x:v>
      </x:c>
      <x:c r="B2651" s="53" t="str">
        <x:v>خام_دفتر_قبلی</x:v>
      </x:c>
      <x:c r="C2651" s="53" t="str">
        <x:v>A16</x:v>
      </x:c>
      <x:c r="D2651" s="53" t="str">
        <x:v>15</x:v>
      </x:c>
      <x:c r="E2651" s="53"/>
    </x:row>
    <x:row r="2652" ht="15" hidden="0" customHeight="1">
      <x:c r="A2652" s="53" t="str">
        <x:v>Anjoman accounting - refined.xlsx</x:v>
      </x:c>
      <x:c r="B2652" s="53" t="str">
        <x:v>خام_دفتر_قبلی</x:v>
      </x:c>
      <x:c r="C2652" s="53" t="str">
        <x:v>B16</x:v>
      </x:c>
      <x:c r="D2652" s="53" t="str">
        <x:v>ورودی معرفی رشته</x:v>
      </x:c>
      <x:c r="E2652" s="53"/>
    </x:row>
    <x:row r="2653" ht="15" hidden="0" customHeight="1">
      <x:c r="A2653" s="53" t="str">
        <x:v>Anjoman accounting - refined.xlsx</x:v>
      </x:c>
      <x:c r="B2653" s="53" t="str">
        <x:v>خام_دفتر_قبلی</x:v>
      </x:c>
      <x:c r="C2653" s="53" t="str">
        <x:v>C16</x:v>
      </x:c>
      <x:c r="D2653" s="53" t="str">
        <x:v>4920000</x:v>
      </x:c>
      <x:c r="E2653" s="53"/>
    </x:row>
    <x:row r="2654" ht="15" hidden="0" customHeight="1">
      <x:c r="A2654" s="53" t="str">
        <x:v>Anjoman accounting - refined.xlsx</x:v>
      </x:c>
      <x:c r="B2654" s="53" t="str">
        <x:v>خام_دفتر_قبلی</x:v>
      </x:c>
      <x:c r="C2654" s="53" t="str">
        <x:v>E16</x:v>
      </x:c>
      <x:c r="D2654" s="53" t="str">
        <x:v>100000</x:v>
      </x:c>
      <x:c r="E2654" s="53"/>
    </x:row>
    <x:row r="2655" ht="15" hidden="0" customHeight="1">
      <x:c r="A2655" s="53" t="str">
        <x:v>Anjoman accounting - refined.xlsx</x:v>
      </x:c>
      <x:c r="B2655" s="53" t="str">
        <x:v>خام_دفتر_قبلی</x:v>
      </x:c>
      <x:c r="C2655" s="53" t="str">
        <x:v>F16</x:v>
      </x:c>
      <x:c r="D2655" s="53" t="str">
        <x:v>محمدامین عزیزی</x:v>
      </x:c>
      <x:c r="E2655" s="53"/>
    </x:row>
    <x:row r="2656" ht="15" hidden="0" customHeight="1">
      <x:c r="A2656" s="53" t="str">
        <x:v>Anjoman accounting - refined.xlsx</x:v>
      </x:c>
      <x:c r="B2656" s="53" t="str">
        <x:v>خام_دفتر_قبلی</x:v>
      </x:c>
      <x:c r="C2656" s="53" t="str">
        <x:v>G16</x:v>
      </x:c>
      <x:c r="D2656" s="53" t="str">
        <x:v>چاپ پوستر و بارکد برای رویداد معرفی رشته</x:v>
      </x:c>
      <x:c r="E2656" s="53"/>
    </x:row>
    <x:row r="2657" ht="15" hidden="0" customHeight="1">
      <x:c r="A2657" s="53" t="str">
        <x:v>Anjoman accounting - refined.xlsx</x:v>
      </x:c>
      <x:c r="B2657" s="53" t="str">
        <x:v>خام_دفتر_قبلی</x:v>
      </x:c>
      <x:c r="C2657" s="53" t="str">
        <x:v>H16</x:v>
      </x:c>
      <x:c r="D2657" s="53" t="str">
        <x:v>ورودی معرفی رشته</x:v>
      </x:c>
      <x:c r="E2657" s="53"/>
    </x:row>
    <x:row r="2658" ht="15" hidden="0" customHeight="1">
      <x:c r="A2658" s="53" t="str">
        <x:v>Anjoman accounting - refined.xlsx</x:v>
      </x:c>
      <x:c r="B2658" s="53" t="str">
        <x:v>خام_دفتر_قبلی</x:v>
      </x:c>
      <x:c r="C2658" s="53" t="str">
        <x:v>I16</x:v>
      </x:c>
      <x:c r="D2658" s="53" t="str">
        <x:v>4920000</x:v>
      </x:c>
      <x:c r="E2658" s="53"/>
    </x:row>
    <x:row r="2659" ht="15" hidden="0" customHeight="1">
      <x:c r="A2659" s="53" t="str">
        <x:v>Anjoman accounting - refined.xlsx</x:v>
      </x:c>
      <x:c r="B2659" s="53" t="str">
        <x:v>خام_دفتر_قبلی</x:v>
      </x:c>
      <x:c r="C2659" s="53" t="str">
        <x:v>K16</x:v>
      </x:c>
      <x:c r="D2659" s="53" t="str">
        <x:v>100000</x:v>
      </x:c>
      <x:c r="E2659" s="53"/>
    </x:row>
    <x:row r="2660" ht="15" hidden="0" customHeight="1">
      <x:c r="A2660" s="53" t="str">
        <x:v>Anjoman accounting - refined.xlsx</x:v>
      </x:c>
      <x:c r="B2660" s="53" t="str">
        <x:v>خام_دفتر_قبلی</x:v>
      </x:c>
      <x:c r="C2660" s="53" t="str">
        <x:v>L16</x:v>
      </x:c>
      <x:c r="D2660" s="53" t="str">
        <x:v>محمدامین عزیزی</x:v>
      </x:c>
      <x:c r="E2660" s="53"/>
    </x:row>
    <x:row r="2661" ht="15" hidden="0" customHeight="1">
      <x:c r="A2661" s="53" t="str">
        <x:v>Anjoman accounting - refined.xlsx</x:v>
      </x:c>
      <x:c r="B2661" s="53" t="str">
        <x:v>خام_دفتر_قبلی</x:v>
      </x:c>
      <x:c r="C2661" s="53" t="str">
        <x:v>M16</x:v>
      </x:c>
      <x:c r="D2661" s="53" t="str">
        <x:v>چاپ پوستر و بارکد برای رویداد معرفی رشته</x:v>
      </x:c>
      <x:c r="E2661" s="53"/>
    </x:row>
    <x:row r="2662" ht="15" hidden="0" customHeight="1">
      <x:c r="A2662" s="53" t="str">
        <x:v>Anjoman accounting - refined.xlsx</x:v>
      </x:c>
      <x:c r="B2662" s="53" t="str">
        <x:v>خام_دفتر_قبلی</x:v>
      </x:c>
      <x:c r="C2662" s="53" t="str">
        <x:v>A17</x:v>
      </x:c>
      <x:c r="D2662" s="53" t="str">
        <x:v>16</x:v>
      </x:c>
      <x:c r="E2662" s="53"/>
    </x:row>
    <x:row r="2663" ht="15" hidden="0" customHeight="1">
      <x:c r="A2663" s="53" t="str">
        <x:v>Anjoman accounting - refined.xlsx</x:v>
      </x:c>
      <x:c r="B2663" s="53" t="str">
        <x:v>خام_دفتر_قبلی</x:v>
      </x:c>
      <x:c r="C2663" s="53" t="str">
        <x:v>E17</x:v>
      </x:c>
      <x:c r="D2663" s="53" t="str">
        <x:v>2866000</x:v>
      </x:c>
      <x:c r="E2663" s="53"/>
    </x:row>
    <x:row r="2664" ht="15" hidden="0" customHeight="1">
      <x:c r="A2664" s="53" t="str">
        <x:v>Anjoman accounting - refined.xlsx</x:v>
      </x:c>
      <x:c r="B2664" s="53" t="str">
        <x:v>خام_دفتر_قبلی</x:v>
      </x:c>
      <x:c r="C2664" s="53" t="str">
        <x:v>F17</x:v>
      </x:c>
      <x:c r="D2664" s="53" t="str">
        <x:v>محمدامین عزیزی</x:v>
      </x:c>
      <x:c r="E2664" s="53"/>
    </x:row>
    <x:row r="2665" ht="15" hidden="0" customHeight="1">
      <x:c r="A2665" s="53" t="str">
        <x:v>Anjoman accounting - refined.xlsx</x:v>
      </x:c>
      <x:c r="B2665" s="53" t="str">
        <x:v>خام_دفتر_قبلی</x:v>
      </x:c>
      <x:c r="C2665" s="53" t="str">
        <x:v>G17</x:v>
      </x:c>
      <x:c r="D2665" s="53" t="str">
        <x:v>تدارکات رویداد معرفی رشته</x:v>
      </x:c>
      <x:c r="E2665" s="53"/>
    </x:row>
    <x:row r="2666" ht="15" hidden="0" customHeight="1">
      <x:c r="A2666" s="53" t="str">
        <x:v>Anjoman accounting - refined.xlsx</x:v>
      </x:c>
      <x:c r="B2666" s="53" t="str">
        <x:v>خام_دفتر_قبلی</x:v>
      </x:c>
      <x:c r="C2666" s="53" t="str">
        <x:v>K17</x:v>
      </x:c>
      <x:c r="D2666" s="53" t="str">
        <x:v>2866000</x:v>
      </x:c>
      <x:c r="E2666" s="53"/>
    </x:row>
    <x:row r="2667" ht="15" hidden="0" customHeight="1">
      <x:c r="A2667" s="53" t="str">
        <x:v>Anjoman accounting - refined.xlsx</x:v>
      </x:c>
      <x:c r="B2667" s="53" t="str">
        <x:v>خام_دفتر_قبلی</x:v>
      </x:c>
      <x:c r="C2667" s="53" t="str">
        <x:v>L17</x:v>
      </x:c>
      <x:c r="D2667" s="53" t="str">
        <x:v>محمدامین عزیزی</x:v>
      </x:c>
      <x:c r="E2667" s="53"/>
    </x:row>
    <x:row r="2668" ht="15" hidden="0" customHeight="1">
      <x:c r="A2668" s="53" t="str">
        <x:v>Anjoman accounting - refined.xlsx</x:v>
      </x:c>
      <x:c r="B2668" s="53" t="str">
        <x:v>خام_دفتر_قبلی</x:v>
      </x:c>
      <x:c r="C2668" s="53" t="str">
        <x:v>M17</x:v>
      </x:c>
      <x:c r="D2668" s="53" t="str">
        <x:v>تدارکات رویداد معرفی رشته</x:v>
      </x:c>
      <x:c r="E2668" s="53"/>
    </x:row>
    <x:row r="2669" ht="15" hidden="0" customHeight="1">
      <x:c r="A2669" s="53" t="str">
        <x:v>Anjoman accounting - refined.xlsx</x:v>
      </x:c>
      <x:c r="B2669" s="53" t="str">
        <x:v>خام_دفتر_قبلی</x:v>
      </x:c>
      <x:c r="C2669" s="53" t="str">
        <x:v>A18</x:v>
      </x:c>
      <x:c r="D2669" s="53" t="str">
        <x:v>17</x:v>
      </x:c>
      <x:c r="E2669" s="53"/>
    </x:row>
    <x:row r="2670" ht="15" hidden="0" customHeight="1">
      <x:c r="A2670" s="53" t="str">
        <x:v>Anjoman accounting - refined.xlsx</x:v>
      </x:c>
      <x:c r="B2670" s="53" t="str">
        <x:v>خام_دفتر_قبلی</x:v>
      </x:c>
      <x:c r="C2670" s="53" t="str">
        <x:v>E18</x:v>
      </x:c>
      <x:c r="D2670" s="53"/>
      <x:c r="E2670" s="53" t="str">
        <x:v>=3055000-D16</x:v>
      </x:c>
    </x:row>
    <x:row r="2671" ht="15" hidden="0" customHeight="1">
      <x:c r="A2671" s="53" t="str">
        <x:v>Anjoman accounting - refined.xlsx</x:v>
      </x:c>
      <x:c r="B2671" s="53" t="str">
        <x:v>خام_دفتر_قبلی</x:v>
      </x:c>
      <x:c r="C2671" s="53" t="str">
        <x:v>F18</x:v>
      </x:c>
      <x:c r="D2671" s="53" t="str">
        <x:v>ابراهیم خسروانی</x:v>
      </x:c>
      <x:c r="E2671" s="53"/>
    </x:row>
    <x:row r="2672" ht="15" hidden="0" customHeight="1">
      <x:c r="A2672" s="53" t="str">
        <x:v>Anjoman accounting - refined.xlsx</x:v>
      </x:c>
      <x:c r="B2672" s="53" t="str">
        <x:v>خام_دفتر_قبلی</x:v>
      </x:c>
      <x:c r="C2672" s="53" t="str">
        <x:v>G18</x:v>
      </x:c>
      <x:c r="D2672" s="53" t="str">
        <x:v>حق الزحمه خرید تدارکات رویداد معرفی رشته</x:v>
      </x:c>
      <x:c r="E2672" s="53"/>
    </x:row>
    <x:row r="2673" ht="15" hidden="0" customHeight="1">
      <x:c r="A2673" s="53" t="str">
        <x:v>Anjoman accounting - refined.xlsx</x:v>
      </x:c>
      <x:c r="B2673" s="53" t="str">
        <x:v>خام_دفتر_قبلی</x:v>
      </x:c>
      <x:c r="C2673" s="53" t="str">
        <x:v>K18</x:v>
      </x:c>
      <x:c r="D2673" s="53" t="str">
        <x:v>189000</x:v>
      </x:c>
      <x:c r="E2673" s="53"/>
    </x:row>
    <x:row r="2674" ht="15" hidden="0" customHeight="1">
      <x:c r="A2674" s="53" t="str">
        <x:v>Anjoman accounting - refined.xlsx</x:v>
      </x:c>
      <x:c r="B2674" s="53" t="str">
        <x:v>خام_دفتر_قبلی</x:v>
      </x:c>
      <x:c r="C2674" s="53" t="str">
        <x:v>L18</x:v>
      </x:c>
      <x:c r="D2674" s="53" t="str">
        <x:v>ابراهیم خسروانی</x:v>
      </x:c>
      <x:c r="E2674" s="53"/>
    </x:row>
    <x:row r="2675" ht="15" hidden="0" customHeight="1">
      <x:c r="A2675" s="53" t="str">
        <x:v>Anjoman accounting - refined.xlsx</x:v>
      </x:c>
      <x:c r="B2675" s="53" t="str">
        <x:v>خام_دفتر_قبلی</x:v>
      </x:c>
      <x:c r="C2675" s="53" t="str">
        <x:v>M18</x:v>
      </x:c>
      <x:c r="D2675" s="53" t="str">
        <x:v>حق الزحمه خرید تدارکات رویداد معرفی رشته</x:v>
      </x:c>
      <x:c r="E2675" s="53"/>
    </x:row>
    <x:row r="2676" ht="15" hidden="0" customHeight="1">
      <x:c r="A2676" s="53" t="str">
        <x:v>Anjoman accounting - refined.xlsx</x:v>
      </x:c>
      <x:c r="B2676" s="53" t="str">
        <x:v>خام_دفتر_قبلی</x:v>
      </x:c>
      <x:c r="C2676" s="53" t="str">
        <x:v>A19</x:v>
      </x:c>
      <x:c r="D2676" s="53" t="str">
        <x:v>18</x:v>
      </x:c>
      <x:c r="E2676" s="53"/>
    </x:row>
    <x:row r="2677" ht="15" hidden="0" customHeight="1">
      <x:c r="A2677" s="53" t="str">
        <x:v>Anjoman accounting - refined.xlsx</x:v>
      </x:c>
      <x:c r="B2677" s="53" t="str">
        <x:v>خام_دفتر_قبلی</x:v>
      </x:c>
      <x:c r="C2677" s="53" t="str">
        <x:v>D19</x:v>
      </x:c>
      <x:c r="D2677" s="53" t="str">
        <x:v>مهر</x:v>
      </x:c>
      <x:c r="E2677" s="53"/>
    </x:row>
    <x:row r="2678" ht="15" hidden="0" customHeight="1">
      <x:c r="A2678" s="53" t="str">
        <x:v>Anjoman accounting - refined.xlsx</x:v>
      </x:c>
      <x:c r="B2678" s="53" t="str">
        <x:v>خام_دفتر_قبلی</x:v>
      </x:c>
      <x:c r="C2678" s="53" t="str">
        <x:v>J19</x:v>
      </x:c>
      <x:c r="D2678" s="53" t="str">
        <x:v>مهر</x:v>
      </x:c>
      <x:c r="E2678" s="53"/>
    </x:row>
    <x:row r="2679" ht="15" hidden="0" customHeight="1">
      <x:c r="A2679" s="53" t="str">
        <x:v>Anjoman accounting - refined.xlsx</x:v>
      </x:c>
      <x:c r="B2679" s="53" t="str">
        <x:v>خام_دفتر_قبلی</x:v>
      </x:c>
      <x:c r="C2679" s="53" t="str">
        <x:v>A20</x:v>
      </x:c>
      <x:c r="D2679" s="53" t="str">
        <x:v>19</x:v>
      </x:c>
      <x:c r="E2679" s="53"/>
    </x:row>
    <x:row r="2680" ht="15" hidden="0" customHeight="1">
      <x:c r="A2680" s="53" t="str">
        <x:v>Anjoman accounting - refined.xlsx</x:v>
      </x:c>
      <x:c r="B2680" s="53" t="str">
        <x:v>خام_دفتر_قبلی</x:v>
      </x:c>
      <x:c r="C2680" s="53" t="str">
        <x:v>B20</x:v>
      </x:c>
      <x:c r="D2680" s="53" t="str">
        <x:v>واریزی دکتر مقیمی برای شیرینی نشست عمومی اساتید</x:v>
      </x:c>
      <x:c r="E2680" s="53"/>
    </x:row>
    <x:row r="2681" ht="15" hidden="0" customHeight="1">
      <x:c r="A2681" s="53" t="str">
        <x:v>Anjoman accounting - refined.xlsx</x:v>
      </x:c>
      <x:c r="B2681" s="53" t="str">
        <x:v>خام_دفتر_قبلی</x:v>
      </x:c>
      <x:c r="C2681" s="53" t="str">
        <x:v>C20</x:v>
      </x:c>
      <x:c r="D2681" s="53" t="str">
        <x:v>500000</x:v>
      </x:c>
      <x:c r="E2681" s="53"/>
    </x:row>
    <x:row r="2682" ht="15" hidden="0" customHeight="1">
      <x:c r="A2682" s="53" t="str">
        <x:v>Anjoman accounting - refined.xlsx</x:v>
      </x:c>
      <x:c r="B2682" s="53" t="str">
        <x:v>خام_دفتر_قبلی</x:v>
      </x:c>
      <x:c r="C2682" s="53" t="str">
        <x:v>E20</x:v>
      </x:c>
      <x:c r="D2682" s="53" t="str">
        <x:v>90000</x:v>
      </x:c>
      <x:c r="E2682" s="53"/>
    </x:row>
    <x:row r="2683" ht="15" hidden="0" customHeight="1">
      <x:c r="A2683" s="53" t="str">
        <x:v>Anjoman accounting - refined.xlsx</x:v>
      </x:c>
      <x:c r="B2683" s="53" t="str">
        <x:v>خام_دفتر_قبلی</x:v>
      </x:c>
      <x:c r="C2683" s="53" t="str">
        <x:v>G20</x:v>
      </x:c>
      <x:c r="D2683" s="53" t="str">
        <x:v>پوستر نشست عمومی با اساتید و حلقه های کوانتا(هفته 19مهر)</x:v>
      </x:c>
      <x:c r="E2683" s="53"/>
    </x:row>
    <x:row r="2684" ht="15" hidden="0" customHeight="1">
      <x:c r="A2684" s="53" t="str">
        <x:v>Anjoman accounting - refined.xlsx</x:v>
      </x:c>
      <x:c r="B2684" s="53" t="str">
        <x:v>خام_دفتر_قبلی</x:v>
      </x:c>
      <x:c r="C2684" s="53" t="str">
        <x:v>H20</x:v>
      </x:c>
      <x:c r="D2684" s="53" t="str">
        <x:v>واریزی دکتر مقیمی برای شیرینی نشست عمومی اساتید</x:v>
      </x:c>
      <x:c r="E2684" s="53"/>
    </x:row>
    <x:row r="2685" ht="15" hidden="0" customHeight="1">
      <x:c r="A2685" s="53" t="str">
        <x:v>Anjoman accounting - refined.xlsx</x:v>
      </x:c>
      <x:c r="B2685" s="53" t="str">
        <x:v>خام_دفتر_قبلی</x:v>
      </x:c>
      <x:c r="C2685" s="53" t="str">
        <x:v>I20</x:v>
      </x:c>
      <x:c r="D2685" s="53" t="str">
        <x:v>500000</x:v>
      </x:c>
      <x:c r="E2685" s="53"/>
    </x:row>
    <x:row r="2686" ht="15" hidden="0" customHeight="1">
      <x:c r="A2686" s="53" t="str">
        <x:v>Anjoman accounting - refined.xlsx</x:v>
      </x:c>
      <x:c r="B2686" s="53" t="str">
        <x:v>خام_دفتر_قبلی</x:v>
      </x:c>
      <x:c r="C2686" s="53" t="str">
        <x:v>K20</x:v>
      </x:c>
      <x:c r="D2686" s="53" t="str">
        <x:v>90000</x:v>
      </x:c>
      <x:c r="E2686" s="53"/>
    </x:row>
    <x:row r="2687" ht="15" hidden="0" customHeight="1">
      <x:c r="A2687" s="53" t="str">
        <x:v>Anjoman accounting - refined.xlsx</x:v>
      </x:c>
      <x:c r="B2687" s="53" t="str">
        <x:v>خام_دفتر_قبلی</x:v>
      </x:c>
      <x:c r="C2687" s="53" t="str">
        <x:v>M20</x:v>
      </x:c>
      <x:c r="D2687" s="53" t="str">
        <x:v>پوستر نشست عمومی با اساتید و حلقه های کوانتا(هفته 19مهر)</x:v>
      </x:c>
      <x:c r="E2687" s="53"/>
    </x:row>
    <x:row r="2688" ht="15" hidden="0" customHeight="1">
      <x:c r="A2688" s="53" t="str">
        <x:v>Anjoman accounting - refined.xlsx</x:v>
      </x:c>
      <x:c r="B2688" s="53" t="str">
        <x:v>خام_دفتر_قبلی</x:v>
      </x:c>
      <x:c r="C2688" s="53" t="str">
        <x:v>A21</x:v>
      </x:c>
      <x:c r="D2688" s="53" t="str">
        <x:v>20</x:v>
      </x:c>
      <x:c r="E2688" s="53"/>
    </x:row>
    <x:row r="2689" ht="15" hidden="0" customHeight="1">
      <x:c r="A2689" s="53" t="str">
        <x:v>Anjoman accounting - refined.xlsx</x:v>
      </x:c>
      <x:c r="B2689" s="53" t="str">
        <x:v>خام_دفتر_قبلی</x:v>
      </x:c>
      <x:c r="C2689" s="53" t="str">
        <x:v>E21</x:v>
      </x:c>
      <x:c r="D2689" s="53" t="str">
        <x:v>1052375</x:v>
      </x:c>
      <x:c r="E2689" s="53"/>
    </x:row>
    <x:row r="2690" ht="15" hidden="0" customHeight="1">
      <x:c r="A2690" s="53" t="str">
        <x:v>Anjoman accounting - refined.xlsx</x:v>
      </x:c>
      <x:c r="B2690" s="53" t="str">
        <x:v>خام_دفتر_قبلی</x:v>
      </x:c>
      <x:c r="C2690" s="53" t="str">
        <x:v>G21</x:v>
      </x:c>
      <x:c r="D2690" s="53" t="str">
        <x:v>شیرینی نشست عمومی با اساتید</x:v>
      </x:c>
      <x:c r="E2690" s="53"/>
    </x:row>
    <x:row r="2691" ht="15" hidden="0" customHeight="1">
      <x:c r="A2691" s="53" t="str">
        <x:v>Anjoman accounting - refined.xlsx</x:v>
      </x:c>
      <x:c r="B2691" s="53" t="str">
        <x:v>خام_دفتر_قبلی</x:v>
      </x:c>
      <x:c r="C2691" s="53" t="str">
        <x:v>K21</x:v>
      </x:c>
      <x:c r="D2691" s="53" t="str">
        <x:v>1052375</x:v>
      </x:c>
      <x:c r="E2691" s="53"/>
    </x:row>
    <x:row r="2692" ht="15" hidden="0" customHeight="1">
      <x:c r="A2692" s="53" t="str">
        <x:v>Anjoman accounting - refined.xlsx</x:v>
      </x:c>
      <x:c r="B2692" s="53" t="str">
        <x:v>خام_دفتر_قبلی</x:v>
      </x:c>
      <x:c r="C2692" s="53" t="str">
        <x:v>M21</x:v>
      </x:c>
      <x:c r="D2692" s="53" t="str">
        <x:v>شیرینی نشست عمومی با اساتید</x:v>
      </x:c>
      <x:c r="E2692" s="53"/>
    </x:row>
    <x:row r="2693" ht="15" hidden="0" customHeight="1">
      <x:c r="A2693" s="53" t="str">
        <x:v>Anjoman accounting - refined.xlsx</x:v>
      </x:c>
      <x:c r="B2693" s="53" t="str">
        <x:v>خام_دفتر_قبلی</x:v>
      </x:c>
      <x:c r="C2693" s="53" t="str">
        <x:v>A22</x:v>
      </x:c>
      <x:c r="D2693" s="53" t="str">
        <x:v>21</x:v>
      </x:c>
      <x:c r="E2693" s="53"/>
    </x:row>
    <x:row r="2694" ht="15" hidden="0" customHeight="1">
      <x:c r="A2694" s="53" t="str">
        <x:v>Anjoman accounting - refined.xlsx</x:v>
      </x:c>
      <x:c r="B2694" s="53" t="str">
        <x:v>خام_دفتر_قبلی</x:v>
      </x:c>
      <x:c r="C2694" s="53" t="str">
        <x:v>E22</x:v>
      </x:c>
      <x:c r="D2694" s="53" t="str">
        <x:v>790000</x:v>
      </x:c>
      <x:c r="E2694" s="53"/>
    </x:row>
    <x:row r="2695" ht="15" hidden="0" customHeight="1">
      <x:c r="A2695" s="53" t="str">
        <x:v>Anjoman accounting - refined.xlsx</x:v>
      </x:c>
      <x:c r="B2695" s="53" t="str">
        <x:v>خام_دفتر_قبلی</x:v>
      </x:c>
      <x:c r="C2695" s="53" t="str">
        <x:v>G22</x:v>
      </x:c>
      <x:c r="D2695" s="53" t="str">
        <x:v>2*50 لیوان + 3*40 بیسکوییت+100چای برای انجمن چای</x:v>
      </x:c>
      <x:c r="E2695" s="53"/>
    </x:row>
    <x:row r="2696" ht="15" hidden="0" customHeight="1">
      <x:c r="A2696" s="53" t="str">
        <x:v>Anjoman accounting - refined.xlsx</x:v>
      </x:c>
      <x:c r="B2696" s="53" t="str">
        <x:v>خام_دفتر_قبلی</x:v>
      </x:c>
      <x:c r="C2696" s="53" t="str">
        <x:v>K22</x:v>
      </x:c>
      <x:c r="D2696" s="53" t="str">
        <x:v>790000</x:v>
      </x:c>
      <x:c r="E2696" s="53"/>
    </x:row>
    <x:row r="2697" ht="15" hidden="0" customHeight="1">
      <x:c r="A2697" s="53" t="str">
        <x:v>Anjoman accounting - refined.xlsx</x:v>
      </x:c>
      <x:c r="B2697" s="53" t="str">
        <x:v>خام_دفتر_قبلی</x:v>
      </x:c>
      <x:c r="C2697" s="53" t="str">
        <x:v>M22</x:v>
      </x:c>
      <x:c r="D2697" s="53" t="str">
        <x:v>2*50 لیوان + 3*40 بیسکوییت+100چای برای انجمن چای</x:v>
      </x:c>
      <x:c r="E2697" s="53"/>
    </x:row>
    <x:row r="2698" ht="15" hidden="0" customHeight="1">
      <x:c r="A2698" s="53" t="str">
        <x:v>Anjoman accounting - refined.xlsx</x:v>
      </x:c>
      <x:c r="B2698" s="53" t="str">
        <x:v>خام_دفتر_قبلی</x:v>
      </x:c>
      <x:c r="C2698" s="53" t="str">
        <x:v>A23</x:v>
      </x:c>
      <x:c r="D2698" s="53" t="str">
        <x:v>22</x:v>
      </x:c>
      <x:c r="E2698" s="53"/>
    </x:row>
    <x:row r="2699" ht="15" hidden="0" customHeight="1">
      <x:c r="A2699" s="53" t="str">
        <x:v>Anjoman accounting - refined.xlsx</x:v>
      </x:c>
      <x:c r="B2699" s="53" t="str">
        <x:v>خام_دفتر_قبلی</x:v>
      </x:c>
      <x:c r="C2699" s="53" t="str">
        <x:v>E23</x:v>
      </x:c>
      <x:c r="D2699" s="53" t="str">
        <x:v>912850</x:v>
      </x:c>
      <x:c r="E2699" s="53"/>
    </x:row>
    <x:row r="2700" ht="15" hidden="0" customHeight="1">
      <x:c r="A2700" s="53" t="str">
        <x:v>Anjoman accounting - refined.xlsx</x:v>
      </x:c>
      <x:c r="B2700" s="53" t="str">
        <x:v>خام_دفتر_قبلی</x:v>
      </x:c>
      <x:c r="C2700" s="53" t="str">
        <x:v>G23</x:v>
      </x:c>
      <x:c r="D2700" s="53" t="str">
        <x:v>شیریننی نشست انجمن چای</x:v>
      </x:c>
      <x:c r="E2700" s="53"/>
    </x:row>
    <x:row r="2701" ht="15" hidden="0" customHeight="1">
      <x:c r="A2701" s="53" t="str">
        <x:v>Anjoman accounting - refined.xlsx</x:v>
      </x:c>
      <x:c r="B2701" s="53" t="str">
        <x:v>خام_دفتر_قبلی</x:v>
      </x:c>
      <x:c r="C2701" s="53" t="str">
        <x:v>K23</x:v>
      </x:c>
      <x:c r="D2701" s="53" t="str">
        <x:v>912850</x:v>
      </x:c>
      <x:c r="E2701" s="53"/>
    </x:row>
    <x:row r="2702" ht="15" hidden="0" customHeight="1">
      <x:c r="A2702" s="53" t="str">
        <x:v>Anjoman accounting - refined.xlsx</x:v>
      </x:c>
      <x:c r="B2702" s="53" t="str">
        <x:v>خام_دفتر_قبلی</x:v>
      </x:c>
      <x:c r="C2702" s="53" t="str">
        <x:v>M23</x:v>
      </x:c>
      <x:c r="D2702" s="53" t="str">
        <x:v>شیریننی نشست انجمن چای</x:v>
      </x:c>
      <x:c r="E2702" s="53"/>
    </x:row>
    <x:row r="2703" ht="15" hidden="0" customHeight="1">
      <x:c r="A2703" s="53" t="str">
        <x:v>Anjoman accounting - refined.xlsx</x:v>
      </x:c>
      <x:c r="B2703" s="53" t="str">
        <x:v>خام_دفتر_قبلی</x:v>
      </x:c>
      <x:c r="C2703" s="53" t="str">
        <x:v>A24</x:v>
      </x:c>
      <x:c r="D2703" s="53" t="str">
        <x:v>23</x:v>
      </x:c>
      <x:c r="E2703" s="53"/>
    </x:row>
    <x:row r="2704" ht="15" hidden="0" customHeight="1">
      <x:c r="A2704" s="53" t="str">
        <x:v>Anjoman accounting - refined.xlsx</x:v>
      </x:c>
      <x:c r="B2704" s="53" t="str">
        <x:v>خام_دفتر_قبلی</x:v>
      </x:c>
      <x:c r="C2704" s="53" t="str">
        <x:v>E24</x:v>
      </x:c>
      <x:c r="D2704" s="53" t="str">
        <x:v>1052375</x:v>
      </x:c>
      <x:c r="E2704" s="53"/>
    </x:row>
    <x:row r="2705" ht="15" hidden="0" customHeight="1">
      <x:c r="A2705" s="53" t="str">
        <x:v>Anjoman accounting - refined.xlsx</x:v>
      </x:c>
      <x:c r="B2705" s="53" t="str">
        <x:v>خام_دفتر_قبلی</x:v>
      </x:c>
      <x:c r="C2705" s="53" t="str">
        <x:v>G24</x:v>
      </x:c>
      <x:c r="D2705" s="53" t="str">
        <x:v>شیرینی دیدار با اساتید</x:v>
      </x:c>
      <x:c r="E2705" s="53"/>
    </x:row>
    <x:row r="2706" ht="15" hidden="0" customHeight="1">
      <x:c r="A2706" s="53" t="str">
        <x:v>Anjoman accounting - refined.xlsx</x:v>
      </x:c>
      <x:c r="B2706" s="53" t="str">
        <x:v>خام_دفتر_قبلی</x:v>
      </x:c>
      <x:c r="C2706" s="53" t="str">
        <x:v>K24</x:v>
      </x:c>
      <x:c r="D2706" s="53" t="str">
        <x:v>1052375</x:v>
      </x:c>
      <x:c r="E2706" s="53"/>
    </x:row>
    <x:row r="2707" ht="15" hidden="0" customHeight="1">
      <x:c r="A2707" s="53" t="str">
        <x:v>Anjoman accounting - refined.xlsx</x:v>
      </x:c>
      <x:c r="B2707" s="53" t="str">
        <x:v>خام_دفتر_قبلی</x:v>
      </x:c>
      <x:c r="C2707" s="53" t="str">
        <x:v>M24</x:v>
      </x:c>
      <x:c r="D2707" s="53" t="str">
        <x:v>شیرینی دیدار با اساتید</x:v>
      </x:c>
      <x:c r="E2707" s="53"/>
    </x:row>
    <x:row r="2708" ht="15" hidden="0" customHeight="1">
      <x:c r="A2708" s="53" t="str">
        <x:v>Anjoman accounting - refined.xlsx</x:v>
      </x:c>
      <x:c r="B2708" s="53" t="str">
        <x:v>خام_دفتر_قبلی</x:v>
      </x:c>
      <x:c r="C2708" s="53" t="str">
        <x:v>A25</x:v>
      </x:c>
      <x:c r="D2708" s="53" t="str">
        <x:v>24</x:v>
      </x:c>
      <x:c r="E2708" s="53"/>
    </x:row>
    <x:row r="2709" ht="15" hidden="0" customHeight="1">
      <x:c r="A2709" s="53" t="str">
        <x:v>Anjoman accounting - refined.xlsx</x:v>
      </x:c>
      <x:c r="B2709" s="53" t="str">
        <x:v>خام_دفتر_قبلی</x:v>
      </x:c>
      <x:c r="C2709" s="53" t="str">
        <x:v>D25</x:v>
      </x:c>
      <x:c r="D2709" s="53" t="str">
        <x:v>آبان</x:v>
      </x:c>
      <x:c r="E2709" s="53"/>
    </x:row>
    <x:row r="2710" ht="15" hidden="0" customHeight="1">
      <x:c r="A2710" s="53" t="str">
        <x:v>Anjoman accounting - refined.xlsx</x:v>
      </x:c>
      <x:c r="B2710" s="53" t="str">
        <x:v>خام_دفتر_قبلی</x:v>
      </x:c>
      <x:c r="C2710" s="53" t="str">
        <x:v>J25</x:v>
      </x:c>
      <x:c r="D2710" s="53" t="str">
        <x:v>آبان</x:v>
      </x:c>
      <x:c r="E2710" s="53"/>
    </x:row>
    <x:row r="2711" ht="15" hidden="0" customHeight="1">
      <x:c r="A2711" s="53" t="str">
        <x:v>Anjoman accounting - refined.xlsx</x:v>
      </x:c>
      <x:c r="B2711" s="53" t="str">
        <x:v>خام_دفتر_قبلی</x:v>
      </x:c>
      <x:c r="C2711" s="53" t="str">
        <x:v>A26</x:v>
      </x:c>
      <x:c r="D2711" s="53" t="str">
        <x:v>25</x:v>
      </x:c>
      <x:c r="E2711" s="53"/>
    </x:row>
    <x:row r="2712" ht="15" hidden="0" customHeight="1">
      <x:c r="A2712" s="53" t="str">
        <x:v>Anjoman accounting - refined.xlsx</x:v>
      </x:c>
      <x:c r="B2712" s="53" t="str">
        <x:v>خام_دفتر_قبلی</x:v>
      </x:c>
      <x:c r="C2712" s="53" t="str">
        <x:v>B26</x:v>
      </x:c>
      <x:c r="D2712" s="53" t="str">
        <x:v>دریافتی از انجمن سابق</x:v>
      </x:c>
      <x:c r="E2712" s="53"/>
    </x:row>
    <x:row r="2713" ht="15" hidden="0" customHeight="1">
      <x:c r="A2713" s="53" t="str">
        <x:v>Anjoman accounting - refined.xlsx</x:v>
      </x:c>
      <x:c r="B2713" s="53" t="str">
        <x:v>خام_دفتر_قبلی</x:v>
      </x:c>
      <x:c r="C2713" s="53" t="str">
        <x:v>C26</x:v>
      </x:c>
      <x:c r="D2713" s="53" t="str">
        <x:v>11000000</x:v>
      </x:c>
      <x:c r="E2713" s="53"/>
    </x:row>
    <x:row r="2714" ht="15" hidden="0" customHeight="1">
      <x:c r="A2714" s="53" t="str">
        <x:v>Anjoman accounting - refined.xlsx</x:v>
      </x:c>
      <x:c r="B2714" s="53" t="str">
        <x:v>خام_دفتر_قبلی</x:v>
      </x:c>
      <x:c r="C2714" s="53" t="str">
        <x:v>E26</x:v>
      </x:c>
      <x:c r="D2714" s="53" t="str">
        <x:v>725000</x:v>
      </x:c>
      <x:c r="E2714" s="53"/>
    </x:row>
    <x:row r="2715" ht="15" hidden="0" customHeight="1">
      <x:c r="A2715" s="53" t="str">
        <x:v>Anjoman accounting - refined.xlsx</x:v>
      </x:c>
      <x:c r="B2715" s="53" t="str">
        <x:v>خام_دفتر_قبلی</x:v>
      </x:c>
      <x:c r="C2715" s="53" t="str">
        <x:v>F26</x:v>
      </x:c>
      <x:c r="D2715" s="53" t="str">
        <x:v>نیما کوهی</x:v>
      </x:c>
      <x:c r="E2715" s="53"/>
    </x:row>
    <x:row r="2716" ht="15" hidden="0" customHeight="1">
      <x:c r="A2716" s="53" t="str">
        <x:v>Anjoman accounting - refined.xlsx</x:v>
      </x:c>
      <x:c r="B2716" s="53" t="str">
        <x:v>خام_دفتر_قبلی</x:v>
      </x:c>
      <x:c r="C2716" s="53" t="str">
        <x:v>G26</x:v>
      </x:c>
      <x:c r="D2716" s="53" t="str">
        <x:v>باتری دوربین فیلمبرداری</x:v>
      </x:c>
      <x:c r="E2716" s="53"/>
    </x:row>
    <x:row r="2717" ht="15" hidden="0" customHeight="1">
      <x:c r="A2717" s="53" t="str">
        <x:v>Anjoman accounting - refined.xlsx</x:v>
      </x:c>
      <x:c r="B2717" s="53" t="str">
        <x:v>خام_دفتر_قبلی</x:v>
      </x:c>
      <x:c r="C2717" s="53" t="str">
        <x:v>H26</x:v>
      </x:c>
      <x:c r="D2717" s="53" t="str">
        <x:v>دریافتی از انجمن سابق</x:v>
      </x:c>
      <x:c r="E2717" s="53"/>
    </x:row>
    <x:row r="2718" ht="15" hidden="0" customHeight="1">
      <x:c r="A2718" s="53" t="str">
        <x:v>Anjoman accounting - refined.xlsx</x:v>
      </x:c>
      <x:c r="B2718" s="53" t="str">
        <x:v>خام_دفتر_قبلی</x:v>
      </x:c>
      <x:c r="C2718" s="53" t="str">
        <x:v>I26</x:v>
      </x:c>
      <x:c r="D2718" s="53" t="str">
        <x:v>11000000</x:v>
      </x:c>
      <x:c r="E2718" s="53"/>
    </x:row>
    <x:row r="2719" ht="15" hidden="0" customHeight="1">
      <x:c r="A2719" s="53" t="str">
        <x:v>Anjoman accounting - refined.xlsx</x:v>
      </x:c>
      <x:c r="B2719" s="53" t="str">
        <x:v>خام_دفتر_قبلی</x:v>
      </x:c>
      <x:c r="C2719" s="53" t="str">
        <x:v>K26</x:v>
      </x:c>
      <x:c r="D2719" s="53" t="str">
        <x:v>725000</x:v>
      </x:c>
      <x:c r="E2719" s="53"/>
    </x:row>
    <x:row r="2720" ht="15" hidden="0" customHeight="1">
      <x:c r="A2720" s="53" t="str">
        <x:v>Anjoman accounting - refined.xlsx</x:v>
      </x:c>
      <x:c r="B2720" s="53" t="str">
        <x:v>خام_دفتر_قبلی</x:v>
      </x:c>
      <x:c r="C2720" s="53" t="str">
        <x:v>L26</x:v>
      </x:c>
      <x:c r="D2720" s="53" t="str">
        <x:v>نیما کوهی</x:v>
      </x:c>
      <x:c r="E2720" s="53"/>
    </x:row>
    <x:row r="2721" ht="15" hidden="0" customHeight="1">
      <x:c r="A2721" s="53" t="str">
        <x:v>Anjoman accounting - refined.xlsx</x:v>
      </x:c>
      <x:c r="B2721" s="53" t="str">
        <x:v>خام_دفتر_قبلی</x:v>
      </x:c>
      <x:c r="C2721" s="53" t="str">
        <x:v>M26</x:v>
      </x:c>
      <x:c r="D2721" s="53" t="str">
        <x:v>باتری دوربین فیلمبرداری</x:v>
      </x:c>
      <x:c r="E2721" s="53"/>
    </x:row>
    <x:row r="2722" ht="15" hidden="0" customHeight="1">
      <x:c r="A2722" s="53" t="str">
        <x:v>Anjoman accounting - refined.xlsx</x:v>
      </x:c>
      <x:c r="B2722" s="53" t="str">
        <x:v>خام_دفتر_قبلی</x:v>
      </x:c>
      <x:c r="C2722" s="53" t="str">
        <x:v>A27</x:v>
      </x:c>
      <x:c r="D2722" s="53" t="str">
        <x:v>26</x:v>
      </x:c>
      <x:c r="E2722" s="53"/>
    </x:row>
    <x:row r="2723" ht="15" hidden="0" customHeight="1">
      <x:c r="A2723" s="53" t="str">
        <x:v>Anjoman accounting - refined.xlsx</x:v>
      </x:c>
      <x:c r="B2723" s="53" t="str">
        <x:v>خام_دفتر_قبلی</x:v>
      </x:c>
      <x:c r="C2723" s="53" t="str">
        <x:v>E27</x:v>
      </x:c>
      <x:c r="D2723" s="53" t="str">
        <x:v>120000</x:v>
      </x:c>
      <x:c r="E2723" s="53"/>
    </x:row>
    <x:row r="2724" ht="15" hidden="0" customHeight="1">
      <x:c r="A2724" s="53" t="str">
        <x:v>Anjoman accounting - refined.xlsx</x:v>
      </x:c>
      <x:c r="B2724" s="53" t="str">
        <x:v>خام_دفتر_قبلی</x:v>
      </x:c>
      <x:c r="C2724" s="53" t="str">
        <x:v>F27</x:v>
      </x:c>
      <x:c r="D2724" s="53" t="str">
        <x:v>اردوان شهبازی</x:v>
      </x:c>
      <x:c r="E2724" s="53"/>
    </x:row>
    <x:row r="2725" ht="15" hidden="0" customHeight="1">
      <x:c r="A2725" s="53" t="str">
        <x:v>Anjoman accounting - refined.xlsx</x:v>
      </x:c>
      <x:c r="B2725" s="53" t="str">
        <x:v>خام_دفتر_قبلی</x:v>
      </x:c>
      <x:c r="C2725" s="53" t="str">
        <x:v>G27</x:v>
      </x:c>
      <x:c r="D2725" s="53" t="str">
        <x:v>خرید چسب بادکنک برای جشن ورودی</x:v>
      </x:c>
      <x:c r="E2725" s="53"/>
    </x:row>
    <x:row r="2726" ht="15" hidden="0" customHeight="1">
      <x:c r="A2726" s="53" t="str">
        <x:v>Anjoman accounting - refined.xlsx</x:v>
      </x:c>
      <x:c r="B2726" s="53" t="str">
        <x:v>خام_دفتر_قبلی</x:v>
      </x:c>
      <x:c r="C2726" s="53" t="str">
        <x:v>K27</x:v>
      </x:c>
      <x:c r="D2726" s="53" t="str">
        <x:v>120000</x:v>
      </x:c>
      <x:c r="E2726" s="53"/>
    </x:row>
    <x:row r="2727" ht="15" hidden="0" customHeight="1">
      <x:c r="A2727" s="53" t="str">
        <x:v>Anjoman accounting - refined.xlsx</x:v>
      </x:c>
      <x:c r="B2727" s="53" t="str">
        <x:v>خام_دفتر_قبلی</x:v>
      </x:c>
      <x:c r="C2727" s="53" t="str">
        <x:v>L27</x:v>
      </x:c>
      <x:c r="D2727" s="53" t="str">
        <x:v>اردوان شهبازی</x:v>
      </x:c>
      <x:c r="E2727" s="53"/>
    </x:row>
    <x:row r="2728" ht="15" hidden="0" customHeight="1">
      <x:c r="A2728" s="53" t="str">
        <x:v>Anjoman accounting - refined.xlsx</x:v>
      </x:c>
      <x:c r="B2728" s="53" t="str">
        <x:v>خام_دفتر_قبلی</x:v>
      </x:c>
      <x:c r="C2728" s="53" t="str">
        <x:v>M27</x:v>
      </x:c>
      <x:c r="D2728" s="53" t="str">
        <x:v>خرید چسب بادکنک برای جشن ورودی</x:v>
      </x:c>
      <x:c r="E2728" s="53"/>
    </x:row>
    <x:row r="2729" ht="15" hidden="0" customHeight="1">
      <x:c r="A2729" s="53" t="str">
        <x:v>Anjoman accounting - refined.xlsx</x:v>
      </x:c>
      <x:c r="B2729" s="53" t="str">
        <x:v>خام_دفتر_قبلی</x:v>
      </x:c>
      <x:c r="C2729" s="53" t="str">
        <x:v>A28</x:v>
      </x:c>
      <x:c r="D2729" s="53" t="str">
        <x:v>27</x:v>
      </x:c>
      <x:c r="E2729" s="53"/>
    </x:row>
    <x:row r="2730" ht="15" hidden="0" customHeight="1">
      <x:c r="A2730" s="53" t="str">
        <x:v>Anjoman accounting - refined.xlsx</x:v>
      </x:c>
      <x:c r="B2730" s="53" t="str">
        <x:v>خام_دفتر_قبلی</x:v>
      </x:c>
      <x:c r="C2730" s="53" t="str">
        <x:v>E28</x:v>
      </x:c>
      <x:c r="D2730" s="53" t="str">
        <x:v>1310000</x:v>
      </x:c>
      <x:c r="E2730" s="53"/>
    </x:row>
    <x:row r="2731" ht="15" hidden="0" customHeight="1">
      <x:c r="A2731" s="53" t="str">
        <x:v>Anjoman accounting - refined.xlsx</x:v>
      </x:c>
      <x:c r="B2731" s="53" t="str">
        <x:v>خام_دفتر_قبلی</x:v>
      </x:c>
      <x:c r="C2731" s="53" t="str">
        <x:v>F28</x:v>
      </x:c>
      <x:c r="D2731" s="53" t="str">
        <x:v>راحله مختاری</x:v>
      </x:c>
      <x:c r="E2731" s="53"/>
    </x:row>
    <x:row r="2732" ht="15" hidden="0" customHeight="1">
      <x:c r="A2732" s="53" t="str">
        <x:v>Anjoman accounting - refined.xlsx</x:v>
      </x:c>
      <x:c r="B2732" s="53" t="str">
        <x:v>خام_دفتر_قبلی</x:v>
      </x:c>
      <x:c r="C2732" s="53" t="str">
        <x:v>G28</x:v>
      </x:c>
      <x:c r="D2732" s="53" t="str">
        <x:v>تزئینات جشن ورودی</x:v>
      </x:c>
      <x:c r="E2732" s="53"/>
    </x:row>
    <x:row r="2733" ht="15" hidden="0" customHeight="1">
      <x:c r="A2733" s="53" t="str">
        <x:v>Anjoman accounting - refined.xlsx</x:v>
      </x:c>
      <x:c r="B2733" s="53" t="str">
        <x:v>خام_دفتر_قبلی</x:v>
      </x:c>
      <x:c r="C2733" s="53" t="str">
        <x:v>K28</x:v>
      </x:c>
      <x:c r="D2733" s="53" t="str">
        <x:v>1310000</x:v>
      </x:c>
      <x:c r="E2733" s="53"/>
    </x:row>
    <x:row r="2734" ht="15" hidden="0" customHeight="1">
      <x:c r="A2734" s="53" t="str">
        <x:v>Anjoman accounting - refined.xlsx</x:v>
      </x:c>
      <x:c r="B2734" s="53" t="str">
        <x:v>خام_دفتر_قبلی</x:v>
      </x:c>
      <x:c r="C2734" s="53" t="str">
        <x:v>L28</x:v>
      </x:c>
      <x:c r="D2734" s="53" t="str">
        <x:v>راحله مختاری</x:v>
      </x:c>
      <x:c r="E2734" s="53"/>
    </x:row>
    <x:row r="2735" ht="15" hidden="0" customHeight="1">
      <x:c r="A2735" s="53" t="str">
        <x:v>Anjoman accounting - refined.xlsx</x:v>
      </x:c>
      <x:c r="B2735" s="53" t="str">
        <x:v>خام_دفتر_قبلی</x:v>
      </x:c>
      <x:c r="C2735" s="53" t="str">
        <x:v>M28</x:v>
      </x:c>
      <x:c r="D2735" s="53" t="str">
        <x:v>تزئینات جشن ورودی</x:v>
      </x:c>
      <x:c r="E2735" s="53"/>
    </x:row>
    <x:row r="2736" ht="15" hidden="0" customHeight="1">
      <x:c r="A2736" s="53" t="str">
        <x:v>Anjoman accounting - refined.xlsx</x:v>
      </x:c>
      <x:c r="B2736" s="53" t="str">
        <x:v>خام_دفتر_قبلی</x:v>
      </x:c>
      <x:c r="C2736" s="53" t="str">
        <x:v>A29</x:v>
      </x:c>
      <x:c r="D2736" s="53" t="str">
        <x:v>28</x:v>
      </x:c>
      <x:c r="E2736" s="53"/>
    </x:row>
    <x:row r="2737" ht="15" hidden="0" customHeight="1">
      <x:c r="A2737" s="53" t="str">
        <x:v>Anjoman accounting - refined.xlsx</x:v>
      </x:c>
      <x:c r="B2737" s="53" t="str">
        <x:v>خام_دفتر_قبلی</x:v>
      </x:c>
      <x:c r="C2737" s="53" t="str">
        <x:v>E29</x:v>
      </x:c>
      <x:c r="D2737" s="53"/>
      <x:c r="E2737" s="53" t="str">
        <x:v>=1444000+1500000+1400000</x:v>
      </x:c>
    </x:row>
    <x:row r="2738" ht="15" hidden="0" customHeight="1">
      <x:c r="A2738" s="53" t="str">
        <x:v>Anjoman accounting - refined.xlsx</x:v>
      </x:c>
      <x:c r="B2738" s="53" t="str">
        <x:v>خام_دفتر_قبلی</x:v>
      </x:c>
      <x:c r="C2738" s="53" t="str">
        <x:v>G29</x:v>
      </x:c>
      <x:c r="D2738" s="53" t="str">
        <x:v>جایزه های جشن ورودی</x:v>
      </x:c>
      <x:c r="E2738" s="53"/>
    </x:row>
    <x:row r="2739" ht="15" hidden="0" customHeight="1">
      <x:c r="A2739" s="53" t="str">
        <x:v>Anjoman accounting - refined.xlsx</x:v>
      </x:c>
      <x:c r="B2739" s="53" t="str">
        <x:v>خام_دفتر_قبلی</x:v>
      </x:c>
      <x:c r="C2739" s="53" t="str">
        <x:v>K29</x:v>
      </x:c>
      <x:c r="D2739" s="53" t="str">
        <x:v>4344000</x:v>
      </x:c>
      <x:c r="E2739" s="53"/>
    </x:row>
    <x:row r="2740" ht="15" hidden="0" customHeight="1">
      <x:c r="A2740" s="53" t="str">
        <x:v>Anjoman accounting - refined.xlsx</x:v>
      </x:c>
      <x:c r="B2740" s="53" t="str">
        <x:v>خام_دفتر_قبلی</x:v>
      </x:c>
      <x:c r="C2740" s="53" t="str">
        <x:v>M29</x:v>
      </x:c>
      <x:c r="D2740" s="53" t="str">
        <x:v>جایزه های جشن ورودی</x:v>
      </x:c>
      <x:c r="E2740" s="53"/>
    </x:row>
    <x:row r="2741" ht="15" hidden="0" customHeight="1">
      <x:c r="A2741" s="53" t="str">
        <x:v>Anjoman accounting - refined.xlsx</x:v>
      </x:c>
      <x:c r="B2741" s="53" t="str">
        <x:v>خام_دفتر_قبلی</x:v>
      </x:c>
      <x:c r="C2741" s="53" t="str">
        <x:v>A30</x:v>
      </x:c>
      <x:c r="D2741" s="53" t="str">
        <x:v>29</x:v>
      </x:c>
      <x:c r="E2741" s="53"/>
    </x:row>
    <x:row r="2742" ht="15" hidden="0" customHeight="1">
      <x:c r="A2742" s="53" t="str">
        <x:v>Anjoman accounting - refined.xlsx</x:v>
      </x:c>
      <x:c r="B2742" s="53" t="str">
        <x:v>خام_دفتر_قبلی</x:v>
      </x:c>
      <x:c r="C2742" s="53" t="str">
        <x:v>E30</x:v>
      </x:c>
      <x:c r="D2742" s="53" t="str">
        <x:v>300000</x:v>
      </x:c>
      <x:c r="E2742" s="53"/>
    </x:row>
    <x:row r="2743" ht="15" hidden="0" customHeight="1">
      <x:c r="A2743" s="53" t="str">
        <x:v>Anjoman accounting - refined.xlsx</x:v>
      </x:c>
      <x:c r="B2743" s="53" t="str">
        <x:v>خام_دفتر_قبلی</x:v>
      </x:c>
      <x:c r="C2743" s="53" t="str">
        <x:v>G30</x:v>
      </x:c>
      <x:c r="D2743" s="53" t="str">
        <x:v>شاباش نقدی برای جشن ورودی</x:v>
      </x:c>
      <x:c r="E2743" s="53"/>
    </x:row>
    <x:row r="2744" ht="15" hidden="0" customHeight="1">
      <x:c r="A2744" s="53" t="str">
        <x:v>Anjoman accounting - refined.xlsx</x:v>
      </x:c>
      <x:c r="B2744" s="53" t="str">
        <x:v>خام_دفتر_قبلی</x:v>
      </x:c>
      <x:c r="C2744" s="53" t="str">
        <x:v>K30</x:v>
      </x:c>
      <x:c r="D2744" s="53" t="str">
        <x:v>300000</x:v>
      </x:c>
      <x:c r="E2744" s="53"/>
    </x:row>
    <x:row r="2745" ht="15" hidden="0" customHeight="1">
      <x:c r="A2745" s="53" t="str">
        <x:v>Anjoman accounting - refined.xlsx</x:v>
      </x:c>
      <x:c r="B2745" s="53" t="str">
        <x:v>خام_دفتر_قبلی</x:v>
      </x:c>
      <x:c r="C2745" s="53" t="str">
        <x:v>M30</x:v>
      </x:c>
      <x:c r="D2745" s="53" t="str">
        <x:v>شاباش نقدی برای جشن ورودی</x:v>
      </x:c>
      <x:c r="E2745" s="53"/>
    </x:row>
    <x:row r="2746" ht="15" hidden="0" customHeight="1">
      <x:c r="A2746" s="53" t="str">
        <x:v>Anjoman accounting - refined.xlsx</x:v>
      </x:c>
      <x:c r="B2746" s="53" t="str">
        <x:v>خام_دفتر_قبلی</x:v>
      </x:c>
      <x:c r="C2746" s="53" t="str">
        <x:v>A31</x:v>
      </x:c>
      <x:c r="D2746" s="53" t="str">
        <x:v>30</x:v>
      </x:c>
      <x:c r="E2746" s="53"/>
    </x:row>
    <x:row r="2747" ht="15" hidden="0" customHeight="1">
      <x:c r="A2747" s="53" t="str">
        <x:v>Anjoman accounting - refined.xlsx</x:v>
      </x:c>
      <x:c r="B2747" s="53" t="str">
        <x:v>خام_دفتر_قبلی</x:v>
      </x:c>
      <x:c r="C2747" s="53" t="str">
        <x:v>E31</x:v>
      </x:c>
      <x:c r="D2747" s="53" t="str">
        <x:v>70000</x:v>
      </x:c>
      <x:c r="E2747" s="53"/>
    </x:row>
    <x:row r="2748" ht="15" hidden="0" customHeight="1">
      <x:c r="A2748" s="53" t="str">
        <x:v>Anjoman accounting - refined.xlsx</x:v>
      </x:c>
      <x:c r="B2748" s="53" t="str">
        <x:v>خام_دفتر_قبلی</x:v>
      </x:c>
      <x:c r="C2748" s="53" t="str">
        <x:v>G31</x:v>
      </x:c>
      <x:c r="D2748" s="53" t="str">
        <x:v>دستمال برای اتاق انجمن</x:v>
      </x:c>
      <x:c r="E2748" s="53"/>
    </x:row>
    <x:row r="2749" ht="15" hidden="0" customHeight="1">
      <x:c r="A2749" s="53" t="str">
        <x:v>Anjoman accounting - refined.xlsx</x:v>
      </x:c>
      <x:c r="B2749" s="53" t="str">
        <x:v>خام_دفتر_قبلی</x:v>
      </x:c>
      <x:c r="C2749" s="53" t="str">
        <x:v>K31</x:v>
      </x:c>
      <x:c r="D2749" s="53" t="str">
        <x:v>70000</x:v>
      </x:c>
      <x:c r="E2749" s="53"/>
    </x:row>
    <x:row r="2750" ht="15" hidden="0" customHeight="1">
      <x:c r="A2750" s="53" t="str">
        <x:v>Anjoman accounting - refined.xlsx</x:v>
      </x:c>
      <x:c r="B2750" s="53" t="str">
        <x:v>خام_دفتر_قبلی</x:v>
      </x:c>
      <x:c r="C2750" s="53" t="str">
        <x:v>M31</x:v>
      </x:c>
      <x:c r="D2750" s="53" t="str">
        <x:v>دستمال برای اتاق انجمن</x:v>
      </x:c>
      <x:c r="E2750" s="53"/>
    </x:row>
    <x:row r="2751" ht="15" hidden="0" customHeight="1">
      <x:c r="A2751" s="53" t="str">
        <x:v>Anjoman accounting - refined.xlsx</x:v>
      </x:c>
      <x:c r="B2751" s="53" t="str">
        <x:v>خام_دفتر_قبلی</x:v>
      </x:c>
      <x:c r="C2751" s="53" t="str">
        <x:v>A32</x:v>
      </x:c>
      <x:c r="D2751" s="53" t="str">
        <x:v>31</x:v>
      </x:c>
      <x:c r="E2751" s="53"/>
    </x:row>
    <x:row r="2752" ht="15" hidden="0" customHeight="1">
      <x:c r="A2752" s="53" t="str">
        <x:v>Anjoman accounting - refined.xlsx</x:v>
      </x:c>
      <x:c r="B2752" s="53" t="str">
        <x:v>خام_دفتر_قبلی</x:v>
      </x:c>
      <x:c r="C2752" s="53" t="str">
        <x:v>E32</x:v>
      </x:c>
      <x:c r="D2752" s="53" t="str">
        <x:v>310000</x:v>
      </x:c>
      <x:c r="E2752" s="53"/>
    </x:row>
    <x:row r="2753" ht="15" hidden="0" customHeight="1">
      <x:c r="A2753" s="53" t="str">
        <x:v>Anjoman accounting - refined.xlsx</x:v>
      </x:c>
      <x:c r="B2753" s="53" t="str">
        <x:v>خام_دفتر_قبلی</x:v>
      </x:c>
      <x:c r="C2753" s="53" t="str">
        <x:v>G32</x:v>
      </x:c>
      <x:c r="D2753" s="53" t="str">
        <x:v>خرید اتصالات پروژکتور انجمن</x:v>
      </x:c>
      <x:c r="E2753" s="53"/>
    </x:row>
    <x:row r="2754" ht="15" hidden="0" customHeight="1">
      <x:c r="A2754" s="53" t="str">
        <x:v>Anjoman accounting - refined.xlsx</x:v>
      </x:c>
      <x:c r="B2754" s="53" t="str">
        <x:v>خام_دفتر_قبلی</x:v>
      </x:c>
      <x:c r="C2754" s="53" t="str">
        <x:v>K32</x:v>
      </x:c>
      <x:c r="D2754" s="53" t="str">
        <x:v>310000</x:v>
      </x:c>
      <x:c r="E2754" s="53"/>
    </x:row>
    <x:row r="2755" ht="15" hidden="0" customHeight="1">
      <x:c r="A2755" s="53" t="str">
        <x:v>Anjoman accounting - refined.xlsx</x:v>
      </x:c>
      <x:c r="B2755" s="53" t="str">
        <x:v>خام_دفتر_قبلی</x:v>
      </x:c>
      <x:c r="C2755" s="53" t="str">
        <x:v>M32</x:v>
      </x:c>
      <x:c r="D2755" s="53" t="str">
        <x:v>خرید اتصالات پروژکتور انجمن</x:v>
      </x:c>
      <x:c r="E2755" s="53"/>
    </x:row>
    <x:row r="2756" ht="15" hidden="0" customHeight="1">
      <x:c r="A2756" s="53" t="str">
        <x:v>Anjoman accounting - refined.xlsx</x:v>
      </x:c>
      <x:c r="B2756" s="53" t="str">
        <x:v>خام_دفتر_قبلی</x:v>
      </x:c>
      <x:c r="C2756" s="53" t="str">
        <x:v>A33</x:v>
      </x:c>
      <x:c r="D2756" s="53" t="str">
        <x:v>32</x:v>
      </x:c>
      <x:c r="E2756" s="53"/>
    </x:row>
    <x:row r="2757" ht="15" hidden="0" customHeight="1">
      <x:c r="A2757" s="53" t="str">
        <x:v>Anjoman accounting - refined.xlsx</x:v>
      </x:c>
      <x:c r="B2757" s="53" t="str">
        <x:v>خام_دفتر_قبلی</x:v>
      </x:c>
      <x:c r="C2757" s="53" t="str">
        <x:v>E33</x:v>
      </x:c>
      <x:c r="D2757" s="53" t="str">
        <x:v>1760000</x:v>
      </x:c>
      <x:c r="E2757" s="53"/>
    </x:row>
    <x:row r="2758" ht="15" hidden="0" customHeight="1">
      <x:c r="A2758" s="53" t="str">
        <x:v>Anjoman accounting - refined.xlsx</x:v>
      </x:c>
      <x:c r="B2758" s="53" t="str">
        <x:v>خام_دفتر_قبلی</x:v>
      </x:c>
      <x:c r="C2758" s="53" t="str">
        <x:v>G33</x:v>
      </x:c>
      <x:c r="D2758" s="53" t="str">
        <x:v>خرید حفاظ برق و ابزار برای اتصال پروژکتور در غرفه ها</x:v>
      </x:c>
      <x:c r="E2758" s="53"/>
    </x:row>
    <x:row r="2759" ht="15" hidden="0" customHeight="1">
      <x:c r="A2759" s="53" t="str">
        <x:v>Anjoman accounting - refined.xlsx</x:v>
      </x:c>
      <x:c r="B2759" s="53" t="str">
        <x:v>خام_دفتر_قبلی</x:v>
      </x:c>
      <x:c r="C2759" s="53" t="str">
        <x:v>K33</x:v>
      </x:c>
      <x:c r="D2759" s="53" t="str">
        <x:v>1760000</x:v>
      </x:c>
      <x:c r="E2759" s="53"/>
    </x:row>
    <x:row r="2760" ht="15" hidden="0" customHeight="1">
      <x:c r="A2760" s="53" t="str">
        <x:v>Anjoman accounting - refined.xlsx</x:v>
      </x:c>
      <x:c r="B2760" s="53" t="str">
        <x:v>خام_دفتر_قبلی</x:v>
      </x:c>
      <x:c r="C2760" s="53" t="str">
        <x:v>M33</x:v>
      </x:c>
      <x:c r="D2760" s="53" t="str">
        <x:v>خرید حفاظ برق و ابزار برای اتصال پروژکتور در غرفه ها</x:v>
      </x:c>
      <x:c r="E2760" s="53"/>
    </x:row>
    <x:row r="2761" ht="15" hidden="0" customHeight="1">
      <x:c r="A2761" s="53" t="str">
        <x:v>Anjoman accounting - refined.xlsx</x:v>
      </x:c>
      <x:c r="B2761" s="53" t="str">
        <x:v>خام_دفتر_قبلی</x:v>
      </x:c>
      <x:c r="C2761" s="53" t="str">
        <x:v>A34</x:v>
      </x:c>
      <x:c r="D2761" s="53" t="str">
        <x:v>33</x:v>
      </x:c>
      <x:c r="E2761" s="53"/>
    </x:row>
    <x:row r="2762" ht="15" hidden="0" customHeight="1">
      <x:c r="A2762" s="53" t="str">
        <x:v>Anjoman accounting - refined.xlsx</x:v>
      </x:c>
      <x:c r="B2762" s="53" t="str">
        <x:v>خام_دفتر_قبلی</x:v>
      </x:c>
      <x:c r="C2762" s="53" t="str">
        <x:v>E34</x:v>
      </x:c>
      <x:c r="D2762" s="53" t="str">
        <x:v>230000</x:v>
      </x:c>
      <x:c r="E2762" s="53"/>
    </x:row>
    <x:row r="2763" ht="15" hidden="0" customHeight="1">
      <x:c r="A2763" s="53" t="str">
        <x:v>Anjoman accounting - refined.xlsx</x:v>
      </x:c>
      <x:c r="B2763" s="53" t="str">
        <x:v>خام_دفتر_قبلی</x:v>
      </x:c>
      <x:c r="C2763" s="53" t="str">
        <x:v>G34</x:v>
      </x:c>
      <x:c r="D2763" s="53" t="str">
        <x:v>پذیرایی غرفه انجمن</x:v>
      </x:c>
      <x:c r="E2763" s="53"/>
    </x:row>
    <x:row r="2764" ht="15" hidden="0" customHeight="1">
      <x:c r="A2764" s="53" t="str">
        <x:v>Anjoman accounting - refined.xlsx</x:v>
      </x:c>
      <x:c r="B2764" s="53" t="str">
        <x:v>خام_دفتر_قبلی</x:v>
      </x:c>
      <x:c r="C2764" s="53" t="str">
        <x:v>K34</x:v>
      </x:c>
      <x:c r="D2764" s="53" t="str">
        <x:v>230000</x:v>
      </x:c>
      <x:c r="E2764" s="53"/>
    </x:row>
    <x:row r="2765" ht="15" hidden="0" customHeight="1">
      <x:c r="A2765" s="53" t="str">
        <x:v>Anjoman accounting - refined.xlsx</x:v>
      </x:c>
      <x:c r="B2765" s="53" t="str">
        <x:v>خام_دفتر_قبلی</x:v>
      </x:c>
      <x:c r="C2765" s="53" t="str">
        <x:v>M34</x:v>
      </x:c>
      <x:c r="D2765" s="53" t="str">
        <x:v>پذیرایی غرفه انجمن</x:v>
      </x:c>
      <x:c r="E2765" s="53"/>
    </x:row>
    <x:row r="2766" ht="15" hidden="0" customHeight="1">
      <x:c r="A2766" s="53" t="str">
        <x:v>Anjoman accounting - refined.xlsx</x:v>
      </x:c>
      <x:c r="B2766" s="53" t="str">
        <x:v>خام_دفتر_قبلی</x:v>
      </x:c>
      <x:c r="C2766" s="53" t="str">
        <x:v>A35</x:v>
      </x:c>
      <x:c r="D2766" s="53" t="str">
        <x:v>34</x:v>
      </x:c>
      <x:c r="E2766" s="53"/>
    </x:row>
    <x:row r="2767" ht="15" hidden="0" customHeight="1">
      <x:c r="A2767" s="53" t="str">
        <x:v>Anjoman accounting - refined.xlsx</x:v>
      </x:c>
      <x:c r="B2767" s="53" t="str">
        <x:v>خام_دفتر_قبلی</x:v>
      </x:c>
      <x:c r="C2767" s="53" t="str">
        <x:v>E35</x:v>
      </x:c>
      <x:c r="D2767" s="53" t="str">
        <x:v>1226100</x:v>
      </x:c>
      <x:c r="E2767" s="53"/>
    </x:row>
    <x:row r="2768" ht="15" hidden="0" customHeight="1">
      <x:c r="A2768" s="53" t="str">
        <x:v>Anjoman accounting - refined.xlsx</x:v>
      </x:c>
      <x:c r="B2768" s="53" t="str">
        <x:v>خام_دفتر_قبلی</x:v>
      </x:c>
      <x:c r="C2768" s="53" t="str">
        <x:v>G35</x:v>
      </x:c>
      <x:c r="D2768" s="53" t="str">
        <x:v>خرید دارو برای کمک های اولیه در انجمن</x:v>
      </x:c>
      <x:c r="E2768" s="53"/>
    </x:row>
    <x:row r="2769" ht="15" hidden="0" customHeight="1">
      <x:c r="A2769" s="53" t="str">
        <x:v>Anjoman accounting - refined.xlsx</x:v>
      </x:c>
      <x:c r="B2769" s="53" t="str">
        <x:v>خام_دفتر_قبلی</x:v>
      </x:c>
      <x:c r="C2769" s="53" t="str">
        <x:v>K35</x:v>
      </x:c>
      <x:c r="D2769" s="53" t="str">
        <x:v>1226100</x:v>
      </x:c>
      <x:c r="E2769" s="53"/>
    </x:row>
    <x:row r="2770" ht="15" hidden="0" customHeight="1">
      <x:c r="A2770" s="53" t="str">
        <x:v>Anjoman accounting - refined.xlsx</x:v>
      </x:c>
      <x:c r="B2770" s="53" t="str">
        <x:v>خام_دفتر_قبلی</x:v>
      </x:c>
      <x:c r="C2770" s="53" t="str">
        <x:v>M35</x:v>
      </x:c>
      <x:c r="D2770" s="53" t="str">
        <x:v>خرید دارو برای کمک های اولیه در انجمن</x:v>
      </x:c>
      <x:c r="E2770" s="53"/>
    </x:row>
    <x:row r="2771" ht="15" hidden="0" customHeight="1">
      <x:c r="A2771" s="53" t="str">
        <x:v>Anjoman accounting - refined.xlsx</x:v>
      </x:c>
      <x:c r="B2771" s="53" t="str">
        <x:v>خام_دفتر_قبلی</x:v>
      </x:c>
      <x:c r="C2771" s="53" t="str">
        <x:v>A36</x:v>
      </x:c>
      <x:c r="D2771" s="53" t="str">
        <x:v>35</x:v>
      </x:c>
      <x:c r="E2771" s="53"/>
    </x:row>
    <x:row r="2772" ht="15" hidden="0" customHeight="1">
      <x:c r="A2772" s="53" t="str">
        <x:v>Anjoman accounting - refined.xlsx</x:v>
      </x:c>
      <x:c r="B2772" s="53" t="str">
        <x:v>خام_دفتر_قبلی</x:v>
      </x:c>
      <x:c r="C2772" s="53" t="str">
        <x:v>E36</x:v>
      </x:c>
      <x:c r="D2772" s="53" t="str">
        <x:v>2300</x:v>
      </x:c>
      <x:c r="E2772" s="53"/>
    </x:row>
    <x:row r="2773" ht="15" hidden="0" customHeight="1">
      <x:c r="A2773" s="53" t="str">
        <x:v>Anjoman accounting - refined.xlsx</x:v>
      </x:c>
      <x:c r="B2773" s="53" t="str">
        <x:v>خام_دفتر_قبلی</x:v>
      </x:c>
      <x:c r="C2773" s="53" t="str">
        <x:v>G36</x:v>
      </x:c>
      <x:c r="D2773" s="53" t="str">
        <x:v>چاپ قوانین اتاق انجمن</x:v>
      </x:c>
      <x:c r="E2773" s="53"/>
    </x:row>
    <x:row r="2774" ht="15" hidden="0" customHeight="1">
      <x:c r="A2774" s="53" t="str">
        <x:v>Anjoman accounting - refined.xlsx</x:v>
      </x:c>
      <x:c r="B2774" s="53" t="str">
        <x:v>خام_دفتر_قبلی</x:v>
      </x:c>
      <x:c r="C2774" s="53" t="str">
        <x:v>K36</x:v>
      </x:c>
      <x:c r="D2774" s="53" t="str">
        <x:v>2300</x:v>
      </x:c>
      <x:c r="E2774" s="53"/>
    </x:row>
    <x:row r="2775" ht="15" hidden="0" customHeight="1">
      <x:c r="A2775" s="53" t="str">
        <x:v>Anjoman accounting - refined.xlsx</x:v>
      </x:c>
      <x:c r="B2775" s="53" t="str">
        <x:v>خام_دفتر_قبلی</x:v>
      </x:c>
      <x:c r="C2775" s="53" t="str">
        <x:v>M36</x:v>
      </x:c>
      <x:c r="D2775" s="53" t="str">
        <x:v>چاپ قوانین اتاق انجمن</x:v>
      </x:c>
      <x:c r="E2775" s="53"/>
    </x:row>
    <x:row r="2776" ht="15" hidden="0" customHeight="1">
      <x:c r="A2776" s="53" t="str">
        <x:v>Anjoman accounting - refined.xlsx</x:v>
      </x:c>
      <x:c r="B2776" s="53" t="str">
        <x:v>خام_دفتر_قبلی</x:v>
      </x:c>
      <x:c r="C2776" s="53" t="str">
        <x:v>A37</x:v>
      </x:c>
      <x:c r="D2776" s="53" t="str">
        <x:v>36</x:v>
      </x:c>
      <x:c r="E2776" s="53"/>
    </x:row>
    <x:row r="2777" ht="15" hidden="0" customHeight="1">
      <x:c r="A2777" s="53" t="str">
        <x:v>Anjoman accounting - refined.xlsx</x:v>
      </x:c>
      <x:c r="B2777" s="53" t="str">
        <x:v>خام_دفتر_قبلی</x:v>
      </x:c>
      <x:c r="C2777" s="53" t="str">
        <x:v>E37</x:v>
      </x:c>
      <x:c r="D2777" s="53" t="str">
        <x:v>1300</x:v>
      </x:c>
      <x:c r="E2777" s="53"/>
    </x:row>
    <x:row r="2778" ht="15" hidden="0" customHeight="1">
      <x:c r="A2778" s="53" t="str">
        <x:v>Anjoman accounting - refined.xlsx</x:v>
      </x:c>
      <x:c r="B2778" s="53" t="str">
        <x:v>خام_دفتر_قبلی</x:v>
      </x:c>
      <x:c r="C2778" s="53" t="str">
        <x:v>G37</x:v>
      </x:c>
      <x:c r="D2778" s="53" t="str">
        <x:v>چاپ قوانین اتاق انجمن</x:v>
      </x:c>
      <x:c r="E2778" s="53"/>
    </x:row>
    <x:row r="2779" ht="15" hidden="0" customHeight="1">
      <x:c r="A2779" s="53" t="str">
        <x:v>Anjoman accounting - refined.xlsx</x:v>
      </x:c>
      <x:c r="B2779" s="53" t="str">
        <x:v>خام_دفتر_قبلی</x:v>
      </x:c>
      <x:c r="C2779" s="53" t="str">
        <x:v>K37</x:v>
      </x:c>
      <x:c r="D2779" s="53" t="str">
        <x:v>1300</x:v>
      </x:c>
      <x:c r="E2779" s="53"/>
    </x:row>
    <x:row r="2780" ht="15" hidden="0" customHeight="1">
      <x:c r="A2780" s="53" t="str">
        <x:v>Anjoman accounting - refined.xlsx</x:v>
      </x:c>
      <x:c r="B2780" s="53" t="str">
        <x:v>خام_دفتر_قبلی</x:v>
      </x:c>
      <x:c r="C2780" s="53" t="str">
        <x:v>M37</x:v>
      </x:c>
      <x:c r="D2780" s="53" t="str">
        <x:v>چاپ قوانین اتاق انجمن</x:v>
      </x:c>
      <x:c r="E2780" s="53"/>
    </x:row>
    <x:row r="2781" ht="15" hidden="0" customHeight="1">
      <x:c r="A2781" s="53" t="str">
        <x:v>Anjoman accounting - refined.xlsx</x:v>
      </x:c>
      <x:c r="B2781" s="53" t="str">
        <x:v>خام_دفتر_قبلی</x:v>
      </x:c>
      <x:c r="C2781" s="53" t="str">
        <x:v>A38</x:v>
      </x:c>
      <x:c r="D2781" s="53" t="str">
        <x:v>37</x:v>
      </x:c>
      <x:c r="E2781" s="53"/>
    </x:row>
    <x:row r="2782" ht="15" hidden="0" customHeight="1">
      <x:c r="A2782" s="53" t="str">
        <x:v>Anjoman accounting - refined.xlsx</x:v>
      </x:c>
      <x:c r="B2782" s="53" t="str">
        <x:v>خام_دفتر_قبلی</x:v>
      </x:c>
      <x:c r="C2782" s="53" t="str">
        <x:v>D38</x:v>
      </x:c>
      <x:c r="D2782" s="53" t="str">
        <x:v>آذر</x:v>
      </x:c>
      <x:c r="E2782" s="53"/>
    </x:row>
    <x:row r="2783" ht="15" hidden="0" customHeight="1">
      <x:c r="A2783" s="53" t="str">
        <x:v>Anjoman accounting - refined.xlsx</x:v>
      </x:c>
      <x:c r="B2783" s="53" t="str">
        <x:v>خام_دفتر_قبلی</x:v>
      </x:c>
      <x:c r="C2783" s="53" t="str">
        <x:v>J38</x:v>
      </x:c>
      <x:c r="D2783" s="53" t="str">
        <x:v>آذر</x:v>
      </x:c>
      <x:c r="E2783" s="53"/>
    </x:row>
    <x:row r="2784" ht="15" hidden="0" customHeight="1">
      <x:c r="A2784" s="53" t="str">
        <x:v>Anjoman accounting - refined.xlsx</x:v>
      </x:c>
      <x:c r="B2784" s="53" t="str">
        <x:v>خام_دفتر_قبلی</x:v>
      </x:c>
      <x:c r="C2784" s="53" t="str">
        <x:v>A39</x:v>
      </x:c>
      <x:c r="D2784" s="53" t="str">
        <x:v>38</x:v>
      </x:c>
      <x:c r="E2784" s="53"/>
    </x:row>
    <x:row r="2785" ht="15" hidden="0" customHeight="1">
      <x:c r="A2785" s="53" t="str">
        <x:v>Anjoman accounting - refined.xlsx</x:v>
      </x:c>
      <x:c r="B2785" s="53" t="str">
        <x:v>خام_دفتر_قبلی</x:v>
      </x:c>
      <x:c r="C2785" s="53" t="str">
        <x:v>B39</x:v>
      </x:c>
      <x:c r="D2785" s="53" t="str">
        <x:v>واریزی دکتر مقیمی جهت کمک به انجمن</x:v>
      </x:c>
      <x:c r="E2785" s="53"/>
    </x:row>
    <x:row r="2786" ht="15" hidden="0" customHeight="1">
      <x:c r="A2786" s="53" t="str">
        <x:v>Anjoman accounting - refined.xlsx</x:v>
      </x:c>
      <x:c r="B2786" s="53" t="str">
        <x:v>خام_دفتر_قبلی</x:v>
      </x:c>
      <x:c r="C2786" s="53" t="str">
        <x:v>C39</x:v>
      </x:c>
      <x:c r="D2786" s="53" t="str">
        <x:v>10000000</x:v>
      </x:c>
      <x:c r="E2786" s="53"/>
    </x:row>
    <x:row r="2787" ht="15" hidden="0" customHeight="1">
      <x:c r="A2787" s="53" t="str">
        <x:v>Anjoman accounting - refined.xlsx</x:v>
      </x:c>
      <x:c r="B2787" s="53" t="str">
        <x:v>خام_دفتر_قبلی</x:v>
      </x:c>
      <x:c r="C2787" s="53" t="str">
        <x:v>H39</x:v>
      </x:c>
      <x:c r="D2787" s="53" t="str">
        <x:v>واریزی دکتر مقیمی جهت کمک به انجمن</x:v>
      </x:c>
      <x:c r="E2787" s="53"/>
    </x:row>
    <x:row r="2788" ht="15" hidden="0" customHeight="1">
      <x:c r="A2788" s="53" t="str">
        <x:v>Anjoman accounting - refined.xlsx</x:v>
      </x:c>
      <x:c r="B2788" s="53" t="str">
        <x:v>خام_دفتر_قبلی</x:v>
      </x:c>
      <x:c r="C2788" s="53" t="str">
        <x:v>I39</x:v>
      </x:c>
      <x:c r="D2788" s="53" t="str">
        <x:v>10000000</x:v>
      </x:c>
      <x:c r="E2788" s="53"/>
    </x:row>
    <x:row r="2789" ht="15" hidden="0" customHeight="1">
      <x:c r="A2789" s="53" t="str">
        <x:v>Anjoman accounting - refined.xlsx</x:v>
      </x:c>
      <x:c r="B2789" s="53" t="str">
        <x:v>خام_دفتر_قبلی</x:v>
      </x:c>
      <x:c r="C2789" s="53" t="str">
        <x:v>A40</x:v>
      </x:c>
      <x:c r="D2789" s="53" t="str">
        <x:v>39</x:v>
      </x:c>
      <x:c r="E2789" s="53"/>
    </x:row>
    <x:row r="2790" ht="15" hidden="0" customHeight="1">
      <x:c r="A2790" s="53" t="str">
        <x:v>Anjoman accounting - refined.xlsx</x:v>
      </x:c>
      <x:c r="B2790" s="53" t="str">
        <x:v>خام_دفتر_قبلی</x:v>
      </x:c>
      <x:c r="C2790" s="53" t="str">
        <x:v>B40</x:v>
      </x:c>
      <x:c r="D2790" s="53" t="str">
        <x:v>واریزی دکتر مقیمی جهت کمک به انجمن</x:v>
      </x:c>
      <x:c r="E2790" s="53"/>
    </x:row>
    <x:row r="2791" ht="15" hidden="0" customHeight="1">
      <x:c r="A2791" s="53" t="str">
        <x:v>Anjoman accounting - refined.xlsx</x:v>
      </x:c>
      <x:c r="B2791" s="53" t="str">
        <x:v>خام_دفتر_قبلی</x:v>
      </x:c>
      <x:c r="C2791" s="53" t="str">
        <x:v>C40</x:v>
      </x:c>
      <x:c r="D2791" s="53" t="str">
        <x:v>7000000</x:v>
      </x:c>
      <x:c r="E2791" s="53"/>
    </x:row>
    <x:row r="2792" ht="15" hidden="0" customHeight="1">
      <x:c r="A2792" s="53" t="str">
        <x:v>Anjoman accounting - refined.xlsx</x:v>
      </x:c>
      <x:c r="B2792" s="53" t="str">
        <x:v>خام_دفتر_قبلی</x:v>
      </x:c>
      <x:c r="C2792" s="53" t="str">
        <x:v>H40</x:v>
      </x:c>
      <x:c r="D2792" s="53" t="str">
        <x:v>واریزی دکتر مقیمی جهت کمک به انجمن</x:v>
      </x:c>
      <x:c r="E2792" s="53"/>
    </x:row>
    <x:row r="2793" ht="15" hidden="0" customHeight="1">
      <x:c r="A2793" s="53" t="str">
        <x:v>Anjoman accounting - refined.xlsx</x:v>
      </x:c>
      <x:c r="B2793" s="53" t="str">
        <x:v>خام_دفتر_قبلی</x:v>
      </x:c>
      <x:c r="C2793" s="53" t="str">
        <x:v>I40</x:v>
      </x:c>
      <x:c r="D2793" s="53" t="str">
        <x:v>7000000</x:v>
      </x:c>
      <x:c r="E2793" s="53"/>
    </x:row>
    <x:row r="2794" ht="15" hidden="0" customHeight="1">
      <x:c r="A2794" s="53" t="str">
        <x:v>Anjoman accounting - refined.xlsx</x:v>
      </x:c>
      <x:c r="B2794" s="53" t="str">
        <x:v>خام_دفتر_قبلی</x:v>
      </x:c>
      <x:c r="C2794" s="53" t="str">
        <x:v>A41</x:v>
      </x:c>
      <x:c r="D2794" s="53" t="str">
        <x:v>40</x:v>
      </x:c>
      <x:c r="E2794" s="53"/>
    </x:row>
    <x:row r="2795" ht="15" hidden="0" customHeight="1">
      <x:c r="A2795" s="53" t="str">
        <x:v>Anjoman accounting - refined.xlsx</x:v>
      </x:c>
      <x:c r="B2795" s="53" t="str">
        <x:v>خام_دفتر_قبلی</x:v>
      </x:c>
      <x:c r="C2795" s="53" t="str">
        <x:v>B41</x:v>
      </x:c>
      <x:c r="D2795" s="53" t="str">
        <x:v>واریزی دکتر مقیمی جهت کمک به انجمن</x:v>
      </x:c>
      <x:c r="E2795" s="53"/>
    </x:row>
    <x:row r="2796" ht="15" hidden="0" customHeight="1">
      <x:c r="A2796" s="53" t="str">
        <x:v>Anjoman accounting - refined.xlsx</x:v>
      </x:c>
      <x:c r="B2796" s="53" t="str">
        <x:v>خام_دفتر_قبلی</x:v>
      </x:c>
      <x:c r="C2796" s="53" t="str">
        <x:v>C41</x:v>
      </x:c>
      <x:c r="D2796" s="53" t="str">
        <x:v>6000000</x:v>
      </x:c>
      <x:c r="E2796" s="53"/>
    </x:row>
    <x:row r="2797" ht="15" hidden="0" customHeight="1">
      <x:c r="A2797" s="53" t="str">
        <x:v>Anjoman accounting - refined.xlsx</x:v>
      </x:c>
      <x:c r="B2797" s="53" t="str">
        <x:v>خام_دفتر_قبلی</x:v>
      </x:c>
      <x:c r="C2797" s="53" t="str">
        <x:v>H41</x:v>
      </x:c>
      <x:c r="D2797" s="53" t="str">
        <x:v>واریزی دکتر مقیمی جهت کمک به انجمن</x:v>
      </x:c>
      <x:c r="E2797" s="53"/>
    </x:row>
    <x:row r="2798" ht="15" hidden="0" customHeight="1">
      <x:c r="A2798" s="53" t="str">
        <x:v>Anjoman accounting - refined.xlsx</x:v>
      </x:c>
      <x:c r="B2798" s="53" t="str">
        <x:v>خام_دفتر_قبلی</x:v>
      </x:c>
      <x:c r="C2798" s="53" t="str">
        <x:v>I41</x:v>
      </x:c>
      <x:c r="D2798" s="53" t="str">
        <x:v>6000000</x:v>
      </x:c>
      <x:c r="E2798" s="53"/>
    </x:row>
    <x:row r="2799" ht="15" hidden="0" customHeight="1">
      <x:c r="A2799" s="53" t="str">
        <x:v>Anjoman accounting - refined.xlsx</x:v>
      </x:c>
      <x:c r="B2799" s="53" t="str">
        <x:v>خام_دفتر_قبلی</x:v>
      </x:c>
      <x:c r="C2799" s="53" t="str">
        <x:v>A42</x:v>
      </x:c>
      <x:c r="D2799" s="53" t="str">
        <x:v>41</x:v>
      </x:c>
      <x:c r="E2799" s="53"/>
    </x:row>
    <x:row r="2800" ht="15" hidden="0" customHeight="1">
      <x:c r="A2800" s="53" t="str">
        <x:v>Anjoman accounting - refined.xlsx</x:v>
      </x:c>
      <x:c r="B2800" s="53" t="str">
        <x:v>خام_دفتر_قبلی</x:v>
      </x:c>
      <x:c r="C2800" s="53" t="str">
        <x:v>D42</x:v>
      </x:c>
      <x:c r="D2800" s="53" t="str">
        <x:v>دی</x:v>
      </x:c>
      <x:c r="E2800" s="53"/>
    </x:row>
    <x:row r="2801" ht="15" hidden="0" customHeight="1">
      <x:c r="A2801" s="53" t="str">
        <x:v>Anjoman accounting - refined.xlsx</x:v>
      </x:c>
      <x:c r="B2801" s="53" t="str">
        <x:v>خام_دفتر_قبلی</x:v>
      </x:c>
      <x:c r="C2801" s="53" t="str">
        <x:v>J42</x:v>
      </x:c>
      <x:c r="D2801" s="53" t="str">
        <x:v>دی</x:v>
      </x:c>
      <x:c r="E2801" s="53"/>
    </x:row>
    <x:row r="2802" ht="15" hidden="0" customHeight="1">
      <x:c r="A2802" s="53" t="str">
        <x:v>Anjoman accounting - refined.xlsx</x:v>
      </x:c>
      <x:c r="B2802" s="53" t="str">
        <x:v>خام_دفتر_قبلی</x:v>
      </x:c>
      <x:c r="C2802" s="53" t="str">
        <x:v>A43</x:v>
      </x:c>
      <x:c r="D2802" s="53" t="str">
        <x:v>42</x:v>
      </x:c>
      <x:c r="E2802" s="53"/>
    </x:row>
    <x:row r="2803" ht="15" hidden="0" customHeight="1">
      <x:c r="A2803" s="53" t="str">
        <x:v>Anjoman accounting - refined.xlsx</x:v>
      </x:c>
      <x:c r="B2803" s="53" t="str">
        <x:v>خام_دفتر_قبلی</x:v>
      </x:c>
      <x:c r="C2803" s="53" t="str">
        <x:v>B43</x:v>
      </x:c>
      <x:c r="D2803" s="53" t="str">
        <x:v>دونیشن برای جشن یلدا در حساب</x:v>
      </x:c>
      <x:c r="E2803" s="53"/>
    </x:row>
    <x:row r="2804" ht="15" hidden="0" customHeight="1">
      <x:c r="A2804" s="53" t="str">
        <x:v>Anjoman accounting - refined.xlsx</x:v>
      </x:c>
      <x:c r="B2804" s="53" t="str">
        <x:v>خام_دفتر_قبلی</x:v>
      </x:c>
      <x:c r="C2804" s="53" t="str">
        <x:v>C43</x:v>
      </x:c>
      <x:c r="D2804" s="53" t="str">
        <x:v>15790000</x:v>
      </x:c>
      <x:c r="E2804" s="53"/>
    </x:row>
    <x:row r="2805" ht="15" hidden="0" customHeight="1">
      <x:c r="A2805" s="53" t="str">
        <x:v>Anjoman accounting - refined.xlsx</x:v>
      </x:c>
      <x:c r="B2805" s="53" t="str">
        <x:v>خام_دفتر_قبلی</x:v>
      </x:c>
      <x:c r="C2805" s="53" t="str">
        <x:v>E43</x:v>
      </x:c>
      <x:c r="D2805" s="53" t="str">
        <x:v>2137000</x:v>
      </x:c>
      <x:c r="E2805" s="53"/>
    </x:row>
    <x:row r="2806" ht="15" hidden="0" customHeight="1">
      <x:c r="A2806" s="53" t="str">
        <x:v>Anjoman accounting - refined.xlsx</x:v>
      </x:c>
      <x:c r="B2806" s="53" t="str">
        <x:v>خام_دفتر_قبلی</x:v>
      </x:c>
      <x:c r="C2806" s="53" t="str">
        <x:v>G43</x:v>
      </x:c>
      <x:c r="D2806" s="53" t="str">
        <x:v>جایزه و پذیرایی جشن یلدا</x:v>
      </x:c>
      <x:c r="E2806" s="53"/>
    </x:row>
    <x:row r="2807" ht="15" hidden="0" customHeight="1">
      <x:c r="A2807" s="53" t="str">
        <x:v>Anjoman accounting - refined.xlsx</x:v>
      </x:c>
      <x:c r="B2807" s="53" t="str">
        <x:v>خام_دفتر_قبلی</x:v>
      </x:c>
      <x:c r="C2807" s="53" t="str">
        <x:v>H43</x:v>
      </x:c>
      <x:c r="D2807" s="53" t="str">
        <x:v>دونیشن برای جشن یلدا در حساب</x:v>
      </x:c>
      <x:c r="E2807" s="53"/>
    </x:row>
    <x:row r="2808" ht="15" hidden="0" customHeight="1">
      <x:c r="A2808" s="53" t="str">
        <x:v>Anjoman accounting - refined.xlsx</x:v>
      </x:c>
      <x:c r="B2808" s="53" t="str">
        <x:v>خام_دفتر_قبلی</x:v>
      </x:c>
      <x:c r="C2808" s="53" t="str">
        <x:v>I43</x:v>
      </x:c>
      <x:c r="D2808" s="53" t="str">
        <x:v>15790000</x:v>
      </x:c>
      <x:c r="E2808" s="53"/>
    </x:row>
    <x:row r="2809" ht="15" hidden="0" customHeight="1">
      <x:c r="A2809" s="53" t="str">
        <x:v>Anjoman accounting - refined.xlsx</x:v>
      </x:c>
      <x:c r="B2809" s="53" t="str">
        <x:v>خام_دفتر_قبلی</x:v>
      </x:c>
      <x:c r="C2809" s="53" t="str">
        <x:v>K43</x:v>
      </x:c>
      <x:c r="D2809" s="53" t="str">
        <x:v>2137000</x:v>
      </x:c>
      <x:c r="E2809" s="53"/>
    </x:row>
    <x:row r="2810" ht="15" hidden="0" customHeight="1">
      <x:c r="A2810" s="53" t="str">
        <x:v>Anjoman accounting - refined.xlsx</x:v>
      </x:c>
      <x:c r="B2810" s="53" t="str">
        <x:v>خام_دفتر_قبلی</x:v>
      </x:c>
      <x:c r="C2810" s="53" t="str">
        <x:v>M43</x:v>
      </x:c>
      <x:c r="D2810" s="53" t="str">
        <x:v>جایزه و پذیرایی جشن یلدا</x:v>
      </x:c>
      <x:c r="E2810" s="53"/>
    </x:row>
    <x:row r="2811" ht="15" hidden="0" customHeight="1">
      <x:c r="A2811" s="53" t="str">
        <x:v>Anjoman accounting - refined.xlsx</x:v>
      </x:c>
      <x:c r="B2811" s="53" t="str">
        <x:v>خام_دفتر_قبلی</x:v>
      </x:c>
      <x:c r="C2811" s="53" t="str">
        <x:v>A44</x:v>
      </x:c>
      <x:c r="D2811" s="53" t="str">
        <x:v>43</x:v>
      </x:c>
      <x:c r="E2811" s="53"/>
    </x:row>
    <x:row r="2812" ht="15" hidden="0" customHeight="1">
      <x:c r="A2812" s="53" t="str">
        <x:v>Anjoman accounting - refined.xlsx</x:v>
      </x:c>
      <x:c r="B2812" s="53" t="str">
        <x:v>خام_دفتر_قبلی</x:v>
      </x:c>
      <x:c r="C2812" s="53" t="str">
        <x:v>B44</x:v>
      </x:c>
      <x:c r="D2812" s="53" t="str">
        <x:v>دونیشن وجه نقد برای جشن یلدا</x:v>
      </x:c>
      <x:c r="E2812" s="53"/>
    </x:row>
    <x:row r="2813" ht="15" hidden="0" customHeight="1">
      <x:c r="A2813" s="53" t="str">
        <x:v>Anjoman accounting - refined.xlsx</x:v>
      </x:c>
      <x:c r="B2813" s="53" t="str">
        <x:v>خام_دفتر_قبلی</x:v>
      </x:c>
      <x:c r="C2813" s="53" t="str">
        <x:v>C44</x:v>
      </x:c>
      <x:c r="D2813" s="53" t="str">
        <x:v>700000</x:v>
      </x:c>
      <x:c r="E2813" s="53"/>
    </x:row>
    <x:row r="2814" ht="15" hidden="0" customHeight="1">
      <x:c r="A2814" s="53" t="str">
        <x:v>Anjoman accounting - refined.xlsx</x:v>
      </x:c>
      <x:c r="B2814" s="53" t="str">
        <x:v>خام_دفتر_قبلی</x:v>
      </x:c>
      <x:c r="C2814" s="53" t="str">
        <x:v>H44</x:v>
      </x:c>
      <x:c r="D2814" s="53" t="str">
        <x:v>دونیشن وجه نقد برای جشن یلدا</x:v>
      </x:c>
      <x:c r="E2814" s="53"/>
    </x:row>
    <x:row r="2815" ht="15" hidden="0" customHeight="1">
      <x:c r="A2815" s="53" t="str">
        <x:v>Anjoman accounting - refined.xlsx</x:v>
      </x:c>
      <x:c r="B2815" s="53" t="str">
        <x:v>خام_دفتر_قبلی</x:v>
      </x:c>
      <x:c r="C2815" s="53" t="str">
        <x:v>I44</x:v>
      </x:c>
      <x:c r="D2815" s="53" t="str">
        <x:v>700000</x:v>
      </x:c>
      <x:c r="E2815" s="53"/>
    </x:row>
    <x:row r="2816" ht="15" hidden="0" customHeight="1">
      <x:c r="A2816" s="53" t="str">
        <x:v>Anjoman accounting - refined.xlsx</x:v>
      </x:c>
      <x:c r="B2816" s="53" t="str">
        <x:v>خام_دفتر_قبلی</x:v>
      </x:c>
      <x:c r="C2816" s="53" t="str">
        <x:v>A45</x:v>
      </x:c>
      <x:c r="D2816" s="53" t="str">
        <x:v>44</x:v>
      </x:c>
      <x:c r="E2816" s="53"/>
    </x:row>
    <x:row r="2817" ht="15" hidden="0" customHeight="1">
      <x:c r="A2817" s="53" t="str">
        <x:v>Anjoman accounting - refined.xlsx</x:v>
      </x:c>
      <x:c r="B2817" s="53" t="str">
        <x:v>خام_دفتر_قبلی</x:v>
      </x:c>
      <x:c r="C2817" s="53" t="str">
        <x:v>D45</x:v>
      </x:c>
      <x:c r="D2817" s="53" t="str">
        <x:v>مهر 05</x:v>
      </x:c>
      <x:c r="E2817" s="53"/>
    </x:row>
    <x:row r="2818" ht="15" hidden="0" customHeight="1">
      <x:c r="A2818" s="53" t="str">
        <x:v>Anjoman accounting - refined.xlsx</x:v>
      </x:c>
      <x:c r="B2818" s="53" t="str">
        <x:v>خام_دفتر_قبلی</x:v>
      </x:c>
      <x:c r="C2818" s="53" t="str">
        <x:v>J45</x:v>
      </x:c>
      <x:c r="D2818" s="53" t="str">
        <x:v>مهر 05</x:v>
      </x:c>
      <x:c r="E2818" s="53"/>
    </x:row>
    <x:row r="2819" ht="15" hidden="0" customHeight="1">
      <x:c r="A2819" s="53" t="str">
        <x:v>Anjoman accounting - refined.xlsx</x:v>
      </x:c>
      <x:c r="B2819" s="53" t="str">
        <x:v>خام_دفتر_قبلی</x:v>
      </x:c>
      <x:c r="C2819" s="53" t="str">
        <x:v>A46</x:v>
      </x:c>
      <x:c r="D2819" s="53" t="str">
        <x:v>45</x:v>
      </x:c>
      <x:c r="E2819" s="53"/>
    </x:row>
    <x:row r="2820" ht="15" hidden="0" customHeight="1">
      <x:c r="A2820" s="53" t="str">
        <x:v>Anjoman accounting - refined.xlsx</x:v>
      </x:c>
      <x:c r="B2820" s="53" t="str">
        <x:v>خام_دفتر_قبلی</x:v>
      </x:c>
      <x:c r="C2820" s="53" t="str">
        <x:v>B46</x:v>
      </x:c>
      <x:c r="D2820" s="53" t="str">
        <x:v>معرفی رشته</x:v>
      </x:c>
      <x:c r="E2820" s="53"/>
    </x:row>
    <x:row r="2821" ht="15" hidden="0" customHeight="1">
      <x:c r="A2821" s="53" t="str">
        <x:v>Anjoman accounting - refined.xlsx</x:v>
      </x:c>
      <x:c r="B2821" s="53" t="str">
        <x:v>خام_دفتر_قبلی</x:v>
      </x:c>
      <x:c r="C2821" s="53" t="str">
        <x:v>C46</x:v>
      </x:c>
      <x:c r="D2821" s="53" t="str">
        <x:v>23000000</x:v>
      </x:c>
      <x:c r="E2821" s="53"/>
    </x:row>
    <x:row r="2822" ht="15" hidden="0" customHeight="1">
      <x:c r="A2822" s="53" t="str">
        <x:v>Anjoman accounting - refined.xlsx</x:v>
      </x:c>
      <x:c r="B2822" s="53" t="str">
        <x:v>خام_دفتر_قبلی</x:v>
      </x:c>
      <x:c r="C2822" s="53" t="str">
        <x:v>E46</x:v>
      </x:c>
      <x:c r="D2822" s="53" t="str">
        <x:v>5000000</x:v>
      </x:c>
      <x:c r="E2822" s="53"/>
    </x:row>
    <x:row r="2823" ht="15" hidden="0" customHeight="1">
      <x:c r="A2823" s="53" t="str">
        <x:v>Anjoman accounting - refined.xlsx</x:v>
      </x:c>
      <x:c r="B2823" s="53" t="str">
        <x:v>خام_دفتر_قبلی</x:v>
      </x:c>
      <x:c r="C2823" s="53" t="str">
        <x:v>G46</x:v>
      </x:c>
      <x:c r="D2823" s="53" t="str">
        <x:v>دورهمی بعد از رویداد معرفی رشته</x:v>
      </x:c>
      <x:c r="E2823" s="53"/>
    </x:row>
    <x:row r="2824" ht="15" hidden="0" customHeight="1">
      <x:c r="A2824" s="53" t="str">
        <x:v>Anjoman accounting - refined.xlsx</x:v>
      </x:c>
      <x:c r="B2824" s="53" t="str">
        <x:v>خام_دفتر_قبلی</x:v>
      </x:c>
      <x:c r="C2824" s="53" t="str">
        <x:v>H46</x:v>
      </x:c>
      <x:c r="D2824" s="53" t="str">
        <x:v>معرفی رشته</x:v>
      </x:c>
      <x:c r="E2824" s="53"/>
    </x:row>
    <x:row r="2825" ht="15" hidden="0" customHeight="1">
      <x:c r="A2825" s="53" t="str">
        <x:v>Anjoman accounting - refined.xlsx</x:v>
      </x:c>
      <x:c r="B2825" s="53" t="str">
        <x:v>خام_دفتر_قبلی</x:v>
      </x:c>
      <x:c r="C2825" s="53" t="str">
        <x:v>I46</x:v>
      </x:c>
      <x:c r="D2825" s="53" t="str">
        <x:v>23000000</x:v>
      </x:c>
      <x:c r="E2825" s="53"/>
    </x:row>
    <x:row r="2826" ht="15" hidden="0" customHeight="1">
      <x:c r="A2826" s="53" t="str">
        <x:v>Anjoman accounting - refined.xlsx</x:v>
      </x:c>
      <x:c r="B2826" s="53" t="str">
        <x:v>خام_دفتر_قبلی</x:v>
      </x:c>
      <x:c r="C2826" s="53" t="str">
        <x:v>K46</x:v>
      </x:c>
      <x:c r="D2826" s="53" t="str">
        <x:v>5000000</x:v>
      </x:c>
      <x:c r="E2826" s="53"/>
    </x:row>
    <x:row r="2827" ht="15" hidden="0" customHeight="1">
      <x:c r="A2827" s="53" t="str">
        <x:v>Anjoman accounting - refined.xlsx</x:v>
      </x:c>
      <x:c r="B2827" s="53" t="str">
        <x:v>خام_دفتر_قبلی</x:v>
      </x:c>
      <x:c r="C2827" s="53" t="str">
        <x:v>M46</x:v>
      </x:c>
      <x:c r="D2827" s="53" t="str">
        <x:v>دورهمی بعد از رویداد معرفی رشته</x:v>
      </x:c>
      <x:c r="E2827" s="53"/>
    </x:row>
    <x:row r="2828" ht="15" hidden="0" customHeight="1">
      <x:c r="A2828" s="53" t="str">
        <x:v>Anjoman accounting - refined.xlsx</x:v>
      </x:c>
      <x:c r="B2828" s="53" t="str">
        <x:v>خام_اسناد</x:v>
      </x:c>
      <x:c r="C2828" s="53" t="str">
        <x:v>A1</x:v>
      </x:c>
      <x:c r="D2828" s="53" t="str">
        <x:v>متن خام اسناد PDF</x:v>
      </x:c>
      <x:c r="E2828" s="53"/>
    </x:row>
    <x:row r="2829" ht="15" hidden="0" customHeight="1">
      <x:c r="A2829" s="53" t="str">
        <x:v>Anjoman accounting - refined.xlsx</x:v>
      </x:c>
      <x:c r="B2829" s="53" t="str">
        <x:v>خام_اسناد</x:v>
      </x:c>
      <x:c r="C2829" s="53" t="str">
        <x:v>A2</x:v>
      </x:c>
      <x:c r="D2829" s="53" t="str">
        <x:v>نسخه refined | واحد گزارش: تومان | مبالغ نامطمئن در صف بررسی از جمع تاییدشده حذف می‌شوند.</x:v>
      </x:c>
      <x:c r="E2829" s="53"/>
    </x:row>
    <x:row r="2830" ht="15" hidden="0" customHeight="1">
      <x:c r="A2830" s="53" t="str">
        <x:v>Anjoman accounting - refined.xlsx</x:v>
      </x:c>
      <x:c r="B2830" s="53" t="str">
        <x:v>خام_اسناد</x:v>
      </x:c>
      <x:c r="C2830" s="53" t="str">
        <x:v>A3</x:v>
      </x:c>
      <x:c r="D2830" s="53" t="str">
        <x:v>فایل</x:v>
      </x:c>
      <x:c r="E2830" s="53"/>
    </x:row>
    <x:row r="2831" ht="15" hidden="0" customHeight="1">
      <x:c r="A2831" s="53" t="str">
        <x:v>Anjoman accounting - refined.xlsx</x:v>
      </x:c>
      <x:c r="B2831" s="53" t="str">
        <x:v>خام_اسناد</x:v>
      </x:c>
      <x:c r="C2831" s="53" t="str">
        <x:v>B3</x:v>
      </x:c>
      <x:c r="D2831" s="53" t="str">
        <x:v>تعداد صفحات</x:v>
      </x:c>
      <x:c r="E2831" s="53"/>
    </x:row>
    <x:row r="2832" ht="15" hidden="0" customHeight="1">
      <x:c r="A2832" s="53" t="str">
        <x:v>Anjoman accounting - refined.xlsx</x:v>
      </x:c>
      <x:c r="B2832" s="53" t="str">
        <x:v>خام_اسناد</x:v>
      </x:c>
      <x:c r="C2832" s="53" t="str">
        <x:v>C3</x:v>
      </x:c>
      <x:c r="D2832" s="53" t="str">
        <x:v>متن استخراج‌شده</x:v>
      </x:c>
      <x:c r="E2832" s="53"/>
    </x:row>
    <x:row r="2833" ht="15" hidden="0" customHeight="1">
      <x:c r="A2833" s="53" t="str">
        <x:v>Anjoman accounting - refined.xlsx</x:v>
      </x:c>
      <x:c r="B2833" s="53" t="str">
        <x:v>خام_اسناد</x:v>
      </x:c>
      <x:c r="C2833" s="53" t="str">
        <x:v>A4</x:v>
      </x:c>
      <x:c r="D2833" s="53" t="str">
        <x:v>invoice-61150.pdf</x:v>
      </x:c>
      <x:c r="E2833" s="53"/>
    </x:row>
    <x:row r="2834" ht="15" hidden="0" customHeight="1">
      <x:c r="A2834" s="53" t="str">
        <x:v>Anjoman accounting - refined.xlsx</x:v>
      </x:c>
      <x:c r="B2834" s="53" t="str">
        <x:v>خام_اسناد</x:v>
      </x:c>
      <x:c r="C2834" s="53" t="str">
        <x:v>B4</x:v>
      </x:c>
      <x:c r="D2834" s="53" t="str">
        <x:v>1</x:v>
      </x:c>
      <x:c r="E2834" s="53"/>
    </x:row>
    <x:row r="2835" ht="520.7999877929688" hidden="0" customHeight="1">
      <x:c r="A2835" s="53" t="str">
        <x:v>Anjoman accounting - refined.xlsx</x:v>
      </x:c>
      <x:c r="B2835" s="53" t="str">
        <x:v>خام_اسناد</x:v>
      </x:c>
      <x:c r="C2835" s="53" t="str">
        <x:v>C4</x:v>
      </x:c>
      <x:c r="D2835" s="53" t="str">
        <x:v>ﻓﺎﮐﺘﻮر ﻓﺮوش ﮐﺎﻻ و ﺧﺪﻣﺎت
ﻣﺸﺨﺼﺎت ﻓﺮوﺷﻨﺪهﺷﻤﺎره ﻓﺎﮐﺘﻮر:
ﺗﺎرﯾﺦ:61150
1405/06/07
ﺷﺮﮐﺖ ﻣﻬﺒﺎﻧﮓ ﻓﻦ آوري ﻫﺎي ﭘﺎرسﻧﺎم ﺷﺨﺺ ﺣﻘﯿﻘﯽ / ﺣﻘﻮﻗﯽ:  14006289892ﺷﻤﺎره اﻗﺘﺼﺎدي
اﺳﺘﺎن ﺧﺮاﺳﺎن رﺿﻮيﻧﺸﺎﻧﯽ ﮐﺎﻣﻞ:  ﻧﯿﺸﺎﺑﻮرﺷﻬﺮﺳﺘﺎن:  9319970191 رﻗﻤﯽ10ﮐﺪ ﭘﺴﺘﯽ
209 واﺣﺪ2،ﻣﺠﺘﻤﻊ ﭘﺎرك ﻋﻠﻮم و ﻓﻨﺎوري،ﻃﺒﻘﻪ0ﺧﺮاﺳﺎن رﺿﻮي، ﻧﯿﺸﺎﺑﻮر، ﺑﻠﻮار ﭘﮋوﻫﺶ، ﭘﻼكﻧﺸﺎﻧﯽ:  ﺷﻤﺎره ﺛﺒﺖ/ ﺷﻤﺎره ﻣﻠﯽ:
ﺷﻨﺎﺳﻪ ﻣﻠﯽ:
ﺷﻤﺎره ﺗﻠﻔﻦ / ﻧﻤﺎﺑﺮ:5905
14006289892
021-57605000
ﻣﺸﺨﺼﺎت ﺧﺮﯾﺪار
ﻣﺤﻤﺪ ﺣﺴﻦ ﺷﯿﺮيﻧﺎم ﺷﺨﺺ ﺣﻘﯿﻘﯽ / ﺣﻘﻮﻗﯽ:  0ﺷﻤﺎره اﻗﺘﺼﺎدي
اﺳﺘﺎن:ﺷﻬﺮﺳﺘﺎن: 1458889694 رﻗﻤﯽ10ﮐﺪ ﭘﺴﺘﯽ
ﺗﻬﺮان، ﺧﯿﺎﺑﺎن ﺗﯿﻤﻮري، داﻧﺸﮕﺎه ﺻﻨﻌﺘﯽ ﺷﺮﯾﻒ،درب ﺷﻤﺎﻟﯽﻧﺸﺎﻧﯽ:  ﺷﻤﺎره ﺛﺒﺖ/ ﺷﻤﺎره ﻣﻠﯽ:
ﺷﻨﺎﺳﻪ ﻣﻠﯽ:
ﺷﻤﺎره ﺗﻠﻔﻦ / ﻧﻤﺎﺑﺮ:1273447468
09130876341
ﻣﺸﺨﺼﺎت ﮐﺎﻻ ﯾﺎ ﺧﺪﻣﺎت ﻣﻮرد ﻣﻌﺎﻣﻠﻪ
1 2 3 4 5 6 7 8 9 10 11
ردﯾﻒﮐﺪ
ﮐﺎﻻﺷﺮح ﮐﺎﻻ ﯾﺎ ﺧﺪﻣﺎتﺗﻌﺪاد/
ﻣﻘﺪارواﺣﺪ اﻧﺪازه
ﮔﯿﺮيﻣﺒﻠﻎ واﺣﺪ )رﯾﺎل(ﻣﺒﻠﻎ ﮐﻞ )رﯾﺎل( ﻣﺒﻠﻎ ﺗﺨﻔﯿﻒﻣﺒﻠﻎ ﮐﻞ ﭘﺲ از ﺗﺨﻔﯿﻒ
)رﯾﺎل(ﺟﻤﻊ ﻣﺎﻟﯿﺎت و ﻋﻮارض
)رﯾﺎل(ﺟﻤﻊ ﻣﺒﻠﻎ ﮐﻞ ﺑﻌﻼوه
ﺟﻤﻊ ﻣﺎﻟﯿﺎت و ﻋﻮارض
)رﯾﺎل(
ﻧﺤﻮه ﻣﺤﺎﺳﺒﻪ ﺑﺮ اﺳﺎس ﺷﻤﺎره ﺳﺘﻮن4 x6 7-8*ﻣﺠﻤﻮع ﻧﺮخ ﻣﺎﻟﯿﺎت و ﻋﻮارض10) (9+10 )
1 200450اﭘﻠﯿﮑﯿﺸﻦ اﺳﮑﺎي روم )ﺳﺮوﯾﺲ آﻣﻮزﺷﯽ 
ﮐﺎرﺑﺮه(1ﻣﺎه22,500,000 22,500,000 0 22,500,000 2,250,000 24,750,000
2 151ﺑﺴﺘﻪ ﺿﺒﻂ روﯾﺪاد20ﺳﺎﻋﺖ810,000 16,200,000 0 16,200,000 1,620,000 17,820,000
3
4
5
ﺟﻤﻊ ﮐﻞ: ﭼﻬﻞ و دو ﻣﯿﻠﯿﻮن و ﭘﺎﻧﺼﺪ و ﻫﻔﺘﺎد ﻫﺰار رﯾﺎل38,700,000 0 38,700,000 3,870,000 42,570,000
ﺷﻤﺎره ﺣﺴﺎب ﻫﺎي ﻣﻬﺒﺎﻧﮓ ﻓﻨﺎوري ﻫﺎي ﭘﺎرس ﺑﺮاي ﭘﺮداﺧﺖ ﻏﯿﺮ آﻧﻼﯾﻦ ﺑﻪ ﺷﺮح زﯾﺮ اﺳﺖ
 / ﺷﻤﺎره ﺷﺒﺎ ﺳﺎﻣﺎن6219-8610-3590-6295 / ﺷﻤﺎره ﮐﺎرت ﺳﺎﻣﺎن841-40-2628116-1ﺷﻤﺎره ﺣﺴﺎب ﺳﺎﻣﺎن
I R340560084104002628116001
ﻟﻄﻔﺎ ﺑﻌﺪ از وارﯾﺰ، ﻓﯿﺶ وارﯾﺰي را از ﻃﺮﯾﻖ ﺗﯿﮑﺖ ﺑﻪ واﺣﺪ ﻓﺮوش ارﺳﺎل ﻧﻤﺎﯾﯿﺪ
ﻣﻬﺮ و اﻣﻀﺎء ﻓﺮوﺷﻨﺪهﻣﻬﺮ و اﻣﻀﺎء ﺧﺮﯾﺪار ﺷﺮاﯾﻂ و ﻧﺤﻮه ﻓﺮوشﻧﻘﺪي ﻏﯿﺮ ﻧﻘﺪي
</x:v>
      </x:c>
      <x:c r="E2835" s="53"/>
    </x:row>
    <x:row r="2836" ht="15" hidden="0" customHeight="1">
      <x:c r="A2836" s="53" t="str">
        <x:v>Anjoman accounting - refined.xlsx</x:v>
      </x:c>
      <x:c r="B2836" s="53" t="str">
        <x:v>خام_اسناد</x:v>
      </x:c>
      <x:c r="C2836" s="53" t="str">
        <x:v>A5</x:v>
      </x:c>
      <x:c r="D2836" s="53" t="str">
        <x:v>physics_intro full report.pdf</x:v>
      </x:c>
      <x:c r="E2836" s="53"/>
    </x:row>
    <x:row r="2837" ht="15" hidden="0" customHeight="1">
      <x:c r="A2837" s="53" t="str">
        <x:v>Anjoman accounting - refined.xlsx</x:v>
      </x:c>
      <x:c r="B2837" s="53" t="str">
        <x:v>خام_اسناد</x:v>
      </x:c>
      <x:c r="C2837" s="53" t="str">
        <x:v>B5</x:v>
      </x:c>
      <x:c r="D2837" s="53" t="str">
        <x:v>2</x:v>
      </x:c>
      <x:c r="E2837" s="53"/>
    </x:row>
    <x:row r="2838" ht="3804" hidden="0" customHeight="1">
      <x:c r="A2838" s="53" t="str">
        <x:v>Anjoman accounting - refined.xlsx</x:v>
      </x:c>
      <x:c r="B2838" s="53" t="str">
        <x:v>خام_اسناد</x:v>
      </x:c>
      <x:c r="C2838" s="53" t="str">
        <x:v>C5</x:v>
      </x:c>
      <x:c r="D2838" s="53" t="str">
        <x:v>داﺪﯾور
داﺪﯾور
نﺎﯾﺎﭘ
نﺎﯾﺎﭘ
شراﺰﮔ
شراﺰﮔ
1
: 
نﺎﮔﺪﻨﻨﮐ
ﺖﮐﺮﺷ
داﺪﻌﺗ
رد
داﺪﯾور
ﻪﺒﺗر
ﺮﻔﻧ
90
: 
ﺪﯾﺪﺟ
هﺪﻨﻨﮐ
ﺖﮐﺮﺷ
داﺪﻌﺗ
زور
4
(: 
داﺪﯾور
عوﺮﺷ
ﺎﺗ
ﺖﺧﺎﺳ
زا
) 
داﺪﯾور
تﻮﻣوﺮ#
نﺎﻣز
تﺪﻣ
1
: 
ﺖﯿﻠﺑ
شوﺮﻓ
رد
داﺪﯾور
ﻪﺒﺗر
31
و
 (
ﻦﻣﻮﺗ
7,339,500
 )
1405
رﻮ
29
و
 (
ﻦﻣﻮﺗ
9,984,000
 )
1405
رﻮ
30
: 
ﺎﻫ
زور
ﻦ
شوﺮﻓ
ﺮ#
(
ﻦﻣﻮﺗ
6,416,500
 )
1405
رﻮ
نﺎﻣﻮﺗ
302,612
: 
ﺖﯿﻠﺑ
ﮏﯾ
ﺖﻤﯿﻗ
ﻂﺳﻮﺘﻣ
ﺮﻔﻧ
95
: 
داﺪﯾور
نﺎﯾﺎﭘ
ﺎﺗ
ﺖﺧﺎﺳ
ﺦ
زا
ﺪﯾﺪﺟ
نﺎﮔﺪﻨﻨﮐ
لﺎﺒﻧد
ﺮﻔﻧ
11
: 
A
رد
نﺎﮔﺪﻨﻨﮐ
ﺖﮐﺮﺷ
داﺪﻌﺗ
٪
100
: 
ﺎﻤﺷ
داﺪﯾور
نﺎﮔﺪﻨﻨﮐدﺎﻬﻨﺸﯿﭘ
ﺪﺻرد
ﻒﯾﺮﺷ
ﮏﯾﺰ
ﻪﺘﺷر
A
۸۰
:
۰۰
ﺖﻋﺎﺳ
۵۰۴۱
/
۷
/
۲
 :
عوﺮﺷ
۰۱
:
۰۰
ﺖﻋﺎﺳ
۵۰۴۱
/
۷
/
۲
 :
نﺎﯾﺎﭘ
ﻒﯾﺮﺷ
ﮏﯾﺰ
A
ﻦﻤﺠﻧا
ﺮﻔﻧ
ﺮﻔﻧ
90
90
: 
: 
نﺎﮔﺪﻨﻨﮐ
نﺎﮔﺪﻨﻨﮐ
ﺖﮐﺮﺷ
ﺖﮐﺮﺷ
داﺪﯾور
داﺪﯾور
ﺪﯾدزﺎﺑ
ﺪﯾدزﺎﺑ
نﺎﻣﻮﺗ
نﺎﻣﻮﺗ
27,235,000
27,235,000
: 
: 
ﺖﯿﻠﺑ
ﺖﯿﻠﺑ
شوﺮﻓ
شوﺮﻓ
ﺮﻔﻧ
ﺮﻔﻧ
96
96
: 
: 
نﺎﮔﺪﻨﻨﮐ
نﺎﮔﺪﻨﻨﮐ
لﺎﺒﻧد
لﺎﺒﻧد
نﺎﻣﻮﺗ
نﺎﻣﻮﺗ
0
0
: 
: 
تﺎﻐﯿﻠﺒﺗ
تﺎﻐﯿﻠﺒﺗ
%
%
100
100
: 
: 
نﺎﮔﺪﻨﻨﮐ
نﺎﮔﺪﻨﻨﮐ
ﺖﮐﺮﺷ
ﺖﮐﺮﺷ
ﺖﯾﺎﺿر
ﺖﯾﺎﺿر
ﺪﺻرد
ﺪﺻرد
.ﺪﻧا
هﺪﺷ
یروآ
ﻊﻤﺟ
ﺎﻤﺷ
ﻪﺘﺷﺬﮔ
داﺪﯾور
۰۱
سﺎﺳا
ﺮ
تﺎﻋﻼﻃا
A
11:05
ﺖﻋﺎﺳ
1405
ﺮﻬﻣ
03
: 
شراﺰﮔ
ﺖﺧﺎﺳ
ﺦ</x:v>
      </x:c>
      <x:c r="E2838" s="53"/>
    </x:row>
    <x:row r="2839" ht="15" hidden="0" customHeight="1">
      <x:c r="A2839" s="53" t="str">
        <x:v>Anjoman accounting - refined.xlsx</x:v>
      </x:c>
      <x:c r="B2839" s="53" t="str">
        <x:v>خام_اسناد</x:v>
      </x:c>
      <x:c r="C2839" s="53" t="str">
        <x:v>A6</x:v>
      </x:c>
      <x:c r="D2839" s="53" t="str">
        <x:v>telegram export\files\CamScanner 13-05-2026 12.43 (1).pdf</x:v>
      </x:c>
      <x:c r="E2839" s="53"/>
    </x:row>
    <x:row r="2840" ht="15" hidden="0" customHeight="1">
      <x:c r="A2840" s="53" t="str">
        <x:v>Anjoman accounting - refined.xlsx</x:v>
      </x:c>
      <x:c r="B2840" s="53" t="str">
        <x:v>خام_اسناد</x:v>
      </x:c>
      <x:c r="C2840" s="53" t="str">
        <x:v>B6</x:v>
      </x:c>
      <x:c r="D2840" s="53" t="str">
        <x:v>11</x:v>
      </x:c>
      <x:c r="E2840" s="53"/>
    </x:row>
    <x:row r="2841" ht="268.79998779296875" hidden="0" customHeight="1">
      <x:c r="A2841" s="53" t="str">
        <x:v>Anjoman accounting - refined.xlsx</x:v>
      </x:c>
      <x:c r="B2841" s="53" t="str">
        <x:v>خام_اسناد</x:v>
      </x:c>
      <x:c r="C2841" s="53" t="str">
        <x:v>C6</x:v>
      </x:c>
      <x:c r="D2841" s="53" t="str">
        <x:v>CamScanner
CamScanner
CamScanner
CamScanner
CamScanner
CamScanner
CamScanner
CamScanner
CamScanner
CamScanner
CamScanner
</x:v>
      </x:c>
      <x:c r="E2841" s="53"/>
    </x:row>
    <x:row r="2842" ht="15" hidden="0" customHeight="1">
      <x:c r="A2842" s="53" t="str">
        <x:v>Anjoman accounting - refined.xlsx</x:v>
      </x:c>
      <x:c r="B2842" s="53" t="str">
        <x:v>خام_اسناد</x:v>
      </x:c>
      <x:c r="C2842" s="53" t="str">
        <x:v>A7</x:v>
      </x:c>
      <x:c r="D2842" s="53" t="str">
        <x:v>telegram export\files\dk-file-2025-10-16-14-43-08.pdf</x:v>
      </x:c>
      <x:c r="E2842" s="53"/>
    </x:row>
    <x:row r="2843" ht="15" hidden="0" customHeight="1">
      <x:c r="A2843" s="53" t="str">
        <x:v>Anjoman accounting - refined.xlsx</x:v>
      </x:c>
      <x:c r="B2843" s="53" t="str">
        <x:v>خام_اسناد</x:v>
      </x:c>
      <x:c r="C2843" s="53" t="str">
        <x:v>B7</x:v>
      </x:c>
      <x:c r="D2843" s="53" t="str">
        <x:v>1</x:v>
      </x:c>
      <x:c r="E2843" s="53"/>
    </x:row>
    <x:row r="2844" ht="15" hidden="0" customHeight="1">
      <x:c r="A2844" s="53" t="str">
        <x:v>Anjoman accounting - refined.xlsx</x:v>
      </x:c>
      <x:c r="B2844" s="53" t="str">
        <x:v>تطبیق</x:v>
      </x:c>
      <x:c r="C2844" s="53" t="str">
        <x:v>A1</x:v>
      </x:c>
      <x:c r="D2844" s="53" t="str">
        <x:v>تطبیق و کنترل‌های حسابداری</x:v>
      </x:c>
      <x:c r="E2844" s="53"/>
    </x:row>
    <x:row r="2845" ht="15" hidden="0" customHeight="1">
      <x:c r="A2845" s="53" t="str">
        <x:v>Anjoman accounting - refined.xlsx</x:v>
      </x:c>
      <x:c r="B2845" s="53" t="str">
        <x:v>تطبیق</x:v>
      </x:c>
      <x:c r="C2845" s="53" t="str">
        <x:v>A2</x:v>
      </x:c>
      <x:c r="D2845" s="53" t="str">
        <x:v>نسخه refined | واحد گزارش: تومان | مبالغ نامطمئن در صف بررسی از جمع تاییدشده حذف می‌شوند.</x:v>
      </x:c>
      <x:c r="E2845" s="53"/>
    </x:row>
    <x:row r="2846" ht="15" hidden="0" customHeight="1">
      <x:c r="A2846" s="53" t="str">
        <x:v>Anjoman accounting - refined.xlsx</x:v>
      </x:c>
      <x:c r="B2846" s="53" t="str">
        <x:v>تطبیق</x:v>
      </x:c>
      <x:c r="C2846" s="53" t="str">
        <x:v>A3</x:v>
      </x:c>
      <x:c r="D2846" s="53" t="str">
        <x:v>شاخص</x:v>
      </x:c>
      <x:c r="E2846" s="53"/>
    </x:row>
    <x:row r="2847" ht="15" hidden="0" customHeight="1">
      <x:c r="A2847" s="53" t="str">
        <x:v>Anjoman accounting - refined.xlsx</x:v>
      </x:c>
      <x:c r="B2847" s="53" t="str">
        <x:v>تطبیق</x:v>
      </x:c>
      <x:c r="C2847" s="53" t="str">
        <x:v>B3</x:v>
      </x:c>
      <x:c r="D2847" s="53" t="str">
        <x:v>مقدار</x:v>
      </x:c>
      <x:c r="E2847" s="53"/>
    </x:row>
    <x:row r="2848" ht="15" hidden="0" customHeight="1">
      <x:c r="A2848" s="53" t="str">
        <x:v>Anjoman accounting - refined.xlsx</x:v>
      </x:c>
      <x:c r="B2848" s="53" t="str">
        <x:v>تطبیق</x:v>
      </x:c>
      <x:c r="C2848" s="53" t="str">
        <x:v>C3</x:v>
      </x:c>
      <x:c r="D2848" s="53" t="str">
        <x:v>توضیح</x:v>
      </x:c>
      <x:c r="E2848" s="53"/>
    </x:row>
    <x:row r="2849" ht="15" hidden="0" customHeight="1">
      <x:c r="A2849" s="53" t="str">
        <x:v>Anjoman accounting - refined.xlsx</x:v>
      </x:c>
      <x:c r="B2849" s="53" t="str">
        <x:v>تطبیق</x:v>
      </x:c>
      <x:c r="C2849" s="53" t="str">
        <x:v>A4</x:v>
      </x:c>
      <x:c r="D2849" s="53" t="str">
        <x:v>تعداد تراکنش‌های دفتر قبلی</x:v>
      </x:c>
      <x:c r="E2849" s="53"/>
    </x:row>
    <x:row r="2850" ht="15" hidden="0" customHeight="1">
      <x:c r="A2850" s="53" t="str">
        <x:v>Anjoman accounting - refined.xlsx</x:v>
      </x:c>
      <x:c r="B2850" s="53" t="str">
        <x:v>تطبیق</x:v>
      </x:c>
      <x:c r="C2850" s="53" t="str">
        <x:v>B4</x:v>
      </x:c>
      <x:c r="D2850" s="53"/>
      <x:c r="E2850" s="53" t="str">
        <x:v>=COUNTIF(تراکنش‌ها!$K:$K,"دفتر قبلی")</x:v>
      </x:c>
    </x:row>
    <x:row r="2851" ht="15" hidden="0" customHeight="1">
      <x:c r="A2851" s="53" t="str">
        <x:v>Anjoman accounting - refined.xlsx</x:v>
      </x:c>
      <x:c r="B2851" s="53" t="str">
        <x:v>تطبیق</x:v>
      </x:c>
      <x:c r="C2851" s="53" t="str">
        <x:v>C4</x:v>
      </x:c>
      <x:c r="D2851" s="53" t="str">
        <x:v>تعداد ورودی‌های درآمد/هزینه واردشده از شیت مجموع</x:v>
      </x:c>
      <x:c r="E2851" s="53"/>
    </x:row>
    <x:row r="2852" ht="15" hidden="0" customHeight="1">
      <x:c r="A2852" s="53" t="str">
        <x:v>Anjoman accounting - refined.xlsx</x:v>
      </x:c>
      <x:c r="B2852" s="53" t="str">
        <x:v>تطبیق</x:v>
      </x:c>
      <x:c r="C2852" s="53" t="str">
        <x:v>A5</x:v>
      </x:c>
      <x:c r="D2852" s="53" t="str">
        <x:v>درآمد تاییدشده</x:v>
      </x:c>
      <x:c r="E2852" s="53"/>
    </x:row>
    <x:row r="2853" ht="15" hidden="0" customHeight="1">
      <x:c r="A2853" s="53" t="str">
        <x:v>Anjoman accounting - refined.xlsx</x:v>
      </x:c>
      <x:c r="B2853" s="53" t="str">
        <x:v>تطبیق</x:v>
      </x:c>
      <x:c r="C2853" s="53" t="str">
        <x:v>B5</x:v>
      </x:c>
      <x:c r="D2853" s="53"/>
      <x:c r="E2853" s="53" t="str">
        <x:v>=SUMIFS(تراکنش‌ها!$F:$F,تراکنش‌ها!$B:$B,"درآمد",تراکنش‌ها!$J:$J,"تاییدشده")</x:v>
      </x:c>
    </x:row>
    <x:row r="2854" ht="15" hidden="0" customHeight="1">
      <x:c r="A2854" s="53" t="str">
        <x:v>Anjoman accounting - refined.xlsx</x:v>
      </x:c>
      <x:c r="B2854" s="53" t="str">
        <x:v>تطبیق</x:v>
      </x:c>
      <x:c r="C2854" s="53" t="str">
        <x:v>C5</x:v>
      </x:c>
      <x:c r="D2854" s="53" t="str">
        <x:v>فقط وضعیت تاییدشده</x:v>
      </x:c>
      <x:c r="E2854" s="53"/>
    </x:row>
    <x:row r="2855" ht="15" hidden="0" customHeight="1">
      <x:c r="A2855" s="53" t="str">
        <x:v>Anjoman accounting - refined.xlsx</x:v>
      </x:c>
      <x:c r="B2855" s="53" t="str">
        <x:v>تطبیق</x:v>
      </x:c>
      <x:c r="C2855" s="53" t="str">
        <x:v>A6</x:v>
      </x:c>
      <x:c r="D2855" s="53" t="str">
        <x:v>هزینه تاییدشده</x:v>
      </x:c>
      <x:c r="E2855" s="53"/>
    </x:row>
    <x:row r="2856" ht="15" hidden="0" customHeight="1">
      <x:c r="A2856" s="53" t="str">
        <x:v>Anjoman accounting - refined.xlsx</x:v>
      </x:c>
      <x:c r="B2856" s="53" t="str">
        <x:v>تطبیق</x:v>
      </x:c>
      <x:c r="C2856" s="53" t="str">
        <x:v>B6</x:v>
      </x:c>
      <x:c r="D2856" s="53"/>
      <x:c r="E2856" s="53" t="str">
        <x:v>=SUMIFS(تراکنش‌ها!$F:$F,تراکنش‌ها!$B:$B,"هزینه",تراکنش‌ها!$J:$J,"تاییدشده")</x:v>
      </x:c>
    </x:row>
    <x:row r="2857" ht="15" hidden="0" customHeight="1">
      <x:c r="A2857" s="53" t="str">
        <x:v>Anjoman accounting - refined.xlsx</x:v>
      </x:c>
      <x:c r="B2857" s="53" t="str">
        <x:v>تطبیق</x:v>
      </x:c>
      <x:c r="C2857" s="53" t="str">
        <x:v>C6</x:v>
      </x:c>
      <x:c r="D2857" s="53" t="str">
        <x:v>فقط وضعیت تاییدشده</x:v>
      </x:c>
      <x:c r="E2857" s="53"/>
    </x:row>
    <x:row r="2858" ht="15" hidden="0" customHeight="1">
      <x:c r="A2858" s="53" t="str">
        <x:v>Anjoman accounting - refined.xlsx</x:v>
      </x:c>
      <x:c r="B2858" s="53" t="str">
        <x:v>تطبیق</x:v>
      </x:c>
      <x:c r="C2858" s="53" t="str">
        <x:v>A7</x:v>
      </x:c>
      <x:c r="D2858" s="53" t="str">
        <x:v>تراز تاییدشده</x:v>
      </x:c>
      <x:c r="E2858" s="53"/>
    </x:row>
    <x:row r="2859" ht="15" hidden="0" customHeight="1">
      <x:c r="A2859" s="53" t="str">
        <x:v>Anjoman accounting - refined.xlsx</x:v>
      </x:c>
      <x:c r="B2859" s="53" t="str">
        <x:v>تطبیق</x:v>
      </x:c>
      <x:c r="C2859" s="53" t="str">
        <x:v>B7</x:v>
      </x:c>
      <x:c r="D2859" s="53"/>
      <x:c r="E2859" s="53" t="str">
        <x:v>=B6-B7</x:v>
      </x:c>
    </x:row>
    <x:row r="2860" ht="15" hidden="0" customHeight="1">
      <x:c r="A2860" s="53" t="str">
        <x:v>Anjoman accounting - refined.xlsx</x:v>
      </x:c>
      <x:c r="B2860" s="53" t="str">
        <x:v>تطبیق</x:v>
      </x:c>
      <x:c r="C2860" s="53" t="str">
        <x:v>C7</x:v>
      </x:c>
      <x:c r="D2860" s="53" t="str">
        <x:v>درآمد تاییدشده منهای هزینه تاییدشده</x:v>
      </x:c>
      <x:c r="E2860" s="53"/>
    </x:row>
    <x:row r="2861" ht="15" hidden="0" customHeight="1">
      <x:c r="A2861" s="53" t="str">
        <x:v>Anjoman accounting - refined.xlsx</x:v>
      </x:c>
      <x:c r="B2861" s="53" t="str">
        <x:v>تطبیق</x:v>
      </x:c>
      <x:c r="C2861" s="53" t="str">
        <x:v>A8</x:v>
      </x:c>
      <x:c r="D2861" s="53" t="str">
        <x:v>درآمد پیشنهادی/استنباطی</x:v>
      </x:c>
      <x:c r="E2861" s="53"/>
    </x:row>
    <x:row r="2862" ht="15" hidden="0" customHeight="1">
      <x:c r="A2862" s="53" t="str">
        <x:v>Anjoman accounting - refined.xlsx</x:v>
      </x:c>
      <x:c r="B2862" s="53" t="str">
        <x:v>تطبیق</x:v>
      </x:c>
      <x:c r="C2862" s="53" t="str">
        <x:v>B8</x:v>
      </x:c>
      <x:c r="D2862" s="53"/>
      <x:c r="E2862" s="53" t="str">
        <x:v>=SUMIFS(تراکنش‌ها!$F:$F,تراکنش‌ها!$B:$B,"درآمد",تراکنش‌ها!$J:$J,"پیشنهادی - نیازمند بررسی")</x:v>
      </x:c>
    </x:row>
    <x:row r="2863" ht="15" hidden="0" customHeight="1">
      <x:c r="A2863" s="53" t="str">
        <x:v>Anjoman accounting - refined.xlsx</x:v>
      </x:c>
      <x:c r="B2863" s="53" t="str">
        <x:v>تطبیق</x:v>
      </x:c>
      <x:c r="C2863" s="53" t="str">
        <x:v>C8</x:v>
      </x:c>
      <x:c r="D2863" s="53" t="str">
        <x:v>تا زمان تایید در تراز اصلی منظور نمی‌شود</x:v>
      </x:c>
      <x:c r="E2863" s="53"/>
    </x:row>
    <x:row r="2864" ht="15" hidden="0" customHeight="1">
      <x:c r="A2864" s="53" t="str">
        <x:v>Anjoman accounting - refined.xlsx</x:v>
      </x:c>
      <x:c r="B2864" s="53" t="str">
        <x:v>تطبیق</x:v>
      </x:c>
      <x:c r="C2864" s="53" t="str">
        <x:v>A9</x:v>
      </x:c>
      <x:c r="D2864" s="53" t="str">
        <x:v>هزینه پیشنهادی/استنباطی</x:v>
      </x:c>
      <x:c r="E2864" s="53"/>
    </x:row>
    <x:row r="2865" ht="15" hidden="0" customHeight="1">
      <x:c r="A2865" s="53" t="str">
        <x:v>Anjoman accounting - refined.xlsx</x:v>
      </x:c>
      <x:c r="B2865" s="53" t="str">
        <x:v>تطبیق</x:v>
      </x:c>
      <x:c r="C2865" s="53" t="str">
        <x:v>B9</x:v>
      </x:c>
      <x:c r="D2865" s="53"/>
      <x:c r="E2865" s="53" t="str">
        <x:v>=SUMIFS(تراکنش‌ها!$F:$F,تراکنش‌ها!$B:$B,"هزینه",تراکنش‌ها!$J:$J,"پیشنهادی - نیازمند بررسی")</x:v>
      </x:c>
    </x:row>
    <x:row r="2866" ht="15" hidden="0" customHeight="1">
      <x:c r="A2866" s="53" t="str">
        <x:v>Anjoman accounting - refined.xlsx</x:v>
      </x:c>
      <x:c r="B2866" s="53" t="str">
        <x:v>تطبیق</x:v>
      </x:c>
      <x:c r="C2866" s="53" t="str">
        <x:v>C9</x:v>
      </x:c>
      <x:c r="D2866" s="53" t="str">
        <x:v>تا زمان تایید در تراز اصلی منظور نمی‌شود</x:v>
      </x:c>
      <x:c r="E2866" s="53"/>
    </x:row>
    <x:row r="2867" ht="15" hidden="0" customHeight="1">
      <x:c r="A2867" s="53" t="str">
        <x:v>Anjoman accounting - refined.xlsx</x:v>
      </x:c>
      <x:c r="B2867" s="53" t="str">
        <x:v>تطبیق</x:v>
      </x:c>
      <x:c r="C2867" s="53" t="str">
        <x:v>A10</x:v>
      </x:c>
      <x:c r="D2867" s="53" t="str">
        <x:v>رسیدهای در صف بررسی</x:v>
      </x:c>
      <x:c r="E2867" s="53"/>
    </x:row>
    <x:row r="2868" ht="15" hidden="0" customHeight="1">
      <x:c r="A2868" s="53" t="str">
        <x:v>Anjoman accounting - refined.xlsx</x:v>
      </x:c>
      <x:c r="B2868" s="53" t="str">
        <x:v>تطبیق</x:v>
      </x:c>
      <x:c r="C2868" s="53" t="str">
        <x:v>B10</x:v>
      </x:c>
      <x:c r="D2868" s="53"/>
      <x:c r="E2868" s="53" t="str">
        <x:v>=COUNTIF('صف بررسی رسیدها'!$F:$F,"نیازمند ورود دستی")</x:v>
      </x:c>
    </x:row>
    <x:row r="2869" ht="15" hidden="0" customHeight="1">
      <x:c r="A2869" s="53" t="str">
        <x:v>Anjoman accounting - refined.xlsx</x:v>
      </x:c>
      <x:c r="B2869" s="53" t="str">
        <x:v>تطبیق</x:v>
      </x:c>
      <x:c r="C2869" s="53" t="str">
        <x:v>C10</x:v>
      </x:c>
      <x:c r="D2869" s="53" t="str">
        <x:v>20 تصویر فعلی نیازمند ورود دستی/بررسی تکراری هستند</x:v>
      </x:c>
      <x:c r="E2869" s="53"/>
    </x:row>
    <x:row r="2870" ht="15" hidden="0" customHeight="1">
      <x:c r="A2870" s="53" t="str">
        <x:v>Anjoman accounting - refined.xlsx</x:v>
      </x:c>
      <x:c r="B2870" s="53" t="str">
        <x:v>تطبیق</x:v>
      </x:c>
      <x:c r="C2870" s="53" t="str">
        <x:v>A11</x:v>
      </x:c>
      <x:c r="D2870" s="53" t="str">
        <x:v>اسناد فهرست‌شده</x:v>
      </x:c>
      <x:c r="E2870" s="53"/>
    </x:row>
    <x:row r="2871" ht="15" hidden="0" customHeight="1">
      <x:c r="A2871" s="53" t="str">
        <x:v>Anjoman accounting - refined.xlsx</x:v>
      </x:c>
      <x:c r="B2871" s="53" t="str">
        <x:v>تطبیق</x:v>
      </x:c>
      <x:c r="C2871" s="53" t="str">
        <x:v>B11</x:v>
      </x:c>
      <x:c r="D2871" s="53"/>
      <x:c r="E2871" s="53" t="str">
        <x:v>=COUNTA('اسناد و شواهد'!$A:$A)-3</x:v>
      </x:c>
    </x:row>
    <x:row r="2872" ht="15" hidden="0" customHeight="1">
      <x:c r="A2872" s="53" t="str">
        <x:v>Anjoman accounting - refined.xlsx</x:v>
      </x:c>
      <x:c r="B2872" s="53" t="str">
        <x:v>تطبیق</x:v>
      </x:c>
      <x:c r="C2872" s="53" t="str">
        <x:v>C11</x:v>
      </x:c>
      <x:c r="D2872" s="53" t="str">
        <x:v>تعداد اقلام موجود در فهرست شواهد</x:v>
      </x:c>
      <x:c r="E2872" s="53"/>
    </x:row>
    <x:row r="2873" ht="15" hidden="0" customHeight="1">
      <x:c r="A2873" s="53" t="str">
        <x:v>Anjoman accounting - refined.xlsx</x:v>
      </x:c>
      <x:c r="B2873" s="53" t="str">
        <x:v>گزارش ماهانه</x:v>
      </x:c>
      <x:c r="C2873" s="53" t="str">
        <x:v>A1</x:v>
      </x:c>
      <x:c r="D2873" s="53" t="str">
        <x:v>گزارش ماهانه</x:v>
      </x:c>
      <x:c r="E2873" s="53"/>
    </x:row>
    <x:row r="2874" ht="15" hidden="0" customHeight="1">
      <x:c r="A2874" s="53" t="str">
        <x:v>Anjoman accounting - refined.xlsx</x:v>
      </x:c>
      <x:c r="B2874" s="53" t="str">
        <x:v>گزارش ماهانه</x:v>
      </x:c>
      <x:c r="C2874" s="53" t="str">
        <x:v>A2</x:v>
      </x:c>
      <x:c r="D2874" s="53" t="str">
        <x:v>نسخه refined | واحد گزارش: تومان | مبالغ نامطمئن در صف بررسی از جمع تاییدشده حذف می‌شوند.</x:v>
      </x:c>
      <x:c r="E2874" s="53"/>
    </x:row>
    <x:row r="2875" ht="15" hidden="0" customHeight="1">
      <x:c r="A2875" s="53" t="str">
        <x:v>Anjoman accounting - refined.xlsx</x:v>
      </x:c>
      <x:c r="B2875" s="53" t="str">
        <x:v>گزارش ماهانه</x:v>
      </x:c>
      <x:c r="C2875" s="53" t="str">
        <x:v>A3</x:v>
      </x:c>
      <x:c r="D2875" s="53" t="str">
        <x:v>ماه/دوره</x:v>
      </x:c>
      <x:c r="E2875" s="53"/>
    </x:row>
    <x:row r="2876" ht="15" hidden="0" customHeight="1">
      <x:c r="A2876" s="53" t="str">
        <x:v>Anjoman accounting - refined.xlsx</x:v>
      </x:c>
      <x:c r="B2876" s="53" t="str">
        <x:v>گزارش ماهانه</x:v>
      </x:c>
      <x:c r="C2876" s="53" t="str">
        <x:v>B3</x:v>
      </x:c>
      <x:c r="D2876" s="53" t="str">
        <x:v>درآمد تاییدشده</x:v>
      </x:c>
      <x:c r="E2876" s="53"/>
    </x:row>
    <x:row r="2877" ht="15" hidden="0" customHeight="1">
      <x:c r="A2877" s="53" t="str">
        <x:v>Anjoman accounting - refined.xlsx</x:v>
      </x:c>
      <x:c r="B2877" s="53" t="str">
        <x:v>گزارش ماهانه</x:v>
      </x:c>
      <x:c r="C2877" s="53" t="str">
        <x:v>C3</x:v>
      </x:c>
      <x:c r="D2877" s="53" t="str">
        <x:v>هزینه تاییدشده</x:v>
      </x:c>
      <x:c r="E2877" s="53"/>
    </x:row>
    <x:row r="2878" ht="15" hidden="0" customHeight="1">
      <x:c r="A2878" s="53" t="str">
        <x:v>Anjoman accounting - refined.xlsx</x:v>
      </x:c>
      <x:c r="B2878" s="53" t="str">
        <x:v>گزارش ماهانه</x:v>
      </x:c>
      <x:c r="C2878" s="53" t="str">
        <x:v>D3</x:v>
      </x:c>
      <x:c r="D2878" s="53" t="str">
        <x:v>تراز تاییدشده</x:v>
      </x:c>
      <x:c r="E2878" s="53"/>
    </x:row>
    <x:row r="2879" ht="15" hidden="0" customHeight="1">
      <x:c r="A2879" s="53" t="str">
        <x:v>Anjoman accounting - refined.xlsx</x:v>
      </x:c>
      <x:c r="B2879" s="53" t="str">
        <x:v>گزارش ماهانه</x:v>
      </x:c>
      <x:c r="C2879" s="53" t="str">
        <x:v>E3</x:v>
      </x:c>
      <x:c r="D2879" s="53" t="str">
        <x:v>درآمد پیشنهادی</x:v>
      </x:c>
      <x:c r="E2879" s="53"/>
    </x:row>
    <x:row r="2880" ht="15" hidden="0" customHeight="1">
      <x:c r="A2880" s="53" t="str">
        <x:v>Anjoman accounting - refined.xlsx</x:v>
      </x:c>
      <x:c r="B2880" s="53" t="str">
        <x:v>گزارش ماهانه</x:v>
      </x:c>
      <x:c r="C2880" s="53" t="str">
        <x:v>F3</x:v>
      </x:c>
      <x:c r="D2880" s="53" t="str">
        <x:v>هزینه پیشنهادی</x:v>
      </x:c>
      <x:c r="E2880" s="53"/>
    </x:row>
    <x:row r="2881" ht="15" hidden="0" customHeight="1">
      <x:c r="A2881" s="53" t="str">
        <x:v>Anjoman accounting - refined.xlsx</x:v>
      </x:c>
      <x:c r="B2881" s="53" t="str">
        <x:v>گزارش ماهانه</x:v>
      </x:c>
      <x:c r="C2881" s="53" t="str">
        <x:v>A4</x:v>
      </x:c>
      <x:c r="D2881" s="53" t="str">
        <x:v>مرداد</x:v>
      </x:c>
      <x:c r="E2881" s="53"/>
    </x:row>
    <x:row r="2882" ht="15" hidden="0" customHeight="1">
      <x:c r="A2882" s="53" t="str">
        <x:v>Anjoman accounting - refined.xlsx</x:v>
      </x:c>
      <x:c r="B2882" s="53" t="str">
        <x:v>گزارش ماهانه</x:v>
      </x:c>
      <x:c r="C2882" s="53" t="str">
        <x:v>B4</x:v>
      </x:c>
      <x:c r="D2882" s="53"/>
      <x:c r="E2882" s="53" t="str">
        <x:v>=SUMIFS(تراکنش‌ها!$F:$F,تراکنش‌ها!$C:$C,$A4,تراکنش‌ها!$B:$B,"درآمد",تراکنش‌ها!$J:$J,"تاییدشده")</x:v>
      </x:c>
    </x:row>
    <x:row r="2883" ht="15" hidden="0" customHeight="1">
      <x:c r="A2883" s="53" t="str">
        <x:v>Anjoman accounting - refined.xlsx</x:v>
      </x:c>
      <x:c r="B2883" s="53" t="str">
        <x:v>گزارش ماهانه</x:v>
      </x:c>
      <x:c r="C2883" s="53" t="str">
        <x:v>C4</x:v>
      </x:c>
      <x:c r="D2883" s="53"/>
      <x:c r="E2883" s="53" t="str">
        <x:v>=SUMIFS(تراکنش‌ها!$F:$F,تراکنش‌ها!$C:$C,$A4,تراکنش‌ها!$B:$B,"هزینه",تراکنش‌ها!$J:$J,"تاییدشده")</x:v>
      </x:c>
    </x:row>
    <x:row r="2884" ht="15" hidden="0" customHeight="1">
      <x:c r="A2884" s="53" t="str">
        <x:v>Anjoman accounting - refined.xlsx</x:v>
      </x:c>
      <x:c r="B2884" s="53" t="str">
        <x:v>گزارش ماهانه</x:v>
      </x:c>
      <x:c r="C2884" s="53" t="str">
        <x:v>D4</x:v>
      </x:c>
      <x:c r="D2884" s="53"/>
      <x:c r="E2884" s="53" t="str">
        <x:v>=B4-C4</x:v>
      </x:c>
    </x:row>
    <x:row r="2885" ht="15" hidden="0" customHeight="1">
      <x:c r="A2885" s="53" t="str">
        <x:v>Anjoman accounting - refined.xlsx</x:v>
      </x:c>
      <x:c r="B2885" s="53" t="str">
        <x:v>گزارش ماهانه</x:v>
      </x:c>
      <x:c r="C2885" s="53" t="str">
        <x:v>E4</x:v>
      </x:c>
      <x:c r="D2885" s="53"/>
      <x:c r="E2885" s="53" t="str">
        <x:v>=SUMIFS(تراکنش‌ها!$F:$F,تراکنش‌ها!$C:$C,$A4,تراکنش‌ها!$B:$B,"درآمد",تراکنش‌ها!$J:$J,"پیشنهادی - نیازمند بررسی")</x:v>
      </x:c>
    </x:row>
    <x:row r="2886" ht="15" hidden="0" customHeight="1">
      <x:c r="A2886" s="53" t="str">
        <x:v>Anjoman accounting - refined.xlsx</x:v>
      </x:c>
      <x:c r="B2886" s="53" t="str">
        <x:v>گزارش ماهانه</x:v>
      </x:c>
      <x:c r="C2886" s="53" t="str">
        <x:v>F4</x:v>
      </x:c>
      <x:c r="D2886" s="53"/>
      <x:c r="E2886" s="53" t="str">
        <x:v>=SUMIFS(تراکنش‌ها!$F:$F,تراکنش‌ها!$C:$C,$A4,تراکنش‌ها!$B:$B,"هزینه",تراکنش‌ها!$J:$J,"پیشنهادی - نیازمند بررسی")</x:v>
      </x:c>
    </x:row>
    <x:row r="2887" ht="15" hidden="0" customHeight="1">
      <x:c r="A2887" s="53" t="str">
        <x:v>Anjoman accounting - refined.xlsx</x:v>
      </x:c>
      <x:c r="B2887" s="53" t="str">
        <x:v>گزارش ماهانه</x:v>
      </x:c>
      <x:c r="C2887" s="53" t="str">
        <x:v>A5</x:v>
      </x:c>
      <x:c r="D2887" s="53" t="str">
        <x:v>شهریور</x:v>
      </x:c>
      <x:c r="E2887" s="53"/>
    </x:row>
    <x:row r="2888" ht="15" hidden="0" customHeight="1">
      <x:c r="A2888" s="53" t="str">
        <x:v>Anjoman accounting - refined.xlsx</x:v>
      </x:c>
      <x:c r="B2888" s="53" t="str">
        <x:v>گزارش ماهانه</x:v>
      </x:c>
      <x:c r="C2888" s="53" t="str">
        <x:v>B5</x:v>
      </x:c>
      <x:c r="D2888" s="53"/>
      <x:c r="E2888" s="53" t="str">
        <x:v>=SUMIFS(تراکنش‌ها!$F:$F,تراکنش‌ها!$C:$C,$A5,تراکنش‌ها!$B:$B,"درآمد",تراکنش‌ها!$J:$J,"تاییدشده")</x:v>
      </x:c>
    </x:row>
    <x:row r="2889" ht="15" hidden="0" customHeight="1">
      <x:c r="A2889" s="53" t="str">
        <x:v>Anjoman accounting - refined.xlsx</x:v>
      </x:c>
      <x:c r="B2889" s="53" t="str">
        <x:v>گزارش ماهانه</x:v>
      </x:c>
      <x:c r="C2889" s="53" t="str">
        <x:v>C5</x:v>
      </x:c>
      <x:c r="D2889" s="53"/>
      <x:c r="E2889" s="53" t="str">
        <x:v>=SUMIFS(تراکنش‌ها!$F:$F,تراکنش‌ها!$C:$C,$A5,تراکنش‌ها!$B:$B,"هزینه",تراکنش‌ها!$J:$J,"تاییدشده")</x:v>
      </x:c>
    </x:row>
    <x:row r="2890" ht="15" hidden="0" customHeight="1">
      <x:c r="A2890" s="53" t="str">
        <x:v>Anjoman accounting - refined.xlsx</x:v>
      </x:c>
      <x:c r="B2890" s="53" t="str">
        <x:v>گزارش ماهانه</x:v>
      </x:c>
      <x:c r="C2890" s="53" t="str">
        <x:v>D5</x:v>
      </x:c>
      <x:c r="D2890" s="53"/>
      <x:c r="E2890" s="53" t="str">
        <x:v>=B5-C5</x:v>
      </x:c>
    </x:row>
    <x:row r="2891" ht="15" hidden="0" customHeight="1">
      <x:c r="A2891" s="53" t="str">
        <x:v>Anjoman accounting - refined.xlsx</x:v>
      </x:c>
      <x:c r="B2891" s="53" t="str">
        <x:v>گزارش ماهانه</x:v>
      </x:c>
      <x:c r="C2891" s="53" t="str">
        <x:v>E5</x:v>
      </x:c>
      <x:c r="D2891" s="53"/>
      <x:c r="E2891" s="53" t="str">
        <x:v>=SUMIFS(تراکنش‌ها!$F:$F,تراکنش‌ها!$C:$C,$A5,تراکنش‌ها!$B:$B,"درآمد",تراکنش‌ها!$J:$J,"پیشنهادی - نیازمند بررسی")</x:v>
      </x:c>
    </x:row>
    <x:row r="2892" ht="15" hidden="0" customHeight="1">
      <x:c r="A2892" s="53" t="str">
        <x:v>Anjoman accounting - refined.xlsx</x:v>
      </x:c>
      <x:c r="B2892" s="53" t="str">
        <x:v>گزارش ماهانه</x:v>
      </x:c>
      <x:c r="C2892" s="53" t="str">
        <x:v>F5</x:v>
      </x:c>
      <x:c r="D2892" s="53"/>
      <x:c r="E2892" s="53" t="str">
        <x:v>=SUMIFS(تراکنش‌ها!$F:$F,تراکنش‌ها!$C:$C,$A5,تراکنش‌ها!$B:$B,"هزینه",تراکنش‌ها!$J:$J,"پیشنهادی - نیازمند بررسی")</x:v>
      </x:c>
    </x:row>
    <x:row r="2893" ht="15" hidden="0" customHeight="1">
      <x:c r="A2893" s="53" t="str">
        <x:v>Anjoman accounting - refined.xlsx</x:v>
      </x:c>
      <x:c r="B2893" s="53" t="str">
        <x:v>گزارش ماهانه</x:v>
      </x:c>
      <x:c r="C2893" s="53" t="str">
        <x:v>A6</x:v>
      </x:c>
      <x:c r="D2893" s="53" t="str">
        <x:v>مهر</x:v>
      </x:c>
      <x:c r="E2893" s="53"/>
    </x:row>
    <x:row r="2894" ht="15" hidden="0" customHeight="1">
      <x:c r="A2894" s="53" t="str">
        <x:v>Anjoman accounting - refined.xlsx</x:v>
      </x:c>
      <x:c r="B2894" s="53" t="str">
        <x:v>گزارش ماهانه</x:v>
      </x:c>
      <x:c r="C2894" s="53" t="str">
        <x:v>B6</x:v>
      </x:c>
      <x:c r="D2894" s="53"/>
      <x:c r="E2894" s="53" t="str">
        <x:v>=SUMIFS(تراکنش‌ها!$F:$F,تراکنش‌ها!$C:$C,$A6,تراکنش‌ها!$B:$B,"درآمد",تراکنش‌ها!$J:$J,"تاییدشده")</x:v>
      </x:c>
    </x:row>
    <x:row r="2895" ht="15" hidden="0" customHeight="1">
      <x:c r="A2895" s="53" t="str">
        <x:v>Anjoman accounting - refined.xlsx</x:v>
      </x:c>
      <x:c r="B2895" s="53" t="str">
        <x:v>گزارش ماهانه</x:v>
      </x:c>
      <x:c r="C2895" s="53" t="str">
        <x:v>C6</x:v>
      </x:c>
      <x:c r="D2895" s="53"/>
      <x:c r="E2895" s="53" t="str">
        <x:v>=SUMIFS(تراکنش‌ها!$F:$F,تراکنش‌ها!$C:$C,$A6,تراکنش‌ها!$B:$B,"هزینه",تراکنش‌ها!$J:$J,"تاییدشده")</x:v>
      </x:c>
    </x:row>
    <x:row r="2896" ht="15" hidden="0" customHeight="1">
      <x:c r="A2896" s="53" t="str">
        <x:v>Anjoman accounting - refined.xlsx</x:v>
      </x:c>
      <x:c r="B2896" s="53" t="str">
        <x:v>گزارش ماهانه</x:v>
      </x:c>
      <x:c r="C2896" s="53" t="str">
        <x:v>D6</x:v>
      </x:c>
      <x:c r="D2896" s="53"/>
      <x:c r="E2896" s="53" t="str">
        <x:v>=B6-C6</x:v>
      </x:c>
    </x:row>
    <x:row r="2897" ht="15" hidden="0" customHeight="1">
      <x:c r="A2897" s="53" t="str">
        <x:v>Anjoman accounting - refined.xlsx</x:v>
      </x:c>
      <x:c r="B2897" s="53" t="str">
        <x:v>گزارش ماهانه</x:v>
      </x:c>
      <x:c r="C2897" s="53" t="str">
        <x:v>E6</x:v>
      </x:c>
      <x:c r="D2897" s="53"/>
      <x:c r="E2897" s="53" t="str">
        <x:v>=SUMIFS(تراکنش‌ها!$F:$F,تراکنش‌ها!$C:$C,$A6,تراکنش‌ها!$B:$B,"درآمد",تراکنش‌ها!$J:$J,"پیشنهادی - نیازمند بررسی")</x:v>
      </x:c>
    </x:row>
    <x:row r="2898" ht="15" hidden="0" customHeight="1">
      <x:c r="A2898" s="53" t="str">
        <x:v>Anjoman accounting - refined.xlsx</x:v>
      </x:c>
      <x:c r="B2898" s="53" t="str">
        <x:v>گزارش ماهانه</x:v>
      </x:c>
      <x:c r="C2898" s="53" t="str">
        <x:v>F6</x:v>
      </x:c>
      <x:c r="D2898" s="53"/>
      <x:c r="E2898" s="53" t="str">
        <x:v>=SUMIFS(تراکنش‌ها!$F:$F,تراکنش‌ها!$C:$C,$A6,تراکنش‌ها!$B:$B,"هزینه",تراکنش‌ها!$J:$J,"پیشنهادی - نیازمند بررسی")</x:v>
      </x:c>
    </x:row>
    <x:row r="2899" ht="15" hidden="0" customHeight="1">
      <x:c r="A2899" s="53" t="str">
        <x:v>Anjoman accounting - refined.xlsx</x:v>
      </x:c>
      <x:c r="B2899" s="53" t="str">
        <x:v>گزارش ماهانه</x:v>
      </x:c>
      <x:c r="C2899" s="53" t="str">
        <x:v>A7</x:v>
      </x:c>
      <x:c r="D2899" s="53" t="str">
        <x:v>آبان</x:v>
      </x:c>
      <x:c r="E2899" s="53"/>
    </x:row>
    <x:row r="2900" ht="15" hidden="0" customHeight="1">
      <x:c r="A2900" s="53" t="str">
        <x:v>Anjoman accounting - refined.xlsx</x:v>
      </x:c>
      <x:c r="B2900" s="53" t="str">
        <x:v>گزارش ماهانه</x:v>
      </x:c>
      <x:c r="C2900" s="53" t="str">
        <x:v>B7</x:v>
      </x:c>
      <x:c r="D2900" s="53"/>
      <x:c r="E2900" s="53" t="str">
        <x:v>=SUMIFS(تراکنش‌ها!$F:$F,تراکنش‌ها!$C:$C,$A7,تراکنش‌ها!$B:$B,"درآمد",تراکنش‌ها!$J:$J,"تاییدشده")</x:v>
      </x:c>
    </x:row>
    <x:row r="2901" ht="15" hidden="0" customHeight="1">
      <x:c r="A2901" s="53" t="str">
        <x:v>Anjoman accounting - refined.xlsx</x:v>
      </x:c>
      <x:c r="B2901" s="53" t="str">
        <x:v>گزارش ماهانه</x:v>
      </x:c>
      <x:c r="C2901" s="53" t="str">
        <x:v>C7</x:v>
      </x:c>
      <x:c r="D2901" s="53"/>
      <x:c r="E2901" s="53" t="str">
        <x:v>=SUMIFS(تراکنش‌ها!$F:$F,تراکنش‌ها!$C:$C,$A7,تراکنش‌ها!$B:$B,"هزینه",تراکنش‌ها!$J:$J,"تاییدشده")</x:v>
      </x:c>
    </x:row>
    <x:row r="2902" ht="15" hidden="0" customHeight="1">
      <x:c r="A2902" s="53" t="str">
        <x:v>Anjoman accounting - refined.xlsx</x:v>
      </x:c>
      <x:c r="B2902" s="53" t="str">
        <x:v>گزارش ماهانه</x:v>
      </x:c>
      <x:c r="C2902" s="53" t="str">
        <x:v>D7</x:v>
      </x:c>
      <x:c r="D2902" s="53"/>
      <x:c r="E2902" s="53" t="str">
        <x:v>=B7-C7</x:v>
      </x:c>
    </x:row>
    <x:row r="2903" ht="15" hidden="0" customHeight="1">
      <x:c r="A2903" s="53" t="str">
        <x:v>Anjoman accounting - refined.xlsx</x:v>
      </x:c>
      <x:c r="B2903" s="53" t="str">
        <x:v>گزارش ماهانه</x:v>
      </x:c>
      <x:c r="C2903" s="53" t="str">
        <x:v>E7</x:v>
      </x:c>
      <x:c r="D2903" s="53"/>
      <x:c r="E2903" s="53" t="str">
        <x:v>=SUMIFS(تراکنش‌ها!$F:$F,تراکنش‌ها!$C:$C,$A7,تراکنش‌ها!$B:$B,"درآمد",تراکنش‌ها!$J:$J,"پیشنهادی - نیازمند بررسی")</x:v>
      </x:c>
    </x:row>
    <x:row r="2904" ht="15" hidden="0" customHeight="1">
      <x:c r="A2904" s="53" t="str">
        <x:v>Anjoman accounting - refined.xlsx</x:v>
      </x:c>
      <x:c r="B2904" s="53" t="str">
        <x:v>گزارش ماهانه</x:v>
      </x:c>
      <x:c r="C2904" s="53" t="str">
        <x:v>F7</x:v>
      </x:c>
      <x:c r="D2904" s="53"/>
      <x:c r="E2904" s="53" t="str">
        <x:v>=SUMIFS(تراکنش‌ها!$F:$F,تراکنش‌ها!$C:$C,$A7,تراکنش‌ها!$B:$B,"هزینه",تراکنش‌ها!$J:$J,"پیشنهادی - نیازمند بررسی")</x:v>
      </x:c>
    </x:row>
    <x:row r="2905" ht="15" hidden="0" customHeight="1">
      <x:c r="A2905" s="53" t="str">
        <x:v>Anjoman accounting - refined.xlsx</x:v>
      </x:c>
      <x:c r="B2905" s="53" t="str">
        <x:v>گزارش ماهانه</x:v>
      </x:c>
      <x:c r="C2905" s="53" t="str">
        <x:v>A8</x:v>
      </x:c>
      <x:c r="D2905" s="53" t="str">
        <x:v>آذر</x:v>
      </x:c>
      <x:c r="E2905" s="53"/>
    </x:row>
    <x:row r="2906" ht="15" hidden="0" customHeight="1">
      <x:c r="A2906" s="53" t="str">
        <x:v>Anjoman accounting - refined.xlsx</x:v>
      </x:c>
      <x:c r="B2906" s="53" t="str">
        <x:v>گزارش ماهانه</x:v>
      </x:c>
      <x:c r="C2906" s="53" t="str">
        <x:v>B8</x:v>
      </x:c>
      <x:c r="D2906" s="53"/>
      <x:c r="E2906" s="53" t="str">
        <x:v>=SUMIFS(تراکنش‌ها!$F:$F,تراکنش‌ها!$C:$C,$A8,تراکنش‌ها!$B:$B,"درآمد",تراکنش‌ها!$J:$J,"تاییدشده")</x:v>
      </x:c>
    </x:row>
    <x:row r="2907" ht="15" hidden="0" customHeight="1">
      <x:c r="A2907" s="53" t="str">
        <x:v>Anjoman accounting - refined.xlsx</x:v>
      </x:c>
      <x:c r="B2907" s="53" t="str">
        <x:v>گزارش ماهانه</x:v>
      </x:c>
      <x:c r="C2907" s="53" t="str">
        <x:v>C8</x:v>
      </x:c>
      <x:c r="D2907" s="53"/>
      <x:c r="E2907" s="53" t="str">
        <x:v>=SUMIFS(تراکنش‌ها!$F:$F,تراکنش‌ها!$C:$C,$A8,تراکنش‌ها!$B:$B,"هزینه",تراکنش‌ها!$J:$J,"تاییدشده")</x:v>
      </x:c>
    </x:row>
    <x:row r="2908" ht="15" hidden="0" customHeight="1">
      <x:c r="A2908" s="53" t="str">
        <x:v>Anjoman accounting - refined.xlsx</x:v>
      </x:c>
      <x:c r="B2908" s="53" t="str">
        <x:v>گزارش ماهانه</x:v>
      </x:c>
      <x:c r="C2908" s="53" t="str">
        <x:v>D8</x:v>
      </x:c>
      <x:c r="D2908" s="53"/>
      <x:c r="E2908" s="53" t="str">
        <x:v>=B8-C8</x:v>
      </x:c>
    </x:row>
    <x:row r="2909" ht="15" hidden="0" customHeight="1">
      <x:c r="A2909" s="53" t="str">
        <x:v>Anjoman accounting - refined.xlsx</x:v>
      </x:c>
      <x:c r="B2909" s="53" t="str">
        <x:v>گزارش ماهانه</x:v>
      </x:c>
      <x:c r="C2909" s="53" t="str">
        <x:v>E8</x:v>
      </x:c>
      <x:c r="D2909" s="53"/>
      <x:c r="E2909" s="53" t="str">
        <x:v>=SUMIFS(تراکنش‌ها!$F:$F,تراکنش‌ها!$C:$C,$A8,تراکنش‌ها!$B:$B,"درآمد",تراکنش‌ها!$J:$J,"پیشنهادی - نیازمند بررسی")</x:v>
      </x:c>
    </x:row>
    <x:row r="2910" ht="15" hidden="0" customHeight="1">
      <x:c r="A2910" s="53" t="str">
        <x:v>Anjoman accounting - refined.xlsx</x:v>
      </x:c>
      <x:c r="B2910" s="53" t="str">
        <x:v>گزارش ماهانه</x:v>
      </x:c>
      <x:c r="C2910" s="53" t="str">
        <x:v>F8</x:v>
      </x:c>
      <x:c r="D2910" s="53"/>
      <x:c r="E2910" s="53" t="str">
        <x:v>=SUMIFS(تراکنش‌ها!$F:$F,تراکنش‌ها!$C:$C,$A8,تراکنش‌ها!$B:$B,"هزینه",تراکنش‌ها!$J:$J,"پیشنهادی - نیازمند بررسی")</x:v>
      </x:c>
    </x:row>
    <x:row r="2911" ht="15" hidden="0" customHeight="1">
      <x:c r="A2911" s="53" t="str">
        <x:v>Anjoman accounting - refined.xlsx</x:v>
      </x:c>
      <x:c r="B2911" s="53" t="str">
        <x:v>گزارش ماهانه</x:v>
      </x:c>
      <x:c r="C2911" s="53" t="str">
        <x:v>A9</x:v>
      </x:c>
      <x:c r="D2911" s="53" t="str">
        <x:v>دی</x:v>
      </x:c>
      <x:c r="E2911" s="53"/>
    </x:row>
    <x:row r="2912" ht="15" hidden="0" customHeight="1">
      <x:c r="A2912" s="53" t="str">
        <x:v>Anjoman accounting - refined.xlsx</x:v>
      </x:c>
      <x:c r="B2912" s="53" t="str">
        <x:v>گزارش ماهانه</x:v>
      </x:c>
      <x:c r="C2912" s="53" t="str">
        <x:v>B9</x:v>
      </x:c>
      <x:c r="D2912" s="53"/>
      <x:c r="E2912" s="53" t="str">
        <x:v>=SUMIFS(تراکنش‌ها!$F:$F,تراکنش‌ها!$C:$C,$A9,تراکنش‌ها!$B:$B,"درآمد",تراکنش‌ها!$J:$J,"تاییدشده")</x:v>
      </x:c>
    </x:row>
    <x:row r="2913" ht="15" hidden="0" customHeight="1">
      <x:c r="A2913" s="53" t="str">
        <x:v>Anjoman accounting - refined.xlsx</x:v>
      </x:c>
      <x:c r="B2913" s="53" t="str">
        <x:v>گزارش ماهانه</x:v>
      </x:c>
      <x:c r="C2913" s="53" t="str">
        <x:v>C9</x:v>
      </x:c>
      <x:c r="D2913" s="53"/>
      <x:c r="E2913" s="53" t="str">
        <x:v>=SUMIFS(تراکنش‌ها!$F:$F,تراکنش‌ها!$C:$C,$A9,تراکنش‌ها!$B:$B,"هزینه",تراکنش‌ها!$J:$J,"تاییدشده")</x:v>
      </x:c>
    </x:row>
    <x:row r="2914" ht="15" hidden="0" customHeight="1">
      <x:c r="A2914" s="53" t="str">
        <x:v>Anjoman accounting - refined.xlsx</x:v>
      </x:c>
      <x:c r="B2914" s="53" t="str">
        <x:v>گزارش ماهانه</x:v>
      </x:c>
      <x:c r="C2914" s="53" t="str">
        <x:v>D9</x:v>
      </x:c>
      <x:c r="D2914" s="53"/>
      <x:c r="E2914" s="53" t="str">
        <x:v>=B9-C9</x:v>
      </x:c>
    </x:row>
    <x:row r="2915" ht="15" hidden="0" customHeight="1">
      <x:c r="A2915" s="53" t="str">
        <x:v>Anjoman accounting - refined.xlsx</x:v>
      </x:c>
      <x:c r="B2915" s="53" t="str">
        <x:v>گزارش ماهانه</x:v>
      </x:c>
      <x:c r="C2915" s="53" t="str">
        <x:v>E9</x:v>
      </x:c>
      <x:c r="D2915" s="53"/>
      <x:c r="E2915" s="53" t="str">
        <x:v>=SUMIFS(تراکنش‌ها!$F:$F,تراکنش‌ها!$C:$C,$A9,تراکنش‌ها!$B:$B,"درآمد",تراکنش‌ها!$J:$J,"پیشنهادی - نیازمند بررسی")</x:v>
      </x:c>
    </x:row>
    <x:row r="2916" ht="15" hidden="0" customHeight="1">
      <x:c r="A2916" s="53" t="str">
        <x:v>Anjoman accounting - refined.xlsx</x:v>
      </x:c>
      <x:c r="B2916" s="53" t="str">
        <x:v>گزارش ماهانه</x:v>
      </x:c>
      <x:c r="C2916" s="53" t="str">
        <x:v>F9</x:v>
      </x:c>
      <x:c r="D2916" s="53"/>
      <x:c r="E2916" s="53" t="str">
        <x:v>=SUMIFS(تراکنش‌ها!$F:$F,تراکنش‌ها!$C:$C,$A9,تراکنش‌ها!$B:$B,"هزینه",تراکنش‌ها!$J:$J,"پیشنهادی - نیازمند بررسی")</x:v>
      </x:c>
    </x:row>
    <x:row r="2917" ht="15" hidden="0" customHeight="1">
      <x:c r="A2917" s="53" t="str">
        <x:v>Anjoman accounting - refined.xlsx</x:v>
      </x:c>
      <x:c r="B2917" s="53" t="str">
        <x:v>گزارش ماهانه</x:v>
      </x:c>
      <x:c r="C2917" s="53" t="str">
        <x:v>A10</x:v>
      </x:c>
      <x:c r="D2917" s="53" t="str">
        <x:v>1405/06/07</x:v>
      </x:c>
      <x:c r="E2917" s="53"/>
    </x:row>
    <x:row r="2918" ht="15" hidden="0" customHeight="1">
      <x:c r="A2918" s="53" t="str">
        <x:v>Anjoman accounting - refined.xlsx</x:v>
      </x:c>
      <x:c r="B2918" s="53" t="str">
        <x:v>گزارش ماهانه</x:v>
      </x:c>
      <x:c r="C2918" s="53" t="str">
        <x:v>B10</x:v>
      </x:c>
      <x:c r="D2918" s="53"/>
      <x:c r="E2918" s="53" t="str">
        <x:v>=SUMIFS(تراکنش‌ها!$F:$F,تراکنش‌ها!$C:$C,$A10,تراکنش‌ها!$B:$B,"درآمد",تراکنش‌ها!$J:$J,"تاییدشده")</x:v>
      </x:c>
    </x:row>
    <x:row r="2919" ht="15" hidden="0" customHeight="1">
      <x:c r="A2919" s="53" t="str">
        <x:v>Anjoman accounting - refined.xlsx</x:v>
      </x:c>
      <x:c r="B2919" s="53" t="str">
        <x:v>گزارش ماهانه</x:v>
      </x:c>
      <x:c r="C2919" s="53" t="str">
        <x:v>C10</x:v>
      </x:c>
      <x:c r="D2919" s="53"/>
      <x:c r="E2919" s="53" t="str">
        <x:v>=SUMIFS(تراکنش‌ها!$F:$F,تراکنش‌ها!$C:$C,$A10,تراکنش‌ها!$B:$B,"هزینه",تراکنش‌ها!$J:$J,"تاییدشده")</x:v>
      </x:c>
    </x:row>
    <x:row r="2920" ht="15" hidden="0" customHeight="1">
      <x:c r="A2920" s="53" t="str">
        <x:v>Anjoman accounting - refined.xlsx</x:v>
      </x:c>
      <x:c r="B2920" s="53" t="str">
        <x:v>گزارش ماهانه</x:v>
      </x:c>
      <x:c r="C2920" s="53" t="str">
        <x:v>D10</x:v>
      </x:c>
      <x:c r="D2920" s="53"/>
      <x:c r="E2920" s="53" t="str">
        <x:v>=B10-C10</x:v>
      </x:c>
    </x:row>
    <x:row r="2921" ht="15" hidden="0" customHeight="1">
      <x:c r="A2921" s="53" t="str">
        <x:v>Anjoman accounting - refined.xlsx</x:v>
      </x:c>
      <x:c r="B2921" s="53" t="str">
        <x:v>گزارش ماهانه</x:v>
      </x:c>
      <x:c r="C2921" s="53" t="str">
        <x:v>E10</x:v>
      </x:c>
      <x:c r="D2921" s="53"/>
      <x:c r="E2921" s="53" t="str">
        <x:v>=SUMIFS(تراکنش‌ها!$F:$F,تراکنش‌ها!$C:$C,$A10,تراکنش‌ها!$B:$B,"درآمد",تراکنش‌ها!$J:$J,"پیشنهادی - نیازمند بررسی")</x:v>
      </x:c>
    </x:row>
    <x:row r="2922" ht="15" hidden="0" customHeight="1">
      <x:c r="A2922" s="53" t="str">
        <x:v>Anjoman accounting - refined.xlsx</x:v>
      </x:c>
      <x:c r="B2922" s="53" t="str">
        <x:v>گزارش ماهانه</x:v>
      </x:c>
      <x:c r="C2922" s="53" t="str">
        <x:v>F10</x:v>
      </x:c>
      <x:c r="D2922" s="53"/>
      <x:c r="E2922" s="53" t="str">
        <x:v>=SUMIFS(تراکنش‌ها!$F:$F,تراکنش‌ها!$C:$C,$A10,تراکنش‌ها!$B:$B,"هزینه",تراکنش‌ها!$J:$J,"پیشنهادی - نیازمند بررسی")</x:v>
      </x:c>
    </x:row>
    <x:row r="2923" ht="15" hidden="0" customHeight="1">
      <x:c r="A2923" s="53" t="str">
        <x:v>Anjoman accounting - refined.xlsx</x:v>
      </x:c>
      <x:c r="B2923" s="53" t="str">
        <x:v>گزارش ماهانه</x:v>
      </x:c>
      <x:c r="C2923" s="53" t="str">
        <x:v>A11</x:v>
      </x:c>
      <x:c r="D2923" s="53" t="str">
        <x:v>1405/07</x:v>
      </x:c>
      <x:c r="E2923" s="53"/>
    </x:row>
    <x:row r="2924" ht="15" hidden="0" customHeight="1">
      <x:c r="A2924" s="53" t="str">
        <x:v>Anjoman accounting - refined.xlsx</x:v>
      </x:c>
      <x:c r="B2924" s="53" t="str">
        <x:v>گزارش ماهانه</x:v>
      </x:c>
      <x:c r="C2924" s="53" t="str">
        <x:v>B11</x:v>
      </x:c>
      <x:c r="D2924" s="53"/>
      <x:c r="E2924" s="53" t="str">
        <x:v>=SUMIFS(تراکنش‌ها!$F:$F,تراکنش‌ها!$C:$C,$A11,تراکنش‌ها!$B:$B,"درآمد",تراکنش‌ها!$J:$J,"تاییدشده")</x:v>
      </x:c>
    </x:row>
    <x:row r="2925" ht="15" hidden="0" customHeight="1">
      <x:c r="A2925" s="53" t="str">
        <x:v>Anjoman accounting - refined.xlsx</x:v>
      </x:c>
      <x:c r="B2925" s="53" t="str">
        <x:v>گزارش ماهانه</x:v>
      </x:c>
      <x:c r="C2925" s="53" t="str">
        <x:v>C11</x:v>
      </x:c>
      <x:c r="D2925" s="53"/>
      <x:c r="E2925" s="53" t="str">
        <x:v>=SUMIFS(تراکنش‌ها!$F:$F,تراکنش‌ها!$C:$C,$A11,تراکنش‌ها!$B:$B,"هزینه",تراکنش‌ها!$J:$J,"تاییدشده")</x:v>
      </x:c>
    </x:row>
    <x:row r="2926" ht="15" hidden="0" customHeight="1">
      <x:c r="A2926" s="53" t="str">
        <x:v>Anjoman accounting - refined.xlsx</x:v>
      </x:c>
      <x:c r="B2926" s="53" t="str">
        <x:v>گزارش ماهانه</x:v>
      </x:c>
      <x:c r="C2926" s="53" t="str">
        <x:v>D11</x:v>
      </x:c>
      <x:c r="D2926" s="53"/>
      <x:c r="E2926" s="53" t="str">
        <x:v>=B11-C11</x:v>
      </x:c>
    </x:row>
    <x:row r="2927" ht="15" hidden="0" customHeight="1">
      <x:c r="A2927" s="53" t="str">
        <x:v>Anjoman accounting - refined.xlsx</x:v>
      </x:c>
      <x:c r="B2927" s="53" t="str">
        <x:v>گزارش ماهانه</x:v>
      </x:c>
      <x:c r="C2927" s="53" t="str">
        <x:v>E11</x:v>
      </x:c>
      <x:c r="D2927" s="53"/>
      <x:c r="E2927" s="53" t="str">
        <x:v>=SUMIFS(تراکنش‌ها!$F:$F,تراکنش‌ها!$C:$C,$A11,تراکنش‌ها!$B:$B,"درآمد",تراکنش‌ها!$J:$J,"پیشنهادی - نیازمند بررسی")</x:v>
      </x:c>
    </x:row>
    <x:row r="2928" ht="15" hidden="0" customHeight="1">
      <x:c r="A2928" s="53" t="str">
        <x:v>Anjoman accounting - refined.xlsx</x:v>
      </x:c>
      <x:c r="B2928" s="53" t="str">
        <x:v>گزارش ماهانه</x:v>
      </x:c>
      <x:c r="C2928" s="53" t="str">
        <x:v>F11</x:v>
      </x:c>
      <x:c r="D2928" s="53"/>
      <x:c r="E2928" s="53" t="str">
        <x:v>=SUMIFS(تراکنش‌ها!$F:$F,تراکنش‌ها!$C:$C,$A11,تراکنش‌ها!$B:$B,"هزینه",تراکنش‌ها!$J:$J,"پیشنهادی - نیازمند بررسی")</x:v>
      </x:c>
    </x:row>
    <x:row r="2929" ht="15" hidden="0" customHeight="1">
      <x:c r="A2929" s="53" t="str">
        <x:v>Anjoman accounting - refined.xlsx</x:v>
      </x:c>
      <x:c r="B2929" s="53" t="str">
        <x:v>گزارش ماهانه</x:v>
      </x:c>
      <x:c r="C2929" s="53" t="str">
        <x:v>A12</x:v>
      </x:c>
      <x:c r="D2929" s="53" t="str">
        <x:v>نامشخص</x:v>
      </x:c>
      <x:c r="E2929" s="53"/>
    </x:row>
    <x:row r="2930" ht="15" hidden="0" customHeight="1">
      <x:c r="A2930" s="53" t="str">
        <x:v>Anjoman accounting - refined.xlsx</x:v>
      </x:c>
      <x:c r="B2930" s="53" t="str">
        <x:v>گزارش ماهانه</x:v>
      </x:c>
      <x:c r="C2930" s="53" t="str">
        <x:v>B12</x:v>
      </x:c>
      <x:c r="D2930" s="53"/>
      <x:c r="E2930" s="53" t="str">
        <x:v>=SUMIFS(تراکنش‌ها!$F:$F,تراکنش‌ها!$C:$C,$A12,تراکنش‌ها!$B:$B,"درآمد",تراکنش‌ها!$J:$J,"تاییدشده")</x:v>
      </x:c>
    </x:row>
    <x:row r="2931" ht="15" hidden="0" customHeight="1">
      <x:c r="A2931" s="53" t="str">
        <x:v>Anjoman accounting - refined.xlsx</x:v>
      </x:c>
      <x:c r="B2931" s="53" t="str">
        <x:v>گزارش ماهانه</x:v>
      </x:c>
      <x:c r="C2931" s="53" t="str">
        <x:v>C12</x:v>
      </x:c>
      <x:c r="D2931" s="53"/>
      <x:c r="E2931" s="53" t="str">
        <x:v>=SUMIFS(تراکنش‌ها!$F:$F,تراکنش‌ها!$C:$C,$A12,تراکنش‌ها!$B:$B,"هزینه",تراکنش‌ها!$J:$J,"تاییدشده")</x:v>
      </x:c>
    </x:row>
    <x:row r="2932" ht="15" hidden="0" customHeight="1">
      <x:c r="A2932" s="53" t="str">
        <x:v>Anjoman accounting - refined.xlsx</x:v>
      </x:c>
      <x:c r="B2932" s="53" t="str">
        <x:v>گزارش ماهانه</x:v>
      </x:c>
      <x:c r="C2932" s="53" t="str">
        <x:v>D12</x:v>
      </x:c>
      <x:c r="D2932" s="53"/>
      <x:c r="E2932" s="53" t="str">
        <x:v>=B12-C12</x:v>
      </x:c>
    </x:row>
    <x:row r="2933" ht="15" hidden="0" customHeight="1">
      <x:c r="A2933" s="53" t="str">
        <x:v>Anjoman accounting - refined.xlsx</x:v>
      </x:c>
      <x:c r="B2933" s="53" t="str">
        <x:v>گزارش ماهانه</x:v>
      </x:c>
      <x:c r="C2933" s="53" t="str">
        <x:v>E12</x:v>
      </x:c>
      <x:c r="D2933" s="53"/>
      <x:c r="E2933" s="53" t="str">
        <x:v>=SUMIFS(تراکنش‌ها!$F:$F,تراکنش‌ها!$C:$C,$A12,تراکنش‌ها!$B:$B,"درآمد",تراکنش‌ها!$J:$J,"پیشنهادی - نیازمند بررسی")</x:v>
      </x:c>
    </x:row>
    <x:row r="2934" ht="15" hidden="0" customHeight="1">
      <x:c r="A2934" s="53" t="str">
        <x:v>Anjoman accounting - refined.xlsx</x:v>
      </x:c>
      <x:c r="B2934" s="53" t="str">
        <x:v>گزارش ماهانه</x:v>
      </x:c>
      <x:c r="C2934" s="53" t="str">
        <x:v>F12</x:v>
      </x:c>
      <x:c r="D2934" s="53"/>
      <x:c r="E2934" s="53" t="str">
        <x:v>=SUMIFS(تراکنش‌ها!$F:$F,تراکنش‌ها!$C:$C,$A12,تراکنش‌ها!$B:$B,"هزینه",تراکنش‌ها!$J:$J,"پیشنهادی - نیازمند بررسی")</x:v>
      </x:c>
    </x:row>
    <x:row r="2935" ht="15" hidden="0" customHeight="1">
      <x:c r="A2935" s="53" t="str">
        <x:v>Anjoman accounting - refined.xlsx</x:v>
      </x:c>
      <x:c r="B2935" s="53" t="str">
        <x:v>دسته‌بندی‌ها</x:v>
      </x:c>
      <x:c r="C2935" s="53" t="str">
        <x:v>A1</x:v>
      </x:c>
      <x:c r="D2935" s="53" t="str">
        <x:v>تعریف دسته‌بندی‌ها</x:v>
      </x:c>
      <x:c r="E2935" s="53"/>
    </x:row>
    <x:row r="2936" ht="15" hidden="0" customHeight="1">
      <x:c r="A2936" s="53" t="str">
        <x:v>Anjoman accounting - refined.xlsx</x:v>
      </x:c>
      <x:c r="B2936" s="53" t="str">
        <x:v>دسته‌بندی‌ها</x:v>
      </x:c>
      <x:c r="C2936" s="53" t="str">
        <x:v>A2</x:v>
      </x:c>
      <x:c r="D2936" s="53" t="str">
        <x:v>نسخه refined | واحد گزارش: تومان | مبالغ نامطمئن در صف بررسی از جمع تاییدشده حذف می‌شوند.</x:v>
      </x:c>
      <x:c r="E2936" s="53"/>
    </x:row>
    <x:row r="2937" ht="15" hidden="0" customHeight="1">
      <x:c r="A2937" s="53" t="str">
        <x:v>Anjoman accounting - refined.xlsx</x:v>
      </x:c>
      <x:c r="B2937" s="53" t="str">
        <x:v>دسته‌بندی‌ها</x:v>
      </x:c>
      <x:c r="C2937" s="53" t="str">
        <x:v>A3</x:v>
      </x:c>
      <x:c r="D2937" s="53" t="str">
        <x:v>دسته‌بندی</x:v>
      </x:c>
      <x:c r="E2937" s="53"/>
    </x:row>
    <x:row r="2938" ht="15" hidden="0" customHeight="1">
      <x:c r="A2938" s="53" t="str">
        <x:v>Anjoman accounting - refined.xlsx</x:v>
      </x:c>
      <x:c r="B2938" s="53" t="str">
        <x:v>دسته‌بندی‌ها</x:v>
      </x:c>
      <x:c r="C2938" s="53" t="str">
        <x:v>B3</x:v>
      </x:c>
      <x:c r="D2938" s="53" t="str">
        <x:v>نوع</x:v>
      </x:c>
      <x:c r="E2938" s="53"/>
    </x:row>
    <x:row r="2939" ht="15" hidden="0" customHeight="1">
      <x:c r="A2939" s="53" t="str">
        <x:v>Anjoman accounting - refined.xlsx</x:v>
      </x:c>
      <x:c r="B2939" s="53" t="str">
        <x:v>دسته‌بندی‌ها</x:v>
      </x:c>
      <x:c r="C2939" s="53" t="str">
        <x:v>C3</x:v>
      </x:c>
      <x:c r="D2939" s="53" t="str">
        <x:v>توضیح</x:v>
      </x:c>
      <x:c r="E2939" s="53"/>
    </x:row>
    <x:row r="2940" ht="15" hidden="0" customHeight="1">
      <x:c r="A2940" s="53" t="str">
        <x:v>Anjoman accounting - refined.xlsx</x:v>
      </x:c>
      <x:c r="B2940" s="53" t="str">
        <x:v>دسته‌بندی‌ها</x:v>
      </x:c>
      <x:c r="C2940" s="53" t="str">
        <x:v>A4</x:v>
      </x:c>
      <x:c r="D2940" s="53" t="str">
        <x:v>درآمد دوره</x:v>
      </x:c>
      <x:c r="E2940" s="53"/>
    </x:row>
    <x:row r="2941" ht="15" hidden="0" customHeight="1">
      <x:c r="A2941" s="53" t="str">
        <x:v>Anjoman accounting - refined.xlsx</x:v>
      </x:c>
      <x:c r="B2941" s="53" t="str">
        <x:v>دسته‌بندی‌ها</x:v>
      </x:c>
      <x:c r="C2941" s="53" t="str">
        <x:v>B4</x:v>
      </x:c>
      <x:c r="D2941" s="53" t="str">
        <x:v>درآمد</x:v>
      </x:c>
      <x:c r="E2941" s="53"/>
    </x:row>
    <x:row r="2942" ht="15" hidden="0" customHeight="1">
      <x:c r="A2942" s="53" t="str">
        <x:v>Anjoman accounting - refined.xlsx</x:v>
      </x:c>
      <x:c r="B2942" s="53" t="str">
        <x:v>دسته‌بندی‌ها</x:v>
      </x:c>
      <x:c r="C2942" s="53" t="str">
        <x:v>C4</x:v>
      </x:c>
      <x:c r="D2942" s="53" t="str">
        <x:v>دریافت مرتبط با دوره‌های آموزشی</x:v>
      </x:c>
      <x:c r="E2942" s="53"/>
    </x:row>
    <x:row r="2943" ht="15" hidden="0" customHeight="1">
      <x:c r="A2943" s="53" t="str">
        <x:v>Anjoman accounting - refined.xlsx</x:v>
      </x:c>
      <x:c r="B2943" s="53" t="str">
        <x:v>دسته‌بندی‌ها</x:v>
      </x:c>
      <x:c r="C2943" s="53" t="str">
        <x:v>A5</x:v>
      </x:c>
      <x:c r="D2943" s="53" t="str">
        <x:v>درآمد رویداد</x:v>
      </x:c>
      <x:c r="E2943" s="53"/>
    </x:row>
    <x:row r="2944" ht="15" hidden="0" customHeight="1">
      <x:c r="A2944" s="53" t="str">
        <x:v>Anjoman accounting - refined.xlsx</x:v>
      </x:c>
      <x:c r="B2944" s="53" t="str">
        <x:v>دسته‌بندی‌ها</x:v>
      </x:c>
      <x:c r="C2944" s="53" t="str">
        <x:v>B5</x:v>
      </x:c>
      <x:c r="D2944" s="53" t="str">
        <x:v>درآمد</x:v>
      </x:c>
      <x:c r="E2944" s="53"/>
    </x:row>
    <x:row r="2945" ht="15" hidden="0" customHeight="1">
      <x:c r="A2945" s="53" t="str">
        <x:v>Anjoman accounting - refined.xlsx</x:v>
      </x:c>
      <x:c r="B2945" s="53" t="str">
        <x:v>دسته‌بندی‌ها</x:v>
      </x:c>
      <x:c r="C2945" s="53" t="str">
        <x:v>C5</x:v>
      </x:c>
      <x:c r="D2945" s="53" t="str">
        <x:v>بلیت، ثبت‌نام یا درآمد رویداد</x:v>
      </x:c>
      <x:c r="E2945" s="53"/>
    </x:row>
    <x:row r="2946" ht="15" hidden="0" customHeight="1">
      <x:c r="A2946" s="53" t="str">
        <x:v>Anjoman accounting - refined.xlsx</x:v>
      </x:c>
      <x:c r="B2946" s="53" t="str">
        <x:v>دسته‌بندی‌ها</x:v>
      </x:c>
      <x:c r="C2946" s="53" t="str">
        <x:v>A6</x:v>
      </x:c>
      <x:c r="D2946" s="53" t="str">
        <x:v>کمک و دونیشن</x:v>
      </x:c>
      <x:c r="E2946" s="53"/>
    </x:row>
    <x:row r="2947" ht="15" hidden="0" customHeight="1">
      <x:c r="A2947" s="53" t="str">
        <x:v>Anjoman accounting - refined.xlsx</x:v>
      </x:c>
      <x:c r="B2947" s="53" t="str">
        <x:v>دسته‌بندی‌ها</x:v>
      </x:c>
      <x:c r="C2947" s="53" t="str">
        <x:v>B6</x:v>
      </x:c>
      <x:c r="D2947" s="53" t="str">
        <x:v>درآمد</x:v>
      </x:c>
      <x:c r="E2947" s="53"/>
    </x:row>
    <x:row r="2948" ht="15" hidden="0" customHeight="1">
      <x:c r="A2948" s="53" t="str">
        <x:v>Anjoman accounting - refined.xlsx</x:v>
      </x:c>
      <x:c r="B2948" s="53" t="str">
        <x:v>دسته‌بندی‌ها</x:v>
      </x:c>
      <x:c r="C2948" s="53" t="str">
        <x:v>C6</x:v>
      </x:c>
      <x:c r="D2948" s="53" t="str">
        <x:v>کمک‌های نقدی/واریزی انجمن</x:v>
      </x:c>
      <x:c r="E2948" s="53"/>
    </x:row>
    <x:row r="2949" ht="15" hidden="0" customHeight="1">
      <x:c r="A2949" s="53" t="str">
        <x:v>Anjoman accounting - refined.xlsx</x:v>
      </x:c>
      <x:c r="B2949" s="53" t="str">
        <x:v>دسته‌بندی‌ها</x:v>
      </x:c>
      <x:c r="C2949" s="53" t="str">
        <x:v>A7</x:v>
      </x:c>
      <x:c r="D2949" s="53" t="str">
        <x:v>هزینه مدرس و دستیار</x:v>
      </x:c>
      <x:c r="E2949" s="53"/>
    </x:row>
    <x:row r="2950" ht="15" hidden="0" customHeight="1">
      <x:c r="A2950" s="53" t="str">
        <x:v>Anjoman accounting - refined.xlsx</x:v>
      </x:c>
      <x:c r="B2950" s="53" t="str">
        <x:v>دسته‌بندی‌ها</x:v>
      </x:c>
      <x:c r="C2950" s="53" t="str">
        <x:v>B7</x:v>
      </x:c>
      <x:c r="D2950" s="53" t="str">
        <x:v>هزینه</x:v>
      </x:c>
      <x:c r="E2950" s="53"/>
    </x:row>
    <x:row r="2951" ht="15" hidden="0" customHeight="1">
      <x:c r="A2951" s="53" t="str">
        <x:v>Anjoman accounting - refined.xlsx</x:v>
      </x:c>
      <x:c r="B2951" s="53" t="str">
        <x:v>دسته‌بندی‌ها</x:v>
      </x:c>
      <x:c r="C2951" s="53" t="str">
        <x:v>C7</x:v>
      </x:c>
      <x:c r="D2951" s="53" t="str">
        <x:v>حق‌التدریس، TA و پشتیبانی</x:v>
      </x:c>
      <x:c r="E2951" s="53"/>
    </x:row>
    <x:row r="2952" ht="15" hidden="0" customHeight="1">
      <x:c r="A2952" s="53" t="str">
        <x:v>Anjoman accounting - refined.xlsx</x:v>
      </x:c>
      <x:c r="B2952" s="53" t="str">
        <x:v>دسته‌بندی‌ها</x:v>
      </x:c>
      <x:c r="C2952" s="53" t="str">
        <x:v>A8</x:v>
      </x:c>
      <x:c r="D2952" s="53" t="str">
        <x:v>هزینه رویداد</x:v>
      </x:c>
      <x:c r="E2952" s="53"/>
    </x:row>
    <x:row r="2953" ht="15" hidden="0" customHeight="1">
      <x:c r="A2953" s="53" t="str">
        <x:v>Anjoman accounting - refined.xlsx</x:v>
      </x:c>
      <x:c r="B2953" s="53" t="str">
        <x:v>دسته‌بندی‌ها</x:v>
      </x:c>
      <x:c r="C2953" s="53" t="str">
        <x:v>B8</x:v>
      </x:c>
      <x:c r="D2953" s="53" t="str">
        <x:v>هزینه</x:v>
      </x:c>
      <x:c r="E2953" s="53"/>
    </x:row>
    <x:row r="2954" ht="15" hidden="0" customHeight="1">
      <x:c r="A2954" s="53" t="str">
        <x:v>Anjoman accounting - refined.xlsx</x:v>
      </x:c>
      <x:c r="B2954" s="53" t="str">
        <x:v>دسته‌بندی‌ها</x:v>
      </x:c>
      <x:c r="C2954" s="53" t="str">
        <x:v>C8</x:v>
      </x:c>
      <x:c r="D2954" s="53" t="str">
        <x:v>پذیرایی، تدارکات، تبلیغات و اجرا</x:v>
      </x:c>
      <x:c r="E2954" s="53"/>
    </x:row>
    <x:row r="2955" ht="15" hidden="0" customHeight="1">
      <x:c r="A2955" s="53" t="str">
        <x:v>Anjoman accounting - refined.xlsx</x:v>
      </x:c>
      <x:c r="B2955" s="53" t="str">
        <x:v>دسته‌بندی‌ها</x:v>
      </x:c>
      <x:c r="C2955" s="53" t="str">
        <x:v>A9</x:v>
      </x:c>
      <x:c r="D2955" s="53" t="str">
        <x:v>هزینه فناوری</x:v>
      </x:c>
      <x:c r="E2955" s="53"/>
    </x:row>
    <x:row r="2956" ht="15" hidden="0" customHeight="1">
      <x:c r="A2956" s="53" t="str">
        <x:v>Anjoman accounting - refined.xlsx</x:v>
      </x:c>
      <x:c r="B2956" s="53" t="str">
        <x:v>دسته‌بندی‌ها</x:v>
      </x:c>
      <x:c r="C2956" s="53" t="str">
        <x:v>B9</x:v>
      </x:c>
      <x:c r="D2956" s="53" t="str">
        <x:v>هزینه</x:v>
      </x:c>
      <x:c r="E2956" s="53"/>
    </x:row>
    <x:row r="2957" ht="15" hidden="0" customHeight="1">
      <x:c r="A2957" s="53" t="str">
        <x:v>Anjoman accounting - refined.xlsx</x:v>
      </x:c>
      <x:c r="B2957" s="53" t="str">
        <x:v>دسته‌بندی‌ها</x:v>
      </x:c>
      <x:c r="C2957" s="53" t="str">
        <x:v>C9</x:v>
      </x:c>
      <x:c r="D2957" s="53" t="str">
        <x:v>نرم‌افزار، خدمات آنلاین و ضبط</x:v>
      </x:c>
      <x:c r="E2957" s="53"/>
    </x:row>
    <x:row r="2958" ht="15" hidden="0" customHeight="1">
      <x:c r="A2958" s="53" t="str">
        <x:v>Anjoman accounting - refined.xlsx</x:v>
      </x:c>
      <x:c r="B2958" s="53" t="str">
        <x:v>دسته‌بندی‌ها</x:v>
      </x:c>
      <x:c r="C2958" s="53" t="str">
        <x:v>A10</x:v>
      </x:c>
      <x:c r="D2958" s="53" t="str">
        <x:v>هزینه تجهیزات</x:v>
      </x:c>
      <x:c r="E2958" s="53"/>
    </x:row>
    <x:row r="2959" ht="15" hidden="0" customHeight="1">
      <x:c r="A2959" s="53" t="str">
        <x:v>Anjoman accounting - refined.xlsx</x:v>
      </x:c>
      <x:c r="B2959" s="53" t="str">
        <x:v>دسته‌بندی‌ها</x:v>
      </x:c>
      <x:c r="C2959" s="53" t="str">
        <x:v>B10</x:v>
      </x:c>
      <x:c r="D2959" s="53" t="str">
        <x:v>هزینه</x:v>
      </x:c>
      <x:c r="E2959" s="53"/>
    </x:row>
    <x:row r="2960" ht="15" hidden="0" customHeight="1">
      <x:c r="A2960" s="53" t="str">
        <x:v>Anjoman accounting - refined.xlsx</x:v>
      </x:c>
      <x:c r="B2960" s="53" t="str">
        <x:v>دسته‌بندی‌ها</x:v>
      </x:c>
      <x:c r="C2960" s="53" t="str">
        <x:v>C10</x:v>
      </x:c>
      <x:c r="D2960" s="53" t="str">
        <x:v>خرید یا تعمیر تجهیزات</x:v>
      </x:c>
      <x:c r="E2960" s="53"/>
    </x:row>
    <x:row r="2961" ht="15" hidden="0" customHeight="1">
      <x:c r="A2961" s="53" t="str">
        <x:v>Anjoman accounting - refined.xlsx</x:v>
      </x:c>
      <x:c r="B2961" s="53" t="str">
        <x:v>دسته‌بندی‌ها</x:v>
      </x:c>
      <x:c r="C2961" s="53" t="str">
        <x:v>A11</x:v>
      </x:c>
      <x:c r="D2961" s="53" t="str">
        <x:v>هزینه اداری</x:v>
      </x:c>
      <x:c r="E2961" s="53"/>
    </x:row>
    <x:row r="2962" ht="15" hidden="0" customHeight="1">
      <x:c r="A2962" s="53" t="str">
        <x:v>Anjoman accounting - refined.xlsx</x:v>
      </x:c>
      <x:c r="B2962" s="53" t="str">
        <x:v>دسته‌بندی‌ها</x:v>
      </x:c>
      <x:c r="C2962" s="53" t="str">
        <x:v>B11</x:v>
      </x:c>
      <x:c r="D2962" s="53" t="str">
        <x:v>هزینه</x:v>
      </x:c>
      <x:c r="E2962" s="53"/>
    </x:row>
    <x:row r="2963" ht="15" hidden="0" customHeight="1">
      <x:c r="A2963" s="53" t="str">
        <x:v>Anjoman accounting - refined.xlsx</x:v>
      </x:c>
      <x:c r="B2963" s="53" t="str">
        <x:v>دسته‌بندی‌ها</x:v>
      </x:c>
      <x:c r="C2963" s="53" t="str">
        <x:v>C11</x:v>
      </x:c>
      <x:c r="D2963" s="53" t="str">
        <x:v>چاپ، دارو، لوازم و امور اداری</x:v>
      </x:c>
      <x:c r="E2963" s="53"/>
    </x:row>
    <x:row r="2964" ht="15" hidden="0" customHeight="1">
      <x:c r="A2964" s="53" t="str">
        <x:v>Anjoman accounting - refined.xlsx</x:v>
      </x:c>
      <x:c r="B2964" s="53" t="str">
        <x:v>دسته‌بندی‌ها</x:v>
      </x:c>
      <x:c r="C2964" s="53" t="str">
        <x:v>A12</x:v>
      </x:c>
      <x:c r="D2964" s="53" t="str">
        <x:v>نیازمند طبقه‌بندی</x:v>
      </x:c>
      <x:c r="E2964" s="53"/>
    </x:row>
    <x:row r="2965" ht="15" hidden="0" customHeight="1">
      <x:c r="A2965" s="53" t="str">
        <x:v>Anjoman accounting - refined.xlsx</x:v>
      </x:c>
      <x:c r="B2965" s="53" t="str">
        <x:v>دسته‌بندی‌ها</x:v>
      </x:c>
      <x:c r="C2965" s="53" t="str">
        <x:v>B12</x:v>
      </x:c>
      <x:c r="D2965" s="53" t="str">
        <x:v>نامشخص</x:v>
      </x:c>
      <x:c r="E2965" s="53"/>
    </x:row>
    <x:row r="2966" ht="15" hidden="0" customHeight="1">
      <x:c r="A2966" s="53" t="str">
        <x:v>Anjoman accounting - refined.xlsx</x:v>
      </x:c>
      <x:c r="B2966" s="53" t="str">
        <x:v>دسته‌بندی‌ها</x:v>
      </x:c>
      <x:c r="C2966" s="53" t="str">
        <x:v>C12</x:v>
      </x:c>
      <x:c r="D2966" s="53" t="str">
        <x:v>برای مواردی که پس از بررسی باید طبقه‌بندی شوند</x:v>
      </x:c>
      <x:c r="E2966" s="53"/>
    </x:row>
    <x:row r="2967" ht="15" hidden="0" customHeight="1">
      <x:c r="A2967" s="53" t="str">
        <x:v>Anjoman accounting - refined.xlsx</x:v>
      </x:c>
      <x:c r="B2967" s="53" t="str">
        <x:v>طرف‌حساب‌ها</x:v>
      </x:c>
      <x:c r="C2967" s="53" t="str">
        <x:v>A1</x:v>
      </x:c>
      <x:c r="D2967" s="53" t="str">
        <x:v>فهرست طرف‌حساب‌ها</x:v>
      </x:c>
      <x:c r="E2967" s="53"/>
    </x:row>
    <x:row r="2968" ht="15" hidden="0" customHeight="1">
      <x:c r="A2968" s="53" t="str">
        <x:v>Anjoman accounting - refined.xlsx</x:v>
      </x:c>
      <x:c r="B2968" s="53" t="str">
        <x:v>طرف‌حساب‌ها</x:v>
      </x:c>
      <x:c r="C2968" s="53" t="str">
        <x:v>A2</x:v>
      </x:c>
      <x:c r="D2968" s="53" t="str">
        <x:v>نسخه refined | واحد گزارش: تومان | مبالغ نامطمئن در صف بررسی از جمع تاییدشده حذف می‌شوند.</x:v>
      </x:c>
      <x:c r="E2968" s="53"/>
    </x:row>
    <x:row r="2969" ht="15" hidden="0" customHeight="1">
      <x:c r="A2969" s="53" t="str">
        <x:v>Anjoman accounting - refined.xlsx</x:v>
      </x:c>
      <x:c r="B2969" s="53" t="str">
        <x:v>طرف‌حساب‌ها</x:v>
      </x:c>
      <x:c r="C2969" s="53" t="str">
        <x:v>A3</x:v>
      </x:c>
      <x:c r="D2969" s="53" t="str">
        <x:v>طرف حساب</x:v>
      </x:c>
      <x:c r="E2969" s="53"/>
    </x:row>
    <x:row r="2970" ht="15" hidden="0" customHeight="1">
      <x:c r="A2970" s="53" t="str">
        <x:v>Anjoman accounting - refined.xlsx</x:v>
      </x:c>
      <x:c r="B2970" s="53" t="str">
        <x:v>طرف‌حساب‌ها</x:v>
      </x:c>
      <x:c r="C2970" s="53" t="str">
        <x:v>B3</x:v>
      </x:c>
      <x:c r="D2970" s="53" t="str">
        <x:v>نقش/نوع</x:v>
      </x:c>
      <x:c r="E2970" s="53"/>
    </x:row>
    <x:row r="2971" ht="15" hidden="0" customHeight="1">
      <x:c r="A2971" s="53" t="str">
        <x:v>Anjoman accounting - refined.xlsx</x:v>
      </x:c>
      <x:c r="B2971" s="53" t="str">
        <x:v>طرف‌حساب‌ها</x:v>
      </x:c>
      <x:c r="C2971" s="53" t="str">
        <x:v>C3</x:v>
      </x:c>
      <x:c r="D2971" s="53" t="str">
        <x:v>تعداد تراکنش</x:v>
      </x:c>
      <x:c r="E2971" s="53"/>
    </x:row>
    <x:row r="2972" ht="15" hidden="0" customHeight="1">
      <x:c r="A2972" s="53" t="str">
        <x:v>Anjoman accounting - refined.xlsx</x:v>
      </x:c>
      <x:c r="B2972" s="53" t="str">
        <x:v>طرف‌حساب‌ها</x:v>
      </x:c>
      <x:c r="C2972" s="53" t="str">
        <x:v>D3</x:v>
      </x:c>
      <x:c r="D2972" s="53" t="str">
        <x:v>ملاحظات</x:v>
      </x:c>
      <x:c r="E2972" s="53"/>
    </x:row>
    <x:row r="2973" ht="15" hidden="0" customHeight="1">
      <x:c r="A2973" s="53" t="str">
        <x:v>Anjoman accounting - refined.xlsx</x:v>
      </x:c>
      <x:c r="B2973" s="53" t="str">
        <x:v>طرف‌حساب‌ها</x:v>
      </x:c>
      <x:c r="C2973" s="53" t="str">
        <x:v>A4</x:v>
      </x:c>
      <x:c r="D2973" s="53" t="str">
        <x:v>ابراهیم خسروانی</x:v>
      </x:c>
      <x:c r="E2973" s="53"/>
    </x:row>
    <x:row r="2974" ht="15" hidden="0" customHeight="1">
      <x:c r="A2974" s="53" t="str">
        <x:v>Anjoman accounting - refined.xlsx</x:v>
      </x:c>
      <x:c r="B2974" s="53" t="str">
        <x:v>طرف‌حساب‌ها</x:v>
      </x:c>
      <x:c r="C2974" s="53" t="str">
        <x:v>B4</x:v>
      </x:c>
      <x:c r="D2974" s="53" t="str">
        <x:v>نیازمند تکمیل</x:v>
      </x:c>
      <x:c r="E2974" s="53"/>
    </x:row>
    <x:row r="2975" ht="15" hidden="0" customHeight="1">
      <x:c r="A2975" s="53" t="str">
        <x:v>Anjoman accounting - refined.xlsx</x:v>
      </x:c>
      <x:c r="B2975" s="53" t="str">
        <x:v>طرف‌حساب‌ها</x:v>
      </x:c>
      <x:c r="C2975" s="53" t="str">
        <x:v>C4</x:v>
      </x:c>
      <x:c r="D2975" s="53" t="str">
        <x:v>2</x:v>
      </x:c>
      <x:c r="E2975" s="53"/>
    </x:row>
    <x:row r="2976" ht="15" hidden="0" customHeight="1">
      <x:c r="A2976" s="53" t="str">
        <x:v>Anjoman accounting - refined.xlsx</x:v>
      </x:c>
      <x:c r="B2976" s="53" t="str">
        <x:v>طرف‌حساب‌ها</x:v>
      </x:c>
      <x:c r="C2976" s="53" t="str">
        <x:v>D4</x:v>
      </x:c>
      <x:c r="D2976" s="53" t="str">
        <x:v>نقش، شناسه و اطلاعات پرداخت فقط در صورت نیاز عملیاتی تکمیل شود.</x:v>
      </x:c>
      <x:c r="E2976" s="53"/>
    </x:row>
    <x:row r="2977" ht="15" hidden="0" customHeight="1">
      <x:c r="A2977" s="53" t="str">
        <x:v>Anjoman accounting - refined.xlsx</x:v>
      </x:c>
      <x:c r="B2977" s="53" t="str">
        <x:v>طرف‌حساب‌ها</x:v>
      </x:c>
      <x:c r="C2977" s="53" t="str">
        <x:v>A5</x:v>
      </x:c>
      <x:c r="D2977" s="53" t="str">
        <x:v>اردوان شهبازی</x:v>
      </x:c>
      <x:c r="E2977" s="53"/>
    </x:row>
    <x:row r="2978" ht="15" hidden="0" customHeight="1">
      <x:c r="A2978" s="53" t="str">
        <x:v>Anjoman accounting - refined.xlsx</x:v>
      </x:c>
      <x:c r="B2978" s="53" t="str">
        <x:v>طرف‌حساب‌ها</x:v>
      </x:c>
      <x:c r="C2978" s="53" t="str">
        <x:v>B5</x:v>
      </x:c>
      <x:c r="D2978" s="53" t="str">
        <x:v>نیازمند تکمیل</x:v>
      </x:c>
      <x:c r="E2978" s="53"/>
    </x:row>
    <x:row r="2979" ht="15" hidden="0" customHeight="1">
      <x:c r="A2979" s="53" t="str">
        <x:v>Anjoman accounting - refined.xlsx</x:v>
      </x:c>
      <x:c r="B2979" s="53" t="str">
        <x:v>طرف‌حساب‌ها</x:v>
      </x:c>
      <x:c r="C2979" s="53" t="str">
        <x:v>C5</x:v>
      </x:c>
      <x:c r="D2979" s="53" t="str">
        <x:v>1</x:v>
      </x:c>
      <x:c r="E2979" s="53"/>
    </x:row>
    <x:row r="2980" ht="15" hidden="0" customHeight="1">
      <x:c r="A2980" s="53" t="str">
        <x:v>Anjoman accounting - refined.xlsx</x:v>
      </x:c>
      <x:c r="B2980" s="53" t="str">
        <x:v>طرف‌حساب‌ها</x:v>
      </x:c>
      <x:c r="C2980" s="53" t="str">
        <x:v>D5</x:v>
      </x:c>
      <x:c r="D2980" s="53" t="str">
        <x:v>نقش، شناسه و اطلاعات پرداخت فقط در صورت نیاز عملیاتی تکمیل شود.</x:v>
      </x:c>
      <x:c r="E2980" s="53"/>
    </x:row>
    <x:row r="2981" ht="15" hidden="0" customHeight="1">
      <x:c r="A2981" s="53" t="str">
        <x:v>Anjoman accounting - refined.xlsx</x:v>
      </x:c>
      <x:c r="B2981" s="53" t="str">
        <x:v>طرف‌حساب‌ها</x:v>
      </x:c>
      <x:c r="C2981" s="53" t="str">
        <x:v>A6</x:v>
      </x:c>
      <x:c r="D2981" s="53" t="str">
        <x:v>امیرمحمد جوشقانی</x:v>
      </x:c>
      <x:c r="E2981" s="53"/>
    </x:row>
    <x:row r="2982" ht="15" hidden="0" customHeight="1">
      <x:c r="A2982" s="53" t="str">
        <x:v>Anjoman accounting - refined.xlsx</x:v>
      </x:c>
      <x:c r="B2982" s="53" t="str">
        <x:v>طرف‌حساب‌ها</x:v>
      </x:c>
      <x:c r="C2982" s="53" t="str">
        <x:v>B6</x:v>
      </x:c>
      <x:c r="D2982" s="53" t="str">
        <x:v>نیازمند تکمیل</x:v>
      </x:c>
      <x:c r="E2982" s="53"/>
    </x:row>
    <x:row r="2983" ht="15" hidden="0" customHeight="1">
      <x:c r="A2983" s="53" t="str">
        <x:v>Anjoman accounting - refined.xlsx</x:v>
      </x:c>
      <x:c r="B2983" s="53" t="str">
        <x:v>طرف‌حساب‌ها</x:v>
      </x:c>
      <x:c r="C2983" s="53" t="str">
        <x:v>C6</x:v>
      </x:c>
      <x:c r="D2983" s="53" t="str">
        <x:v>2</x:v>
      </x:c>
      <x:c r="E2983" s="53"/>
    </x:row>
    <x:row r="2984" ht="15" hidden="0" customHeight="1">
      <x:c r="A2984" s="53" t="str">
        <x:v>Anjoman accounting - refined.xlsx</x:v>
      </x:c>
      <x:c r="B2984" s="53" t="str">
        <x:v>طرف‌حساب‌ها</x:v>
      </x:c>
      <x:c r="C2984" s="53" t="str">
        <x:v>D6</x:v>
      </x:c>
      <x:c r="D2984" s="53" t="str">
        <x:v>نقش، شناسه و اطلاعات پرداخت فقط در صورت نیاز عملیاتی تکمیل شود.</x:v>
      </x:c>
      <x:c r="E2984" s="53"/>
    </x:row>
    <x:row r="2985" ht="15" hidden="0" customHeight="1">
      <x:c r="A2985" s="53" t="str">
        <x:v>Anjoman accounting - refined.xlsx</x:v>
      </x:c>
      <x:c r="B2985" s="53" t="str">
        <x:v>طرف‌حساب‌ها</x:v>
      </x:c>
      <x:c r="C2985" s="53" t="str">
        <x:v>A7</x:v>
      </x:c>
      <x:c r="D2985" s="53" t="str">
        <x:v>حسن شیری</x:v>
      </x:c>
      <x:c r="E2985" s="53"/>
    </x:row>
    <x:row r="2986" ht="15" hidden="0" customHeight="1">
      <x:c r="A2986" s="53" t="str">
        <x:v>Anjoman accounting - refined.xlsx</x:v>
      </x:c>
      <x:c r="B2986" s="53" t="str">
        <x:v>طرف‌حساب‌ها</x:v>
      </x:c>
      <x:c r="C2986" s="53" t="str">
        <x:v>B7</x:v>
      </x:c>
      <x:c r="D2986" s="53" t="str">
        <x:v>نیازمند تکمیل</x:v>
      </x:c>
      <x:c r="E2986" s="53"/>
    </x:row>
    <x:row r="2987" ht="15" hidden="0" customHeight="1">
      <x:c r="A2987" s="53" t="str">
        <x:v>Anjoman accounting - refined.xlsx</x:v>
      </x:c>
      <x:c r="B2987" s="53" t="str">
        <x:v>طرف‌حساب‌ها</x:v>
      </x:c>
      <x:c r="C2987" s="53" t="str">
        <x:v>C7</x:v>
      </x:c>
      <x:c r="D2987" s="53" t="str">
        <x:v>2</x:v>
      </x:c>
      <x:c r="E2987" s="53"/>
    </x:row>
    <x:row r="2988" ht="15" hidden="0" customHeight="1">
      <x:c r="A2988" s="53" t="str">
        <x:v>Anjoman accounting - refined.xlsx</x:v>
      </x:c>
      <x:c r="B2988" s="53" t="str">
        <x:v>طرف‌حساب‌ها</x:v>
      </x:c>
      <x:c r="C2988" s="53" t="str">
        <x:v>D7</x:v>
      </x:c>
      <x:c r="D2988" s="53" t="str">
        <x:v>نقش، شناسه و اطلاعات پرداخت فقط در صورت نیاز عملیاتی تکمیل شود.</x:v>
      </x:c>
      <x:c r="E2988" s="53"/>
    </x:row>
    <x:row r="2989" ht="15" hidden="0" customHeight="1">
      <x:c r="A2989" s="53" t="str">
        <x:v>Anjoman accounting - refined.xlsx</x:v>
      </x:c>
      <x:c r="B2989" s="53" t="str">
        <x:v>طرف‌حساب‌ها</x:v>
      </x:c>
      <x:c r="C2989" s="53" t="str">
        <x:v>A8</x:v>
      </x:c>
      <x:c r="D2989" s="53" t="str">
        <x:v>راحله مختاری</x:v>
      </x:c>
      <x:c r="E2989" s="53"/>
    </x:row>
    <x:row r="2990" ht="15" hidden="0" customHeight="1">
      <x:c r="A2990" s="53" t="str">
        <x:v>Anjoman accounting - refined.xlsx</x:v>
      </x:c>
      <x:c r="B2990" s="53" t="str">
        <x:v>طرف‌حساب‌ها</x:v>
      </x:c>
      <x:c r="C2990" s="53" t="str">
        <x:v>B8</x:v>
      </x:c>
      <x:c r="D2990" s="53" t="str">
        <x:v>نیازمند تکمیل</x:v>
      </x:c>
      <x:c r="E2990" s="53"/>
    </x:row>
    <x:row r="2991" ht="15" hidden="0" customHeight="1">
      <x:c r="A2991" s="53" t="str">
        <x:v>Anjoman accounting - refined.xlsx</x:v>
      </x:c>
      <x:c r="B2991" s="53" t="str">
        <x:v>طرف‌حساب‌ها</x:v>
      </x:c>
      <x:c r="C2991" s="53" t="str">
        <x:v>C8</x:v>
      </x:c>
      <x:c r="D2991" s="53" t="str">
        <x:v>1</x:v>
      </x:c>
      <x:c r="E2991" s="53"/>
    </x:row>
    <x:row r="2992" ht="15" hidden="0" customHeight="1">
      <x:c r="A2992" s="53" t="str">
        <x:v>Anjoman accounting - refined.xlsx</x:v>
      </x:c>
      <x:c r="B2992" s="53" t="str">
        <x:v>طرف‌حساب‌ها</x:v>
      </x:c>
      <x:c r="C2992" s="53" t="str">
        <x:v>D8</x:v>
      </x:c>
      <x:c r="D2992" s="53" t="str">
        <x:v>نقش، شناسه و اطلاعات پرداخت فقط در صورت نیاز عملیاتی تکمیل شود.</x:v>
      </x:c>
      <x:c r="E2992" s="53"/>
    </x:row>
    <x:row r="2993" ht="15" hidden="0" customHeight="1">
      <x:c r="A2993" s="53" t="str">
        <x:v>Anjoman accounting - refined.xlsx</x:v>
      </x:c>
      <x:c r="B2993" s="53" t="str">
        <x:v>طرف‌حساب‌ها</x:v>
      </x:c>
      <x:c r="C2993" s="53" t="str">
        <x:v>A9</x:v>
      </x:c>
      <x:c r="D2993" s="53" t="str">
        <x:v>سهراب ملکی</x:v>
      </x:c>
      <x:c r="E2993" s="53"/>
    </x:row>
    <x:row r="2994" ht="15" hidden="0" customHeight="1">
      <x:c r="A2994" s="53" t="str">
        <x:v>Anjoman accounting - refined.xlsx</x:v>
      </x:c>
      <x:c r="B2994" s="53" t="str">
        <x:v>طرف‌حساب‌ها</x:v>
      </x:c>
      <x:c r="C2994" s="53" t="str">
        <x:v>B9</x:v>
      </x:c>
      <x:c r="D2994" s="53" t="str">
        <x:v>نیازمند تکمیل</x:v>
      </x:c>
      <x:c r="E2994" s="53"/>
    </x:row>
    <x:row r="2995" ht="15" hidden="0" customHeight="1">
      <x:c r="A2995" s="53" t="str">
        <x:v>Anjoman accounting - refined.xlsx</x:v>
      </x:c>
      <x:c r="B2995" s="53" t="str">
        <x:v>طرف‌حساب‌ها</x:v>
      </x:c>
      <x:c r="C2995" s="53" t="str">
        <x:v>C9</x:v>
      </x:c>
      <x:c r="D2995" s="53" t="str">
        <x:v>2</x:v>
      </x:c>
      <x:c r="E2995" s="53"/>
    </x:row>
    <x:row r="2996" ht="15" hidden="0" customHeight="1">
      <x:c r="A2996" s="53" t="str">
        <x:v>Anjoman accounting - refined.xlsx</x:v>
      </x:c>
      <x:c r="B2996" s="53" t="str">
        <x:v>طرف‌حساب‌ها</x:v>
      </x:c>
      <x:c r="C2996" s="53" t="str">
        <x:v>D9</x:v>
      </x:c>
      <x:c r="D2996" s="53" t="str">
        <x:v>نقش، شناسه و اطلاعات پرداخت فقط در صورت نیاز عملیاتی تکمیل شود.</x:v>
      </x:c>
      <x:c r="E2996" s="53"/>
    </x:row>
    <x:row r="2997" ht="15" hidden="0" customHeight="1">
      <x:c r="A2997" s="53" t="str">
        <x:v>Anjoman accounting - refined.xlsx</x:v>
      </x:c>
      <x:c r="B2997" s="53" t="str">
        <x:v>طرف‌حساب‌ها</x:v>
      </x:c>
      <x:c r="C2997" s="53" t="str">
        <x:v>A10</x:v>
      </x:c>
      <x:c r="D2997" s="53" t="str">
        <x:v>سپهر طلایی</x:v>
      </x:c>
      <x:c r="E2997" s="53"/>
    </x:row>
    <x:row r="2998" ht="15" hidden="0" customHeight="1">
      <x:c r="A2998" s="53" t="str">
        <x:v>Anjoman accounting - refined.xlsx</x:v>
      </x:c>
      <x:c r="B2998" s="53" t="str">
        <x:v>طرف‌حساب‌ها</x:v>
      </x:c>
      <x:c r="C2998" s="53" t="str">
        <x:v>B10</x:v>
      </x:c>
      <x:c r="D2998" s="53" t="str">
        <x:v>نیازمند تکمیل</x:v>
      </x:c>
      <x:c r="E2998" s="53"/>
    </x:row>
    <x:row r="2999" ht="15" hidden="0" customHeight="1">
      <x:c r="A2999" s="53" t="str">
        <x:v>Anjoman accounting - refined.xlsx</x:v>
      </x:c>
      <x:c r="B2999" s="53" t="str">
        <x:v>طرف‌حساب‌ها</x:v>
      </x:c>
      <x:c r="C2999" s="53" t="str">
        <x:v>C10</x:v>
      </x:c>
      <x:c r="D2999" s="53" t="str">
        <x:v>1</x:v>
      </x:c>
      <x:c r="E2999" s="53"/>
    </x:row>
    <x:row r="3000" ht="15" hidden="0" customHeight="1">
      <x:c r="A3000" s="53" t="str">
        <x:v>Anjoman accounting - refined.xlsx</x:v>
      </x:c>
      <x:c r="B3000" s="53" t="str">
        <x:v>طرف‌حساب‌ها</x:v>
      </x:c>
      <x:c r="C3000" s="53" t="str">
        <x:v>D10</x:v>
      </x:c>
      <x:c r="D3000" s="53" t="str">
        <x:v>نقش، شناسه و اطلاعات پرداخت فقط در صورت نیاز عملیاتی تکمیل شود.</x:v>
      </x:c>
      <x:c r="E3000" s="53"/>
    </x:row>
    <x:row r="3001" ht="15" hidden="0" customHeight="1">
      <x:c r="A3001" s="53" t="str">
        <x:v>Anjoman accounting - refined.xlsx</x:v>
      </x:c>
      <x:c r="B3001" s="53" t="str">
        <x:v>طرف‌حساب‌ها</x:v>
      </x:c>
      <x:c r="C3001" s="53" t="str">
        <x:v>A11</x:v>
      </x:c>
      <x:c r="D3001" s="53" t="str">
        <x:v>شرکت مه بانگ فناوری های پارس</x:v>
      </x:c>
      <x:c r="E3001" s="53"/>
    </x:row>
    <x:row r="3002" ht="15" hidden="0" customHeight="1">
      <x:c r="A3002" s="53" t="str">
        <x:v>Anjoman accounting - refined.xlsx</x:v>
      </x:c>
      <x:c r="B3002" s="53" t="str">
        <x:v>طرف‌حساب‌ها</x:v>
      </x:c>
      <x:c r="C3002" s="53" t="str">
        <x:v>B11</x:v>
      </x:c>
      <x:c r="D3002" s="53" t="str">
        <x:v>نیازمند تکمیل</x:v>
      </x:c>
      <x:c r="E3002" s="53"/>
    </x:row>
    <x:row r="3003" ht="15" hidden="0" customHeight="1">
      <x:c r="A3003" s="53" t="str">
        <x:v>Anjoman accounting - refined.xlsx</x:v>
      </x:c>
      <x:c r="B3003" s="53" t="str">
        <x:v>طرف‌حساب‌ها</x:v>
      </x:c>
      <x:c r="C3003" s="53" t="str">
        <x:v>C11</x:v>
      </x:c>
      <x:c r="D3003" s="53" t="str">
        <x:v>1</x:v>
      </x:c>
      <x:c r="E3003" s="53"/>
    </x:row>
    <x:row r="3004" ht="15" hidden="0" customHeight="1">
      <x:c r="A3004" s="53" t="str">
        <x:v>Anjoman accounting - refined.xlsx</x:v>
      </x:c>
      <x:c r="B3004" s="53" t="str">
        <x:v>طرف‌حساب‌ها</x:v>
      </x:c>
      <x:c r="C3004" s="53" t="str">
        <x:v>D11</x:v>
      </x:c>
      <x:c r="D3004" s="53" t="str">
        <x:v>نقش، شناسه و اطلاعات پرداخت فقط در صورت نیاز عملیاتی تکمیل شود.</x:v>
      </x:c>
      <x:c r="E3004" s="53"/>
    </x:row>
    <x:row r="3005" ht="15" hidden="0" customHeight="1">
      <x:c r="A3005" s="53" t="str">
        <x:v>Anjoman accounting - refined.xlsx</x:v>
      </x:c>
      <x:c r="B3005" s="53" t="str">
        <x:v>طرف‌حساب‌ها</x:v>
      </x:c>
      <x:c r="C3005" s="53" t="str">
        <x:v>A12</x:v>
      </x:c>
      <x:c r="D3005" s="53" t="str">
        <x:v>متین جوکار</x:v>
      </x:c>
      <x:c r="E3005" s="53"/>
    </x:row>
    <x:row r="3006" ht="15" hidden="0" customHeight="1">
      <x:c r="A3006" s="53" t="str">
        <x:v>Anjoman accounting - refined.xlsx</x:v>
      </x:c>
      <x:c r="B3006" s="53" t="str">
        <x:v>طرف‌حساب‌ها</x:v>
      </x:c>
      <x:c r="C3006" s="53" t="str">
        <x:v>B12</x:v>
      </x:c>
      <x:c r="D3006" s="53" t="str">
        <x:v>نیازمند تکمیل</x:v>
      </x:c>
      <x:c r="E3006" s="53"/>
    </x:row>
    <x:row r="3007" ht="15" hidden="0" customHeight="1">
      <x:c r="A3007" s="53" t="str">
        <x:v>Anjoman accounting - refined.xlsx</x:v>
      </x:c>
      <x:c r="B3007" s="53" t="str">
        <x:v>طرف‌حساب‌ها</x:v>
      </x:c>
      <x:c r="C3007" s="53" t="str">
        <x:v>C12</x:v>
      </x:c>
      <x:c r="D3007" s="53" t="str">
        <x:v>2</x:v>
      </x:c>
      <x:c r="E3007" s="53"/>
    </x:row>
    <x:row r="3008" ht="15" hidden="0" customHeight="1">
      <x:c r="A3008" s="53" t="str">
        <x:v>Anjoman accounting - refined.xlsx</x:v>
      </x:c>
      <x:c r="B3008" s="53" t="str">
        <x:v>طرف‌حساب‌ها</x:v>
      </x:c>
      <x:c r="C3008" s="53" t="str">
        <x:v>D12</x:v>
      </x:c>
      <x:c r="D3008" s="53" t="str">
        <x:v>نقش، شناسه و اطلاعات پرداخت فقط در صورت نیاز عملیاتی تکمیل شود.</x:v>
      </x:c>
      <x:c r="E3008" s="53"/>
    </x:row>
    <x:row r="3009" ht="15" hidden="0" customHeight="1">
      <x:c r="A3009" s="53" t="str">
        <x:v>Anjoman accounting - refined.xlsx</x:v>
      </x:c>
      <x:c r="B3009" s="53" t="str">
        <x:v>طرف‌حساب‌ها</x:v>
      </x:c>
      <x:c r="C3009" s="53" t="str">
        <x:v>A13</x:v>
      </x:c>
      <x:c r="D3009" s="53" t="str">
        <x:v>محمدامین عزیزی</x:v>
      </x:c>
      <x:c r="E3009" s="53"/>
    </x:row>
    <x:row r="3010" ht="15" hidden="0" customHeight="1">
      <x:c r="A3010" s="53" t="str">
        <x:v>Anjoman accounting - refined.xlsx</x:v>
      </x:c>
      <x:c r="B3010" s="53" t="str">
        <x:v>طرف‌حساب‌ها</x:v>
      </x:c>
      <x:c r="C3010" s="53" t="str">
        <x:v>B13</x:v>
      </x:c>
      <x:c r="D3010" s="53" t="str">
        <x:v>نیازمند تکمیل</x:v>
      </x:c>
      <x:c r="E3010" s="53"/>
    </x:row>
    <x:row r="3011" ht="15" hidden="0" customHeight="1">
      <x:c r="A3011" s="53" t="str">
        <x:v>Anjoman accounting - refined.xlsx</x:v>
      </x:c>
      <x:c r="B3011" s="53" t="str">
        <x:v>طرف‌حساب‌ها</x:v>
      </x:c>
      <x:c r="C3011" s="53" t="str">
        <x:v>C13</x:v>
      </x:c>
      <x:c r="D3011" s="53" t="str">
        <x:v>4</x:v>
      </x:c>
      <x:c r="E3011" s="53"/>
    </x:row>
    <x:row r="3012" ht="15" hidden="0" customHeight="1">
      <x:c r="A3012" s="53" t="str">
        <x:v>Anjoman accounting - refined.xlsx</x:v>
      </x:c>
      <x:c r="B3012" s="53" t="str">
        <x:v>طرف‌حساب‌ها</x:v>
      </x:c>
      <x:c r="C3012" s="53" t="str">
        <x:v>D13</x:v>
      </x:c>
      <x:c r="D3012" s="53" t="str">
        <x:v>نقش، شناسه و اطلاعات پرداخت فقط در صورت نیاز عملیاتی تکمیل شود.</x:v>
      </x:c>
      <x:c r="E3012" s="53"/>
    </x:row>
    <x:row r="3013" ht="15" hidden="0" customHeight="1">
      <x:c r="A3013" s="53" t="str">
        <x:v>Anjoman accounting - refined.xlsx</x:v>
      </x:c>
      <x:c r="B3013" s="53" t="str">
        <x:v>طرف‌حساب‌ها</x:v>
      </x:c>
      <x:c r="C3013" s="53" t="str">
        <x:v>A14</x:v>
      </x:c>
      <x:c r="D3013" s="53" t="str">
        <x:v>محمدحسین مشک افشان</x:v>
      </x:c>
      <x:c r="E3013" s="53"/>
    </x:row>
    <x:row r="3014" ht="15" hidden="0" customHeight="1">
      <x:c r="A3014" s="53" t="str">
        <x:v>Anjoman accounting - refined.xlsx</x:v>
      </x:c>
      <x:c r="B3014" s="53" t="str">
        <x:v>طرف‌حساب‌ها</x:v>
      </x:c>
      <x:c r="C3014" s="53" t="str">
        <x:v>B14</x:v>
      </x:c>
      <x:c r="D3014" s="53" t="str">
        <x:v>نیازمند تکمیل</x:v>
      </x:c>
      <x:c r="E3014" s="53"/>
    </x:row>
    <x:row r="3015" ht="15" hidden="0" customHeight="1">
      <x:c r="A3015" s="53" t="str">
        <x:v>Anjoman accounting - refined.xlsx</x:v>
      </x:c>
      <x:c r="B3015" s="53" t="str">
        <x:v>طرف‌حساب‌ها</x:v>
      </x:c>
      <x:c r="C3015" s="53" t="str">
        <x:v>C14</x:v>
      </x:c>
      <x:c r="D3015" s="53" t="str">
        <x:v>1</x:v>
      </x:c>
      <x:c r="E3015" s="53"/>
    </x:row>
    <x:row r="3016" ht="15" hidden="0" customHeight="1">
      <x:c r="A3016" s="53" t="str">
        <x:v>Anjoman accounting - refined.xlsx</x:v>
      </x:c>
      <x:c r="B3016" s="53" t="str">
        <x:v>طرف‌حساب‌ها</x:v>
      </x:c>
      <x:c r="C3016" s="53" t="str">
        <x:v>D14</x:v>
      </x:c>
      <x:c r="D3016" s="53" t="str">
        <x:v>نقش، شناسه و اطلاعات پرداخت فقط در صورت نیاز عملیاتی تکمیل شود.</x:v>
      </x:c>
      <x:c r="E3016" s="53"/>
    </x:row>
    <x:row r="3017" ht="15" hidden="0" customHeight="1">
      <x:c r="A3017" s="53" t="str">
        <x:v>Anjoman accounting - refined.xlsx</x:v>
      </x:c>
      <x:c r="B3017" s="53" t="str">
        <x:v>طرف‌حساب‌ها</x:v>
      </x:c>
      <x:c r="C3017" s="53" t="str">
        <x:v>A15</x:v>
      </x:c>
      <x:c r="D3017" s="53" t="str">
        <x:v>نیما کوهی</x:v>
      </x:c>
      <x:c r="E3017" s="53"/>
    </x:row>
    <x:row r="3018" ht="15" hidden="0" customHeight="1">
      <x:c r="A3018" s="53" t="str">
        <x:v>Anjoman accounting - refined.xlsx</x:v>
      </x:c>
      <x:c r="B3018" s="53" t="str">
        <x:v>طرف‌حساب‌ها</x:v>
      </x:c>
      <x:c r="C3018" s="53" t="str">
        <x:v>B15</x:v>
      </x:c>
      <x:c r="D3018" s="53" t="str">
        <x:v>نیازمند تکمیل</x:v>
      </x:c>
      <x:c r="E3018" s="53"/>
    </x:row>
    <x:row r="3019" ht="15" hidden="0" customHeight="1">
      <x:c r="A3019" s="53" t="str">
        <x:v>Anjoman accounting - refined.xlsx</x:v>
      </x:c>
      <x:c r="B3019" s="53" t="str">
        <x:v>طرف‌حساب‌ها</x:v>
      </x:c>
      <x:c r="C3019" s="53" t="str">
        <x:v>C15</x:v>
      </x:c>
      <x:c r="D3019" s="53" t="str">
        <x:v>2</x:v>
      </x:c>
      <x:c r="E3019" s="53"/>
    </x:row>
    <x:row r="3020" ht="15" hidden="0" customHeight="1">
      <x:c r="A3020" s="53" t="str">
        <x:v>Anjoman accounting - refined.xlsx</x:v>
      </x:c>
      <x:c r="B3020" s="53" t="str">
        <x:v>طرف‌حساب‌ها</x:v>
      </x:c>
      <x:c r="C3020" s="53" t="str">
        <x:v>D15</x:v>
      </x:c>
      <x:c r="D3020" s="53" t="str">
        <x:v>نقش، شناسه و اطلاعات پرداخت فقط در صورت نیاز عملیاتی تکمیل شود.</x:v>
      </x:c>
      <x:c r="E3020" s="53"/>
    </x:row>
    <x:row r="3021" ht="15" hidden="0" customHeight="1">
      <x:c r="A3021" s="53" t="str">
        <x:v>Anjoman accounting - refined.xlsx</x:v>
      </x:c>
      <x:c r="B3021" s="53" t="str">
        <x:v>راهنما</x:v>
      </x:c>
      <x:c r="C3021" s="53" t="str">
        <x:v>A1</x:v>
      </x:c>
      <x:c r="D3021" s="53" t="str">
        <x:v>راهنمای استفاده و سیاست ثبت</x:v>
      </x:c>
      <x:c r="E3021" s="53"/>
    </x:row>
    <x:row r="3022" ht="15" hidden="0" customHeight="1">
      <x:c r="A3022" s="53" t="str">
        <x:v>Anjoman accounting - refined.xlsx</x:v>
      </x:c>
      <x:c r="B3022" s="53" t="str">
        <x:v>راهنما</x:v>
      </x:c>
      <x:c r="C3022" s="53" t="str">
        <x:v>A2</x:v>
      </x:c>
      <x:c r="D3022" s="53" t="str">
        <x:v>نسخه refined | واحد گزارش: تومان | مبالغ نامطمئن در صف بررسی از جمع تاییدشده حذف می‌شوند.</x:v>
      </x:c>
      <x:c r="E3022" s="53"/>
    </x:row>
    <x:row r="3023" ht="15" hidden="0" customHeight="1">
      <x:c r="A3023" s="53" t="str">
        <x:v>Anjoman accounting - refined.xlsx</x:v>
      </x:c>
      <x:c r="B3023" s="53" t="str">
        <x:v>راهنما</x:v>
      </x:c>
      <x:c r="C3023" s="53" t="str">
        <x:v>A3</x:v>
      </x:c>
      <x:c r="D3023" s="53" t="str">
        <x:v>موضوع</x:v>
      </x:c>
      <x:c r="E3023" s="53"/>
    </x:row>
    <x:row r="3024" ht="15" hidden="0" customHeight="1">
      <x:c r="A3024" s="53" t="str">
        <x:v>Anjoman accounting - refined.xlsx</x:v>
      </x:c>
      <x:c r="B3024" s="53" t="str">
        <x:v>راهنما</x:v>
      </x:c>
      <x:c r="C3024" s="53" t="str">
        <x:v>B3</x:v>
      </x:c>
      <x:c r="D3024" s="53" t="str">
        <x:v>توضیح</x:v>
      </x:c>
      <x:c r="E3024" s="53"/>
    </x:row>
    <x:row r="3025" ht="15" hidden="0" customHeight="1">
      <x:c r="A3025" s="53" t="str">
        <x:v>Anjoman accounting - refined.xlsx</x:v>
      </x:c>
      <x:c r="B3025" s="53" t="str">
        <x:v>راهنما</x:v>
      </x:c>
      <x:c r="C3025" s="53" t="str">
        <x:v>A4</x:v>
      </x:c>
      <x:c r="D3025" s="53" t="str">
        <x:v>واحد گزارش</x:v>
      </x:c>
      <x:c r="E3025" s="53"/>
    </x:row>
    <x:row r="3026" ht="15" hidden="0" customHeight="1">
      <x:c r="A3026" s="53" t="str">
        <x:v>Anjoman accounting - refined.xlsx</x:v>
      </x:c>
      <x:c r="B3026" s="53" t="str">
        <x:v>راهنما</x:v>
      </x:c>
      <x:c r="C3026" s="53" t="str">
        <x:v>B4</x:v>
      </x:c>
      <x:c r="D3026" s="53" t="str">
        <x:v>همه مبالغ گزارش‌شده در تومان هستند. مبلغ اصلی و واحد اصلی برای اسناد ریالی حفظ شده است.</x:v>
      </x:c>
      <x:c r="E3026" s="53"/>
    </x:row>
    <x:row r="3027" ht="15" hidden="0" customHeight="1">
      <x:c r="A3027" s="53" t="str">
        <x:v>Anjoman accounting - refined.xlsx</x:v>
      </x:c>
      <x:c r="B3027" s="53" t="str">
        <x:v>راهنما</x:v>
      </x:c>
      <x:c r="C3027" s="53" t="str">
        <x:v>A5</x:v>
      </x:c>
      <x:c r="D3027" s="53" t="str">
        <x:v>وضعیت تاییدشده</x:v>
      </x:c>
      <x:c r="E3027" s="53"/>
    </x:row>
    <x:row r="3028" ht="15" hidden="0" customHeight="1">
      <x:c r="A3028" s="53" t="str">
        <x:v>Anjoman accounting - refined.xlsx</x:v>
      </x:c>
      <x:c r="B3028" s="53" t="str">
        <x:v>راهنما</x:v>
      </x:c>
      <x:c r="C3028" s="53" t="str">
        <x:v>B5</x:v>
      </x:c>
      <x:c r="D3028" s="53" t="str">
        <x:v>در داشبورد و تراز رسمی منظور می‌شود.</x:v>
      </x:c>
      <x:c r="E3028" s="53"/>
    </x:row>
    <x:row r="3029" ht="15" hidden="0" customHeight="1">
      <x:c r="A3029" s="53" t="str">
        <x:v>Anjoman accounting - refined.xlsx</x:v>
      </x:c>
      <x:c r="B3029" s="53" t="str">
        <x:v>راهنما</x:v>
      </x:c>
      <x:c r="C3029" s="53" t="str">
        <x:v>A6</x:v>
      </x:c>
      <x:c r="D3029" s="53" t="str">
        <x:v>پیشنهادی - نیازمند بررسی</x:v>
      </x:c>
      <x:c r="E3029" s="53"/>
    </x:row>
    <x:row r="3030" ht="15" hidden="0" customHeight="1">
      <x:c r="A3030" s="53" t="str">
        <x:v>Anjoman accounting - refined.xlsx</x:v>
      </x:c>
      <x:c r="B3030" s="53" t="str">
        <x:v>راهنما</x:v>
      </x:c>
      <x:c r="C3030" s="53" t="str">
        <x:v>B6</x:v>
      </x:c>
      <x:c r="D3030" s="53" t="str">
        <x:v>از شواهد استخراج یا استنباط شده اما تا تایید انسانی وارد تراز رسمی نمی‌شود.</x:v>
      </x:c>
      <x:c r="E3030" s="53"/>
    </x:row>
    <x:row r="3031" ht="15" hidden="0" customHeight="1">
      <x:c r="A3031" s="53" t="str">
        <x:v>Anjoman accounting - refined.xlsx</x:v>
      </x:c>
      <x:c r="B3031" s="53" t="str">
        <x:v>راهنما</x:v>
      </x:c>
      <x:c r="C3031" s="53" t="str">
        <x:v>A7</x:v>
      </x:c>
      <x:c r="D3031" s="53" t="str">
        <x:v>رسیدها</x:v>
      </x:c>
      <x:c r="E3031" s="53"/>
    </x:row>
    <x:row r="3032" ht="15" hidden="0" customHeight="1">
      <x:c r="A3032" s="53" t="str">
        <x:v>Anjoman accounting - refined.xlsx</x:v>
      </x:c>
      <x:c r="B3032" s="53" t="str">
        <x:v>راهنما</x:v>
      </x:c>
      <x:c r="C3032" s="53" t="str">
        <x:v>B7</x:v>
      </x:c>
      <x:c r="D3032" s="53" t="str">
        <x:v>تمام 20 تصویر رسید در صف بررسی هستند؛ مبلغ، تاریخ، طرف حساب و تکراری بودن باید دستی تایید شود.</x:v>
      </x:c>
      <x:c r="E3032" s="53"/>
    </x:row>
    <x:row r="3033" ht="15" hidden="0" customHeight="1">
      <x:c r="A3033" s="53" t="str">
        <x:v>Anjoman accounting - refined.xlsx</x:v>
      </x:c>
      <x:c r="B3033" s="53" t="str">
        <x:v>راهنما</x:v>
      </x:c>
      <x:c r="C3033" s="53" t="str">
        <x:v>A8</x:v>
      </x:c>
      <x:c r="D3033" s="53" t="str">
        <x:v>ردیابی</x:v>
      </x:c>
      <x:c r="E3033" s="53"/>
    </x:row>
    <x:row r="3034" ht="15" hidden="0" customHeight="1">
      <x:c r="A3034" s="53" t="str">
        <x:v>Anjoman accounting - refined.xlsx</x:v>
      </x:c>
      <x:c r="B3034" s="53" t="str">
        <x:v>راهنما</x:v>
      </x:c>
      <x:c r="C3034" s="53" t="str">
        <x:v>B8</x:v>
      </x:c>
      <x:c r="D3034" s="53" t="str">
        <x:v>شناسه مدرک و SHA-256 امکان برگشت از گزارش به فایل اصلی را فراهم می‌کند.</x:v>
      </x:c>
      <x:c r="E3034" s="53"/>
    </x:row>
    <x:row r="3035" ht="15" hidden="0" customHeight="1">
      <x:c r="A3035" s="53" t="str">
        <x:v>Anjoman accounting - refined.xlsx</x:v>
      </x:c>
      <x:c r="B3035" s="53" t="str">
        <x:v>راهنما</x:v>
      </x:c>
      <x:c r="C3035" s="53" t="str">
        <x:v>A9</x:v>
      </x:c>
      <x:c r="D3035" s="53" t="str">
        <x:v>حریم خصوصی</x:v>
      </x:c>
      <x:c r="E3035" s="53"/>
    </x:row>
    <x:row r="3036" ht="15" hidden="0" customHeight="1">
      <x:c r="A3036" s="53" t="str">
        <x:v>Anjoman accounting - refined.xlsx</x:v>
      </x:c>
      <x:c r="B3036" s="53" t="str">
        <x:v>راهنما</x:v>
      </x:c>
      <x:c r="C3036" s="53" t="str">
        <x:v>B9</x:v>
      </x:c>
      <x:c r="D3036" s="53" t="str">
        <x:v>گزارش‌های عملیاتی نباید شماره تلفن‌های دانشجویان را بازنشر کنند؛ داده خام فقط برای تطبیق نگهداری شده است.</x:v>
      </x:c>
      <x:c r="E3036" s="53"/>
    </x:row>
    <x:row r="3037" ht="15" hidden="0" customHeight="1">
      <x:c r="A3037" s="53" t="str">
        <x:v>Anjoman accounting - refined.xlsx</x:v>
      </x:c>
      <x:c r="B3037" s="53" t="str">
        <x:v>راهنما</x:v>
      </x:c>
      <x:c r="C3037" s="53" t="str">
        <x:v>A10</x:v>
      </x:c>
      <x:c r="D3037" s="53" t="str">
        <x:v>اصل فایل</x:v>
      </x:c>
      <x:c r="E3037" s="53"/>
    </x:row>
    <x:row r="3038" ht="15" hidden="0" customHeight="1">
      <x:c r="A3038" s="53" t="str">
        <x:v>Anjoman accounting - refined.xlsx</x:v>
      </x:c>
      <x:c r="B3038" s="53" t="str">
        <x:v>راهنما</x:v>
      </x:c>
      <x:c r="C3038" s="53" t="str">
        <x:v>B10</x:v>
      </x:c>
      <x:c r="D3038" s="53" t="str">
        <x:v>Anjoman accounting.xlsx تغییر نکرده و به عنوان منبع خام حفظ شده است.</x:v>
      </x:c>
      <x:c r="E3038" s="53"/>
    </x:row>
  </x:sheetData>
  <x:mergeCells>
    <x:mergeCell ref="A2:E2"/>
  </x:mergeCells>
  <x:pageMargins left="0.7" right="0.7" top="0.75" bottom="0.75" header="0.3" footer="0.3"/>
  <x:tableParts count="1">
    <x:tablePart xmlns:r="http://schemas.openxmlformats.org/officeDocument/2006/relationships" r:id="R1572e1901ad941a4"/>
  </x:tableParts>
</x:worksheet>
</file>

<file path=xl/worksheets/sheet13.xml><?xml version="1.0" encoding="utf-8"?>
<x:worksheet xmlns:x="http://schemas.openxmlformats.org/spreadsheetml/2006/main">
  <x:sheetPr>
    <x:tabColor rgb="FFEDF2F7"/>
  </x:sheetPr>
  <x:sheetViews>
    <x:sheetView showGridLines="0" workbookViewId="0">
      <x:pane ySplit="4" topLeftCell="A5" activePane="bottomLeft" state="frozen"/>
    </x:sheetView>
  </x:sheetViews>
  <x:sheetFormatPr defaultRowHeight="15"/>
  <x:cols>
    <x:col min="1" max="1" width="36" hidden="0" customWidth="1"/>
    <x:col min="2" max="2" width="145" hidden="0" customWidth="1"/>
  </x:cols>
  <x:sheetData>
    <x:row r="1" ht="15" hidden="0" customHeight="1">
      <x:c r="A1" s="51"/>
      <x:c r="B1" s="51"/>
    </x:row>
    <x:row r="2" ht="16.799999237060547" hidden="0" customHeight="1">
      <x:c r="A2" s="52" t="str">
        <x:v>مبنای حسابداری، تعاریف و دستورالعمل‌های به‌روزرسانی</x:v>
      </x:c>
      <x:c r="B2" s="51"/>
    </x:row>
    <x:row r="3" ht="15" hidden="0" customHeight="1">
      <x:c r="A3" s="51"/>
      <x:c r="B3" s="51"/>
    </x:row>
    <x:row r="4" ht="15" hidden="0" customHeight="1">
      <x:c r="A4" s="39" t="str">
        <x:v>موضوع</x:v>
      </x:c>
      <x:c r="B4" s="39" t="str">
        <x:v>سیاست</x:v>
      </x:c>
    </x:row>
    <x:row r="5" ht="15" hidden="0" customHeight="1">
      <x:c r="A5" s="53" t="str">
        <x:v>تاریخ قطع گزارش</x:v>
      </x:c>
      <x:c r="B5" s="53" t="str">
        <x:v>2026-10-10 / 1405/07/18</x:v>
      </x:c>
    </x:row>
    <x:row r="6" ht="15" hidden="0" customHeight="1">
      <x:c r="A6" s="53" t="str">
        <x:v>ارز</x:v>
      </x:c>
      <x:c r="B6" s="53" t="str">
        <x:v>تومان؛ مبالغ ریالی اصلی نگهداری و بر ۱۰ تقسیم می‌شوند</x:v>
      </x:c>
    </x:row>
    <x:row r="7" ht="15" hidden="0" customHeight="1">
      <x:c r="A7" s="53" t="str">
        <x:v>وضعیت تأیید</x:v>
      </x:c>
      <x:c r="B7" s="53" t="str">
        <x:v>مستندات از جهت نقدی، مبلغ و تسویهٔ مرتبط با انجمن پشتیبانی می‌کنند. رکوردهای فقط‌دفتر‌کل‌اصلی برچسب مستندات خود را حفظ می‌کنند.</x:v>
      </x:c>
    </x:row>
    <x:row r="8" ht="15" hidden="0" customHeight="1">
      <x:c r="A8" s="53" t="str">
        <x:v>وضعیت بررسی</x:v>
      </x:c>
      <x:c r="B8" s="53" t="str">
        <x:v>جهت نقدی، رابطه با نهاد، تسویه، مبلغ، واحد، تکراری بودن یا قطع زمانی حل‌نشده است؛ از مجموع‌های تأییدشده مستثنی شده است. هزینه‌های تأییدشده ممکن است بدون تخصیص به پروژه باقی بمانند.</x:v>
      </x:c>
    </x:row>
    <x:row r="9" ht="15" hidden="0" customHeight="1">
      <x:c r="A9" s="53" t="str">
        <x:v>صرفاً صورتحساب</x:v>
      </x:c>
      <x:c r="B9" s="53" t="str">
        <x:v>شواهد صورتحساب بدون پرداخت نقدی تطبیق‌یافته. به‌طور خودکار ادعای حساب پرداختنی محسوب نمی‌شود.</x:v>
      </x:c>
    </x:row>
    <x:row r="10" ht="15" hidden="0" customHeight="1">
      <x:c r="A10" s="53" t="str">
        <x:v>وضعیت تکراری</x:v>
      </x:c>
      <x:c r="B10" s="53" t="str">
        <x:v>شاهد احتمالی تراکنشی که پیش‌تر در جای دیگر شمارش شده است؛ برای ردیابی حسابرسی نگه داشته شده است.</x:v>
      </x:c>
    </x:row>
    <x:row r="11" ht="15" hidden="0" customHeight="1">
      <x:c r="A11" s="53" t="str">
        <x:v>صرفاً گزارش تجمیعی</x:v>
      </x:c>
      <x:c r="B11" s="53" t="str">
        <x:v>تجمیع گزارش یا پیام منبع؛ رویداد نقدی مجزایی نیست.</x:v>
      </x:c>
    </x:row>
    <x:row r="12" ht="15" hidden="0" customHeight="1">
      <x:c r="A12" s="53" t="str">
        <x:v>سیاست تاریخ</x:v>
      </x:c>
      <x:c r="B12" s="53" t="str">
        <x:v>تاریخ تراکنش در رسید ترجیح داده می‌شود. تاریخ بارگذاری همان تاریخ تراکنش نیست. تاریخ‌های ماه ناقص بدون افزودن روز ساختگی حفظ شده‌اند.</x:v>
      </x:c>
    </x:row>
    <x:row r="13" ht="15" hidden="0" customHeight="1">
      <x:c r="A13" s="53" t="str">
        <x:v>موجودی نقد اول و پایان دوره</x:v>
      </x:c>
      <x:c r="B13" s="53" t="str">
        <x:v>موجودی نقد اول دوره انجمن و موجودی نقد پایان دوره‌ی تطبیق‌شده بدون صورت‌حساب‌های کامل و تفکیک وجوه شخصی در دسترس نیست.</x:v>
      </x:c>
    </x:row>
    <x:row r="14" ht="15" hidden="0" customHeight="1">
      <x:c r="A14" s="53" t="str">
        <x:v>مدل‌های منبع</x:v>
      </x:c>
      <x:c r="B14" s="53" t="str">
        <x:v>Claude Sonnet 5.5 برای تشخیص نوری متن و درک زمینه؛ Claude Opus 5.5 برای بازبینی مستقل اسکن‌ها، تطبیق و بازبینی روایی.</x:v>
      </x:c>
    </x:row>
    <x:row r="15" ht="24" hidden="0" customHeight="1">
      <x:c r="A15" s="53" t="str">
        <x:v>تازه‌سازی</x:v>
      </x:c>
      <x:c r="B15" s="53" t="str">
        <x:v>وضعیت، مبلغ و جهت را در برگه Transactions ویرایش کنید؛ خلاصه‌های مرتبط با فرمول در Excel دوباره محاسبه می‌شوند. هنگام افزودن ردیف فراتر از مجموعه‌داده فعلی، ردیف‌ها را داخل جدول اضافه کنید و دامنهٔ فرمول‌ها را گسترش دهید.</x:v>
      </x:c>
    </x:row>
    <x:row r="16" ht="15" hidden="0" customHeight="1">
      <x:c r="A16" s="53" t="str">
        <x:v>تأییدیه کاربر</x:v>
      </x:c>
      <x:c r="B16" s="53" t="str">
        <x:v>همه موارد پوشه recipts/ هزینه‌های انجمن‌اند که کاربر تأیید کرده است. رسیدهای موقت و فاکتور عکس‌برداری‌شده بر پایه گواهی کاربر تسویه‌شده تلقی می‌شوند، جدا از شواهد نهایی بانکی.</x:v>
      </x:c>
    </x:row>
    <x:row r="17" ht="15" hidden="0" customHeight="1">
      <x:c r="A17" s="53" t="str">
        <x:v>نگاشت مدرس</x:v>
      </x:c>
      <x:c r="B17" s="53" t="str">
        <x:v>پنج پرداخت مدرسه تابستانی ۱۴۰۵ در مجموع ۱۱٬۵۰۰٬۰۰۰ است. علیرضا دریافت‌کننده بانکی برای مدرس ابوالفضل احمدی است؛ زهرا امیری مربوط به لوازم برچسب است. مدرس ششم همچنان تطبیق‌نیافته باقی مانده است.</x:v>
      </x:c>
    </x:row>
    <x:row r="18" ht="15" hidden="0" customHeight="1">
      <x:c r="A18" s="53" t="str">
        <x:v>دامنه</x:v>
      </x:c>
      <x:c r="B18" s="53" t="str">
        <x:v>هر 188 پیام صادرشده، 68 تصویر اصلی با اندازه کامل، چهار فایل پی‌دی‌اف، سه گزارش درس و هر دو کارپوشه. تصاویر بندانگشتی و آیکون‌های صادرشده نسخه‌های مشتق نمایشی هستند.</x:v>
      </x:c>
    </x:row>
    <x:row r="19" ht="15" hidden="0" customHeight="1">
      <x:c r="A19" s="53" t="str">
        <x:v>سیاست 1</x:v>
      </x:c>
      <x:c r="B19" s="53" t="str">
        <x:v>واحد گزارش‌دهی تومان است. اسناد ریالی بر 10 تقسیم می‌شوند، و فقط زمانی که واحد چاپ شده باشد. مبالغ بدون واحد مشخص، مقدار amount_toman را null نگه می‌دارند.</x:v>
      </x:c>
    </x:row>
    <x:row r="20" ht="15" hidden="0" customHeight="1">
      <x:c r="A20" s="53" t="str">
        <x:v>سیاست 2</x:v>
      </x:c>
      <x:c r="B20" s="53" t="str">
        <x:v>تاریخ چاپ‌شده روی سند بر تاریخ بارگذاری، ارسال مجدد یا نام فایل ارجحیت دارد. تعارض‌ها در یادداشت‌ها نگهداری می‌شوند.</x:v>
      </x:c>
    </x:row>
    <x:row r="21" ht="15" hidden="0" customHeight="1">
      <x:c r="A21" s="53" t="str">
        <x:v>سیاست 3</x:v>
      </x:c>
      <x:c r="B21" s="53" t="str">
        <x:v>جمع‌های تأییدشده فقط شامل ردیف‌های تأییدشده است. ردیف‌های نیازمند بررسی، تکراری، صرفاً صورتحساب و صرفاً گزارش تجمیعی کنار گذاشته شده‌اند.</x:v>
      </x:c>
    </x:row>
    <x:row r="22" ht="15" hidden="0" customHeight="1">
      <x:c r="A22" s="53" t="str">
        <x:v>سیاست 4</x:v>
      </x:c>
      <x:c r="B22" s="53" t="str">
        <x:v>فاکتورها صرفاً صدور صورتحساب را اثبات می‌کنند، نه پرداخت را. پرداخت‌های نقدی فقط در صورتی لحاظ می‌شوند که تسویه شده یا صراحتاً در دفتر کل اصلی ثبت شده باشند؛ فاکتورهای تطبیق‌نیافته جداگانه باقی می‌مانند.</x:v>
      </x:c>
    </x:row>
    <x:row r="23" ht="15" hidden="0" customHeight="1">
      <x:c r="A23" s="53" t="str">
        <x:v>سیاست ۵</x:v>
      </x:c>
      <x:c r="B23" s="53" t="str">
        <x:v>خریدهای پرداخت‌شده توسط داوطلب، بازپرداخت‌ها را پشتیبانی می‌کنند. یا بازپرداخت یا خریدها به‌عنوان وجه نقد انجمن ثبت می‌شود، هرگز هر دو.</x:v>
      </x:c>
    </x:row>
    <x:row r="24" ht="15" hidden="0" customHeight="1">
      <x:c r="A24" s="53" t="str">
        <x:v>سیاست ۶</x:v>
      </x:c>
      <x:c r="B24" s="53" t="str">
        <x:v>انتقال‌های داخلی (مثلاً AMIN-EVENT به SHAHR-8966) درآمد یا هزینه محسوب نمی‌شوند.</x:v>
      </x:c>
    </x:row>
    <x:row r="25" ht="15" hidden="0" customHeight="1">
      <x:c r="A25" s="53" t="str">
        <x:v>سیاست ۷</x:v>
      </x:c>
      <x:c r="B25" s="53" t="str">
        <x:v>تحویل وجوه اول دوره از هیئت مدیره قبلی به‌عنوان حقوق صاحبان سرمایه یا وجوه اول دوره ثبت می‌شود، نه درآمد عملیاتی.</x:v>
      </x:c>
    </x:row>
    <x:row r="26" ht="15" hidden="0" customHeight="1">
      <x:c r="A26" s="53" t="str">
        <x:v>سیاست ۸</x:v>
      </x:c>
      <x:c r="B26" s="53" t="str">
        <x:v>پرداخت‌های امین‌نگه‌دار بلو در recipts/ اکنون توسط کاربر به‌عنوان هزینه‌های انجمن تأیید شده‌اند. مقاصد نامشخص تخصیص‌نیافته باقی می‌مانند؛ تطبیق با صورتحساب هنوز لازم است.</x:v>
      </x:c>
    </x:row>
    <x:row r="27" ht="15" hidden="0" customHeight="1">
      <x:c r="A27" s="53" t="str">
        <x:v>سیاست ۹</x:v>
      </x:c>
      <x:c r="B27" s="53" t="str">
        <x:v>هر سلول مجموع در دفتر اصلی با وضعیت تعیین‌شده به ردیف‌های دفتر کل نگاشت می‌شود. برگه‌های مرداد و شهریور زیرمجموعه‌اند و دوباره نگاشت نشده‌اند.</x:v>
      </x:c>
    </x:row>
    <x:row r="28" ht="15" hidden="0" customHeight="1">
      <x:c r="A28" s="53" t="str">
        <x:v>سیاست ۱۰</x:v>
      </x:c>
      <x:c r="B28" s="53" t="str">
        <x:v>حق‌التدریس‌ها به ۱۰۰٬۰۰۰ تومان گرد می‌شوند (message14). مغایرت‌ها علامت‌گذاری شده‌اند، نه اصلاح.</x:v>
      </x:c>
    </x:row>
    <x:row r="29" ht="15" hidden="0" customHeight="1">
      <x:c r="A29" s="53" t="str">
        <x:v>سیاست ۱۱</x:v>
      </x:c>
      <x:c r="B29" s="53" t="str">
        <x:v>شماره تلفن دانشجویان در گزارش‌های دوره نباید در گزارش‌های منتشرشده ظاهر شود.</x:v>
      </x:c>
    </x:row>
    <x:row r="30" ht="24" hidden="0" customHeight="1">
      <x:c r="A30" s="53" t="str">
        <x:v>سیاست ۱۲</x:v>
      </x:c>
      <x:c r="B30" s="53" t="str">
        <x:v>بازنگری تأییدیه کاربر: همه تصاویر recipts/ هزینه‌های انجمن هستند. انتقال‌های موقت و فاکتور عکس‌برداری‌شده صرفاً بر اساس تأییدیه صریح کاربر تسویه‌شده تلقی می‌شوند؛ محدودیت‌های منبع اولیه آن‌ها همچنان قابل مشاهده است. مورد تکراری پوشه نگه داشته شده و مستثنی شده است. پنج پرداخت مدرسه تابستانی 1405 شناسایی شده‌اند؛ مورد ششم استنباط نمی‌شود.</x:v>
      </x:c>
    </x:row>
  </x:sheetData>
  <x:mergeCells>
    <x:mergeCell ref="A2:B2"/>
  </x:mergeCells>
  <x:pageMargins left="0.7" right="0.7" top="0.75" bottom="0.75" header="0.3" footer="0.3"/>
  <x:tableParts count="1">
    <x:tablePart xmlns:r="http://schemas.openxmlformats.org/officeDocument/2006/relationships" r:id="R08c3475422974d7c"/>
  </x:tableParts>
</x:worksheet>
</file>